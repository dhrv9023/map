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ADME" sheetId="2" state="visible" r:id="rId2"/>
    <sheet xmlns:r="http://schemas.openxmlformats.org/officeDocument/2006/relationships" name="DayPlan" sheetId="3" state="visible" r:id="rId3"/>
    <sheet xmlns:r="http://schemas.openxmlformats.org/officeDocument/2006/relationships" name="PatternLibrary" sheetId="4" state="visible" r:id="rId4"/>
    <sheet xmlns:r="http://schemas.openxmlformats.org/officeDocument/2006/relationships" name="PatternCards" sheetId="5" state="visible" r:id="rId5"/>
    <sheet xmlns:r="http://schemas.openxmlformats.org/officeDocument/2006/relationships" name="ProblemDB" sheetId="6" state="visible" r:id="rId6"/>
    <sheet xmlns:r="http://schemas.openxmlformats.org/officeDocument/2006/relationships" name="FailureLog" sheetId="7" state="visible" r:id="rId7"/>
    <sheet xmlns:r="http://schemas.openxmlformats.org/officeDocument/2006/relationships" name="ReviewQueue" sheetId="8" state="visible" r:id="rId8"/>
    <sheet xmlns:r="http://schemas.openxmlformats.org/officeDocument/2006/relationships" name="WeeklyAssessment" sheetId="9" state="visible" r:id="rId9"/>
    <sheet xmlns:r="http://schemas.openxmlformats.org/officeDocument/2006/relationships" name="MockInterviews" sheetId="10" state="visible" r:id="rId10"/>
    <sheet xmlns:r="http://schemas.openxmlformats.org/officeDocument/2006/relationships" name="ResourcePlan" sheetId="11" state="visible" r:id="rId11"/>
    <sheet xmlns:r="http://schemas.openxmlformats.org/officeDocument/2006/relationships" name="YouTubeChannels" sheetId="12" state="visible" r:id="rId12"/>
    <sheet xmlns:r="http://schemas.openxmlformats.org/officeDocument/2006/relationships" name="ProgressionCurve" sheetId="13" state="visible" r:id="rId13"/>
    <sheet xmlns:r="http://schemas.openxmlformats.org/officeDocument/2006/relationships" name="BlindProblemPool" sheetId="14" state="visible" r:id="rId14"/>
  </sheets>
  <definedNames>
    <definedName name="_xlnm._FilterDatabase" localSheetId="2" hidden="1">'DayPlan'!$A$1:$AB$169</definedName>
    <definedName name="_xlnm._FilterDatabase" localSheetId="3" hidden="1">'PatternLibrary'!$A$1:$L$43</definedName>
    <definedName name="_xlnm._FilterDatabase" localSheetId="4" hidden="1">'PatternCards'!$A$1:$L$31</definedName>
    <definedName name="_xlnm._FilterDatabase" localSheetId="5" hidden="1">'ProblemDB'!$A$1:$X$750</definedName>
    <definedName name="_xlnm._FilterDatabase" localSheetId="6" hidden="1">'FailureLog'!$A$1:$L$500</definedName>
    <definedName name="_xlnm._FilterDatabase" localSheetId="10" hidden="1">'ResourcePlan'!$A$1:$S$36</definedName>
    <definedName name="_xlnm._FilterDatabase" localSheetId="11" hidden="1">'YouTubeChannels'!$A$1:$I$11</definedName>
  </definedNames>
  <calcPr calcId="124519" fullCalcOnLoad="1"/>
</workbook>
</file>

<file path=xl/styles.xml><?xml version="1.0" encoding="utf-8"?>
<styleSheet xmlns="http://schemas.openxmlformats.org/spreadsheetml/2006/main">
  <numFmts count="5">
    <numFmt numFmtId="164" formatCode="yyyy-mm-dd"/>
    <numFmt numFmtId="165" formatCode="ddd dd-mmm-yy"/>
    <numFmt numFmtId="166" formatCode="dd-mmm"/>
    <numFmt numFmtId="167" formatCode="dd-mmm-yy"/>
    <numFmt numFmtId="168" formatCode="0.0"/>
  </numFmts>
  <fonts count="24">
    <font>
      <name val="Calibri"/>
      <family val="2"/>
      <color theme="1"/>
      <sz val="11"/>
      <scheme val="minor"/>
    </font>
    <font>
      <name val="Arial"/>
      <b val="1"/>
      <color rgb="00FFFFFF"/>
      <sz val="13"/>
    </font>
    <font>
      <name val="Arial"/>
      <i val="1"/>
      <color rgb="00475569"/>
      <sz val="9"/>
    </font>
    <font>
      <name val="Arial"/>
      <b val="1"/>
      <color rgb="00FFFFFF"/>
      <sz val="10"/>
    </font>
    <font>
      <name val="Arial"/>
      <color rgb="001E293B"/>
      <sz val="9"/>
    </font>
    <font>
      <name val="Arial"/>
      <b val="1"/>
      <color rgb="00FFFFFF"/>
      <sz val="9"/>
    </font>
    <font>
      <name val="Arial"/>
      <color rgb="001A2F5A"/>
      <sz val="10"/>
    </font>
    <font>
      <name val="Arial"/>
      <b val="1"/>
      <color rgb="002563EB"/>
      <sz val="10"/>
      <u val="single"/>
    </font>
    <font>
      <name val="Arial"/>
      <b val="1"/>
      <color rgb="0016A34A"/>
      <sz val="10"/>
      <u val="single"/>
    </font>
    <font>
      <name val="Arial"/>
      <color rgb="0094A3B8"/>
      <sz val="10"/>
    </font>
    <font>
      <name val="Arial"/>
      <b val="1"/>
      <color rgb="001A2F5A"/>
      <sz val="10"/>
    </font>
    <font>
      <name val="Arial"/>
      <color rgb="002563EB"/>
      <sz val="10"/>
      <u val="single"/>
    </font>
    <font>
      <name val="Arial"/>
      <color rgb="007C3AED"/>
      <sz val="10"/>
      <u val="single"/>
    </font>
    <font>
      <name val="Arial"/>
      <b val="1"/>
      <color rgb="00DC2626"/>
      <sz val="10"/>
    </font>
    <font>
      <name val="Arial"/>
      <color rgb="0064748B"/>
      <sz val="9"/>
    </font>
    <font>
      <name val="Arial"/>
      <color rgb="001A2F5A"/>
      <sz val="9"/>
    </font>
    <font>
      <name val="Arial"/>
      <b val="1"/>
      <color rgb="0016A34A"/>
      <sz val="9"/>
      <u val="single"/>
    </font>
    <font>
      <name val="Arial"/>
      <color rgb="002563EB"/>
      <sz val="9"/>
      <u val="single"/>
    </font>
    <font>
      <name val="Arial"/>
      <color rgb="00475569"/>
      <sz val="9"/>
    </font>
    <font>
      <name val="Arial"/>
      <b val="1"/>
      <color rgb="00FFFFFF"/>
      <sz val="14"/>
    </font>
    <font>
      <name val="Arial"/>
      <b val="1"/>
      <color rgb="00FFFFFF"/>
      <sz val="18"/>
    </font>
    <font>
      <name val="Arial"/>
      <i val="1"/>
      <color rgb="0064748B"/>
      <sz val="8"/>
    </font>
    <font>
      <name val="Arial"/>
      <color rgb="00334155"/>
      <sz val="9"/>
    </font>
    <font>
      <name val="Arial"/>
      <color theme="1"/>
      <sz val="11"/>
    </font>
  </fonts>
  <fills count="12">
    <fill>
      <patternFill/>
    </fill>
    <fill>
      <patternFill patternType="gray125"/>
    </fill>
    <fill>
      <patternFill patternType="solid">
        <fgColor rgb="001A2F5A"/>
      </patternFill>
    </fill>
    <fill>
      <patternFill patternType="solid">
        <fgColor rgb="00EFF6FF"/>
      </patternFill>
    </fill>
    <fill>
      <patternFill patternType="solid">
        <fgColor rgb="002563EB"/>
      </patternFill>
    </fill>
    <fill>
      <patternFill patternType="solid">
        <fgColor rgb="00F8FAFC"/>
      </patternFill>
    </fill>
    <fill>
      <patternFill patternType="solid">
        <fgColor rgb="00FFFFFF"/>
      </patternFill>
    </fill>
    <fill>
      <patternFill patternType="solid">
        <fgColor rgb="00FFF9C4"/>
      </patternFill>
    </fill>
    <fill>
      <patternFill patternType="solid">
        <fgColor rgb="00FEF9C3"/>
      </patternFill>
    </fill>
    <fill>
      <patternFill patternType="solid">
        <fgColor rgb="00FEE2E2"/>
      </patternFill>
    </fill>
    <fill>
      <patternFill patternType="solid">
        <fgColor rgb="00F0FDF4"/>
      </patternFill>
    </fill>
    <fill>
      <patternFill patternType="solid">
        <fgColor rgb="00FDF4FF"/>
      </patternFill>
    </fill>
  </fills>
  <borders count="3">
    <border>
      <left/>
      <right/>
      <top/>
      <bottom/>
      <diagonal/>
    </border>
    <border>
      <left style="thin">
        <color rgb="001A2F5A"/>
      </left>
      <right style="thin">
        <color rgb="001A2F5A"/>
      </right>
      <top style="thin">
        <color rgb="001A2F5A"/>
      </top>
      <bottom style="thin">
        <color rgb="001A2F5A"/>
      </bottom>
    </border>
    <border>
      <left style="thin">
        <color rgb="00CBD5E1"/>
      </left>
      <right style="thin">
        <color rgb="00CBD5E1"/>
      </right>
      <top style="thin">
        <color rgb="00CBD5E1"/>
      </top>
      <bottom style="thin">
        <color rgb="00CBD5E1"/>
      </bottom>
    </border>
  </borders>
  <cellStyleXfs count="1">
    <xf numFmtId="0" fontId="0" fillId="0" borderId="0"/>
  </cellStyleXfs>
  <cellXfs count="77">
    <xf numFmtId="0" fontId="0" fillId="0" borderId="0" pivotButton="0" quotePrefix="0" xfId="0"/>
    <xf numFmtId="0" fontId="19" fillId="2" borderId="0" applyAlignment="1" pivotButton="0" quotePrefix="0" xfId="0">
      <alignment horizontal="center" vertical="center"/>
    </xf>
    <xf numFmtId="0" fontId="23" fillId="2" borderId="0" pivotButton="0" quotePrefix="0" xfId="0"/>
    <xf numFmtId="0" fontId="2" fillId="3" borderId="0" applyAlignment="1" pivotButton="0" quotePrefix="0" xfId="0">
      <alignment horizontal="center" vertical="center"/>
    </xf>
    <xf numFmtId="0" fontId="23" fillId="3" borderId="0" pivotButton="0" quotePrefix="0" xfId="0"/>
    <xf numFmtId="0" fontId="3" fillId="4" borderId="1" applyAlignment="1" pivotButton="0" quotePrefix="0" xfId="0">
      <alignment horizontal="left" vertical="center"/>
    </xf>
    <xf numFmtId="0" fontId="23" fillId="4" borderId="1" pivotButton="0" quotePrefix="0" xfId="0"/>
    <xf numFmtId="0" fontId="23" fillId="0" borderId="0" pivotButton="0" quotePrefix="0" xfId="0"/>
    <xf numFmtId="0" fontId="3" fillId="4" borderId="1" applyAlignment="1" pivotButton="0" quotePrefix="0" xfId="0">
      <alignment horizontal="center" vertical="center"/>
    </xf>
    <xf numFmtId="0" fontId="10" fillId="3" borderId="2" applyAlignment="1" pivotButton="0" quotePrefix="0" xfId="0">
      <alignment horizontal="left" vertical="center"/>
    </xf>
    <xf numFmtId="0" fontId="6" fillId="3" borderId="2" applyAlignment="1" pivotButton="0" quotePrefix="0" xfId="0">
      <alignment horizontal="left" vertical="top" wrapText="1"/>
    </xf>
    <xf numFmtId="1" fontId="6" fillId="3" borderId="2" applyAlignment="1" pivotButton="0" quotePrefix="0" xfId="0">
      <alignment horizontal="left" vertical="center" wrapText="1"/>
    </xf>
    <xf numFmtId="0" fontId="15" fillId="0" borderId="2" applyAlignment="1" pivotButton="0" quotePrefix="0" xfId="0">
      <alignment horizontal="left" vertical="top" wrapText="1"/>
    </xf>
    <xf numFmtId="0" fontId="15" fillId="0" borderId="2" applyAlignment="1" pivotButton="0" quotePrefix="0" xfId="0">
      <alignment horizontal="center" vertical="center"/>
    </xf>
    <xf numFmtId="0" fontId="22" fillId="0" borderId="2" applyAlignment="1" pivotButton="0" quotePrefix="0" xfId="0">
      <alignment horizontal="left" vertical="center" wrapText="1"/>
    </xf>
    <xf numFmtId="0" fontId="6" fillId="3" borderId="2" applyAlignment="1" pivotButton="0" quotePrefix="0" xfId="0">
      <alignment horizontal="left" vertical="center" wrapText="1"/>
    </xf>
    <xf numFmtId="9" fontId="6" fillId="3" borderId="2" applyAlignment="1" pivotButton="0" quotePrefix="0" xfId="0">
      <alignment horizontal="left" vertical="center" wrapText="1"/>
    </xf>
    <xf numFmtId="0" fontId="6" fillId="10" borderId="2" applyAlignment="1" pivotButton="0" quotePrefix="0" xfId="0">
      <alignment horizontal="left" vertical="top" wrapText="1"/>
    </xf>
    <xf numFmtId="1" fontId="6" fillId="10" borderId="2" applyAlignment="1" pivotButton="0" quotePrefix="0" xfId="0">
      <alignment horizontal="left" vertical="center" wrapText="1"/>
    </xf>
    <xf numFmtId="0" fontId="3" fillId="2" borderId="1" applyAlignment="1" pivotButton="0" quotePrefix="0" xfId="0">
      <alignment horizontal="left" vertical="center"/>
    </xf>
    <xf numFmtId="9" fontId="6" fillId="10" borderId="2" applyAlignment="1" pivotButton="0" quotePrefix="0" xfId="0">
      <alignment horizontal="left" vertical="center" wrapText="1"/>
    </xf>
    <xf numFmtId="0" fontId="16" fillId="3" borderId="2" applyAlignment="1" pivotButton="0" quotePrefix="0" xfId="0">
      <alignment horizontal="center" vertical="center"/>
    </xf>
    <xf numFmtId="0" fontId="21" fillId="6" borderId="2" applyAlignment="1" pivotButton="0" quotePrefix="0" xfId="0">
      <alignment horizontal="center" vertical="center"/>
    </xf>
    <xf numFmtId="0" fontId="6" fillId="7" borderId="2" applyAlignment="1" pivotButton="0" quotePrefix="0" xfId="0">
      <alignment horizontal="left" vertical="top" wrapText="1"/>
    </xf>
    <xf numFmtId="168" fontId="6" fillId="7" borderId="2" applyAlignment="1" pivotButton="0" quotePrefix="0" xfId="0">
      <alignment horizontal="left" vertical="center" wrapText="1"/>
    </xf>
    <xf numFmtId="2" fontId="6" fillId="7" borderId="2" applyAlignment="1" pivotButton="0" quotePrefix="0" xfId="0">
      <alignment horizontal="left" vertical="center" wrapText="1"/>
    </xf>
    <xf numFmtId="1" fontId="6" fillId="7" borderId="2" applyAlignment="1" pivotButton="0" quotePrefix="0" xfId="0">
      <alignment horizontal="left" vertical="center" wrapText="1"/>
    </xf>
    <xf numFmtId="0" fontId="3" fillId="2" borderId="2" applyAlignment="1" pivotButton="0" quotePrefix="0" xfId="0">
      <alignment horizontal="left" vertical="top" wrapText="1"/>
    </xf>
    <xf numFmtId="1" fontId="20" fillId="2" borderId="2" applyAlignment="1" pivotButton="0" quotePrefix="0" xfId="0">
      <alignment horizontal="left" vertical="center" wrapText="1"/>
    </xf>
    <xf numFmtId="0" fontId="6" fillId="11" borderId="2" applyAlignment="1" pivotButton="0" quotePrefix="0" xfId="0">
      <alignment horizontal="left" vertical="top" wrapText="1"/>
    </xf>
    <xf numFmtId="0" fontId="6" fillId="11" borderId="2" applyAlignment="1" pivotButton="0" quotePrefix="0" xfId="0">
      <alignment horizontal="left" vertical="center" wrapText="1"/>
    </xf>
    <xf numFmtId="0" fontId="1" fillId="2" borderId="0" applyAlignment="1" pivotButton="0" quotePrefix="0" xfId="0">
      <alignment horizontal="center" vertical="center"/>
    </xf>
    <xf numFmtId="0" fontId="4" fillId="5" borderId="2" applyAlignment="1" pivotButton="0" quotePrefix="0" xfId="0">
      <alignment horizontal="left" vertical="top" wrapText="1"/>
    </xf>
    <xf numFmtId="0" fontId="23" fillId="5" borderId="2" pivotButton="0" quotePrefix="0" xfId="0"/>
    <xf numFmtId="0" fontId="5" fillId="4" borderId="1" applyAlignment="1" pivotButton="0" quotePrefix="0" xfId="0">
      <alignment horizontal="center" vertical="center" wrapText="1"/>
    </xf>
    <xf numFmtId="0" fontId="6" fillId="0" borderId="2" applyAlignment="1" pivotButton="0" quotePrefix="0" xfId="0">
      <alignment horizontal="center" vertical="center"/>
    </xf>
    <xf numFmtId="165" fontId="6"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center" vertical="center"/>
    </xf>
    <xf numFmtId="0" fontId="9" fillId="0" borderId="2" applyAlignment="1" pivotButton="0" quotePrefix="0" xfId="0">
      <alignment horizontal="center" vertical="center"/>
    </xf>
    <xf numFmtId="0" fontId="6" fillId="5" borderId="2" applyAlignment="1" pivotButton="0" quotePrefix="0" xfId="0">
      <alignment horizontal="center" vertical="center"/>
    </xf>
    <xf numFmtId="165" fontId="6" fillId="5" borderId="2" applyAlignment="1" pivotButton="0" quotePrefix="0" xfId="0">
      <alignment horizontal="left" vertical="top" wrapText="1"/>
    </xf>
    <xf numFmtId="0" fontId="6" fillId="5" borderId="2" applyAlignment="1" pivotButton="0" quotePrefix="0" xfId="0">
      <alignment horizontal="left" vertical="top" wrapText="1"/>
    </xf>
    <xf numFmtId="0" fontId="7" fillId="5" borderId="2" applyAlignment="1" pivotButton="0" quotePrefix="0" xfId="0">
      <alignment horizontal="left" vertical="top" wrapText="1"/>
    </xf>
    <xf numFmtId="0" fontId="8" fillId="5" borderId="2" applyAlignment="1" pivotButton="0" quotePrefix="0" xfId="0">
      <alignment horizontal="center" vertical="center"/>
    </xf>
    <xf numFmtId="0" fontId="9" fillId="5" borderId="2" applyAlignment="1" pivotButton="0" quotePrefix="0" xfId="0">
      <alignment horizontal="center" vertical="center"/>
    </xf>
    <xf numFmtId="0" fontId="23" fillId="0" borderId="2" applyAlignment="1" pivotButton="0" quotePrefix="0" xfId="0">
      <alignment horizontal="center" vertical="center"/>
    </xf>
    <xf numFmtId="166" fontId="23" fillId="0" borderId="2" applyAlignment="1" pivotButton="0" quotePrefix="0" xfId="0">
      <alignment horizontal="center" vertical="center"/>
    </xf>
    <xf numFmtId="166" fontId="6" fillId="0" borderId="2" applyAlignment="1" pivotButton="0" quotePrefix="0" xfId="0">
      <alignment horizontal="center" vertical="center"/>
    </xf>
    <xf numFmtId="0" fontId="23" fillId="0" borderId="2" applyAlignment="1" pivotButton="0" quotePrefix="0" xfId="0">
      <alignment horizontal="left" vertical="top" wrapText="1"/>
    </xf>
    <xf numFmtId="0" fontId="2" fillId="0" borderId="0" pivotButton="0" quotePrefix="0" xfId="0"/>
    <xf numFmtId="0" fontId="10" fillId="0" borderId="2" applyAlignment="1" pivotButton="0" quotePrefix="0" xfId="0">
      <alignment horizontal="center" vertical="center"/>
    </xf>
    <xf numFmtId="167" fontId="6" fillId="0" borderId="2" applyAlignment="1" pivotButton="0" quotePrefix="0" xfId="0">
      <alignment horizontal="center" vertical="center"/>
    </xf>
    <xf numFmtId="0" fontId="13" fillId="0" borderId="0" pivotButton="0" quotePrefix="0" xfId="0"/>
    <xf numFmtId="0" fontId="11" fillId="0" borderId="2" applyAlignment="1" pivotButton="0" quotePrefix="0" xfId="0">
      <alignment horizontal="center" vertical="center"/>
    </xf>
    <xf numFmtId="0" fontId="12" fillId="0" borderId="2" applyAlignment="1" pivotButton="0" quotePrefix="0" xfId="0">
      <alignment horizontal="center" vertical="center"/>
    </xf>
    <xf numFmtId="0" fontId="5" fillId="2" borderId="1" applyAlignment="1" pivotButton="0" quotePrefix="0" xfId="0">
      <alignment horizontal="center" vertical="center" wrapText="1"/>
    </xf>
    <xf numFmtId="0" fontId="10" fillId="5" borderId="2" applyAlignment="1" pivotButton="0" quotePrefix="0" xfId="0">
      <alignment horizontal="left" vertical="top" wrapText="1"/>
    </xf>
    <xf numFmtId="0" fontId="14" fillId="5" borderId="2" applyAlignment="1" pivotButton="0" quotePrefix="0" xfId="0">
      <alignment horizontal="left" vertical="top" wrapText="1"/>
    </xf>
    <xf numFmtId="0" fontId="15" fillId="5" borderId="2" applyAlignment="1" pivotButton="0" quotePrefix="0" xfId="0">
      <alignment horizontal="left" vertical="top" wrapText="1"/>
    </xf>
    <xf numFmtId="0" fontId="16" fillId="5" borderId="2" applyAlignment="1" pivotButton="0" quotePrefix="0" xfId="0">
      <alignment horizontal="center" vertical="center"/>
    </xf>
    <xf numFmtId="0" fontId="17" fillId="5" borderId="2" applyAlignment="1" pivotButton="0" quotePrefix="0" xfId="0">
      <alignment horizontal="center" vertical="center"/>
    </xf>
    <xf numFmtId="0" fontId="18" fillId="5" borderId="2" applyAlignment="1" pivotButton="0" quotePrefix="0" xfId="0">
      <alignment horizontal="center" vertical="center"/>
    </xf>
    <xf numFmtId="0" fontId="10" fillId="6" borderId="2" applyAlignment="1" pivotButton="0" quotePrefix="0" xfId="0">
      <alignment horizontal="left" vertical="top" wrapText="1"/>
    </xf>
    <xf numFmtId="0" fontId="14" fillId="6" borderId="2" applyAlignment="1" pivotButton="0" quotePrefix="0" xfId="0">
      <alignment horizontal="left" vertical="top" wrapText="1"/>
    </xf>
    <xf numFmtId="0" fontId="15" fillId="6" borderId="2" applyAlignment="1" pivotButton="0" quotePrefix="0" xfId="0">
      <alignment horizontal="left" vertical="top" wrapText="1"/>
    </xf>
    <xf numFmtId="0" fontId="16" fillId="6" borderId="2" applyAlignment="1" pivotButton="0" quotePrefix="0" xfId="0">
      <alignment horizontal="center" vertical="center"/>
    </xf>
    <xf numFmtId="0" fontId="17" fillId="6" borderId="2" applyAlignment="1" pivotButton="0" quotePrefix="0" xfId="0">
      <alignment horizontal="center" vertical="center"/>
    </xf>
    <xf numFmtId="0" fontId="18" fillId="6" borderId="2" applyAlignment="1" pivotButton="0" quotePrefix="0" xfId="0">
      <alignment horizontal="center" vertical="center"/>
    </xf>
    <xf numFmtId="0" fontId="10" fillId="7" borderId="2" applyAlignment="1" pivotButton="0" quotePrefix="0" xfId="0">
      <alignment horizontal="center" vertical="center"/>
    </xf>
    <xf numFmtId="167" fontId="6" fillId="7" borderId="2" applyAlignment="1" pivotButton="0" quotePrefix="0" xfId="0">
      <alignment horizontal="center" vertical="center"/>
    </xf>
    <xf numFmtId="0" fontId="10" fillId="7" borderId="2" applyAlignment="1" pivotButton="0" quotePrefix="0" xfId="0">
      <alignment horizontal="left" vertical="top" wrapText="1"/>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6" fillId="8" borderId="2" applyAlignment="1" pivotButton="0" quotePrefix="0" xfId="0">
      <alignment horizontal="left" vertical="top" wrapText="1"/>
    </xf>
    <xf numFmtId="0" fontId="6" fillId="9" borderId="2" applyAlignment="1" pivotButton="0" quotePrefix="0" xfId="0">
      <alignment horizontal="center" vertical="center"/>
    </xf>
  </cellXfs>
  <cellStyles count="1">
    <cellStyle name="Normal" xfId="0" builtinId="0" hidden="0"/>
  </cellStyles>
  <dxfs count="6">
    <dxf>
      <fill>
        <patternFill patternType="solid">
          <fgColor rgb="00BBF7D0"/>
        </patternFill>
      </fill>
    </dxf>
    <dxf>
      <fill>
        <patternFill patternType="solid">
          <fgColor rgb="00FEE2E2"/>
        </patternFill>
      </fill>
    </dxf>
    <dxf>
      <fill>
        <patternFill patternType="solid">
          <fgColor rgb="00FEF9C3"/>
        </patternFill>
      </fill>
    </dxf>
    <dxf>
      <fill>
        <patternFill patternType="solid">
          <fgColor rgb="00FFEDD5"/>
        </patternFill>
      </fill>
    </dxf>
    <dxf>
      <fill>
        <patternFill patternType="solid">
          <fgColor rgb="00FFF2CC"/>
        </patternFill>
      </fill>
    </dxf>
    <dxf>
      <fill>
        <patternFill patternType="solid">
          <fgColor rgb="00F3E8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34" customWidth="1" min="1" max="1"/>
    <col width="48" customWidth="1" min="2" max="2"/>
    <col width="4" customWidth="1" min="3" max="3"/>
    <col width="28" customWidth="1" min="4" max="4"/>
    <col width="10" customWidth="1" min="5" max="5"/>
    <col width="4" customWidth="1" min="6" max="6"/>
    <col width="70" customWidth="1" min="7" max="7"/>
  </cols>
  <sheetData>
    <row r="1" ht="38" customHeight="1">
      <c r="A1" s="1" t="inlineStr">
        <is>
          <t>DSA TRAINING DASHBOARD - NVIDIA &amp; AI-INFRASTRUCTURE SYSTEMS</t>
        </is>
      </c>
      <c r="B1" s="2" t="n"/>
      <c r="C1" s="2" t="n"/>
      <c r="D1" s="2" t="n"/>
      <c r="E1" s="2" t="n"/>
      <c r="F1" s="2" t="n"/>
      <c r="G1" s="2" t="n"/>
    </row>
    <row r="2" ht="24" customHeight="1">
      <c r="A2" s="3" t="inlineStr">
        <is>
          <t>Started: 01 Oct 2026   |   Ends: 17 Mar 2027   |   Target: NVIDIA, Hyperscalers &amp; AI-Infra Systems | Fill ProblemDB &amp; DayPlan honestly</t>
        </is>
      </c>
      <c r="B2" s="4" t="n"/>
      <c r="C2" s="4" t="n"/>
      <c r="D2" s="4" t="n"/>
      <c r="E2" s="4" t="n"/>
      <c r="F2" s="4" t="n"/>
      <c r="G2" s="4" t="n"/>
    </row>
    <row r="3" ht="26" customHeight="1">
      <c r="A3" s="5" t="inlineStr">
        <is>
          <t xml:space="preserve">  TODAY'S WORKFLOW</t>
        </is>
      </c>
      <c r="B3" s="6" t="n"/>
      <c r="C3" s="7" t="n"/>
      <c r="D3" s="5" t="inlineStr">
        <is>
          <t>Failure Category</t>
        </is>
      </c>
      <c r="E3" s="8" t="inlineStr">
        <is>
          <t>Count</t>
        </is>
      </c>
      <c r="F3" s="7" t="n"/>
      <c r="G3" s="9" t="inlineStr">
        <is>
          <t>QUICK-START DAILY PROTOCOL</t>
        </is>
      </c>
    </row>
    <row r="4" ht="22" customHeight="1">
      <c r="A4" s="10" t="inlineStr">
        <is>
          <t>Current day</t>
        </is>
      </c>
      <c r="B4" s="11">
        <f>MIN(168,COUNTIF(DayPlan!$W$2:$W$169,"Yes")+1)</f>
        <v/>
      </c>
      <c r="C4" s="7" t="n"/>
      <c r="D4" s="12" t="inlineStr">
        <is>
          <t>F1-Understand</t>
        </is>
      </c>
      <c r="E4" s="13">
        <f>COUNTIF(FailureLog!$D$2:$D$500,D4)+COUNTIF(ProblemDB!$M$2:$M$750,D4)</f>
        <v/>
      </c>
      <c r="F4" s="7" t="n"/>
      <c r="G4" s="14" t="inlineStr">
        <is>
          <t>1. Open DayPlan  -&gt;  go to 'Current day' row. Do exactly that row.</t>
        </is>
      </c>
    </row>
    <row r="5" ht="22" customHeight="1">
      <c r="A5" s="10" t="inlineStr">
        <is>
          <t>Current week</t>
        </is>
      </c>
      <c r="B5" s="11">
        <f>ROUNDUP($B4/7,0)</f>
        <v/>
      </c>
      <c r="C5" s="7" t="n"/>
      <c r="D5" s="12" t="inlineStr">
        <is>
          <t>F2-Pattern</t>
        </is>
      </c>
      <c r="E5" s="13">
        <f>COUNTIF(FailureLog!$D$2:$D$500,D5)+COUNTIF(ProblemDB!$M$2:$M$750,D5)</f>
        <v/>
      </c>
      <c r="F5" s="7" t="n"/>
      <c r="G5" s="14" t="inlineStr">
        <is>
          <t>2. Write target TC from constraints BEFORE touching the keyboard.</t>
        </is>
      </c>
    </row>
    <row r="6" ht="22" customHeight="1">
      <c r="A6" s="10" t="inlineStr">
        <is>
          <t>TODAY: objective</t>
        </is>
      </c>
      <c r="B6" s="15">
        <f>IFERROR(INDEX(DayPlan!$D$2:$D$169,$B4),"")</f>
        <v/>
      </c>
      <c r="C6" s="7" t="n"/>
      <c r="D6" s="12" t="inlineStr">
        <is>
          <t>F3-Derive</t>
        </is>
      </c>
      <c r="E6" s="13">
        <f>COUNTIF(FailureLog!$D$2:$D$500,D6)+COUNTIF(ProblemDB!$M$2:$M$750,D6)</f>
        <v/>
      </c>
      <c r="F6" s="7" t="n"/>
      <c r="G6" s="14" t="inlineStr">
        <is>
          <t>3. Obey the Stuck Protocol (see README): 0 -&gt; 10 -&gt; 20 -&gt; 30 min checkpoints.</t>
        </is>
      </c>
    </row>
    <row r="7" ht="22" customHeight="1">
      <c r="A7" s="10" t="inlineStr">
        <is>
          <t>TODAY: pattern</t>
        </is>
      </c>
      <c r="B7" s="15">
        <f>IFERROR(INDEX(DayPlan!$E$2:$E$169,$B4),"")</f>
        <v/>
      </c>
      <c r="C7" s="7" t="n"/>
      <c r="D7" s="12" t="inlineStr">
        <is>
          <t>F4-WrongDS</t>
        </is>
      </c>
      <c r="E7" s="13">
        <f>COUNTIF(FailureLog!$D$2:$D$500,D7)+COUNTIF(ProblemDB!$M$2:$M$750,D7)</f>
        <v/>
      </c>
      <c r="F7" s="7" t="n"/>
      <c r="G7" s="14" t="inlineStr">
        <is>
          <t>4. Log every problem in ProblemDB the same day. Review dates auto-compute.</t>
        </is>
      </c>
    </row>
    <row r="8" ht="22" customHeight="1">
      <c r="A8" s="10" t="inlineStr">
        <is>
          <t>TODAY: mode / help</t>
        </is>
      </c>
      <c r="B8" s="15">
        <f>IFERROR(INDEX(DayPlan!$J$2:$J$169,$B4)&amp;"  |  "&amp;INDEX(DayPlan!$K$2:$K$169,$B4),"")</f>
        <v/>
      </c>
      <c r="C8" s="7" t="n"/>
      <c r="D8" s="12" t="inlineStr">
        <is>
          <t>F5-Complexity</t>
        </is>
      </c>
      <c r="E8" s="13">
        <f>COUNTIF(FailureLog!$D$2:$D$500,D8)+COUNTIF(ProblemDB!$M$2:$M$750,D8)</f>
        <v/>
      </c>
      <c r="F8" s="7" t="n"/>
      <c r="G8" s="14" t="inlineStr">
        <is>
          <t>5. Log every failure in FailureLog with a category + one preventive rule.</t>
        </is>
      </c>
    </row>
    <row r="9" ht="22" customHeight="1">
      <c r="A9" s="10" t="inlineStr">
        <is>
          <t>TODAY: problems</t>
        </is>
      </c>
      <c r="B9" s="15">
        <f>IFERROR(INDEX(DayPlan!$L$2:$L$169,$B4)&amp;"    |    "&amp;INDEX(DayPlan!$O$2:$O$169,$B4),"")</f>
        <v/>
      </c>
      <c r="C9" s="7" t="n"/>
      <c r="D9" s="12" t="inlineStr">
        <is>
          <t>F6-Implementation</t>
        </is>
      </c>
      <c r="E9" s="13">
        <f>COUNTIF(FailureLog!$D$2:$D$500,D9)+COUNTIF(ProblemDB!$M$2:$M$750,D9)</f>
        <v/>
      </c>
      <c r="F9" s="7" t="n"/>
      <c r="G9" s="14" t="inlineStr">
        <is>
          <t>6. Sunday: fill WeeklyAssessment. Let the data steer the next week.</t>
        </is>
      </c>
    </row>
    <row r="10" ht="22" customHeight="1">
      <c r="A10" s="10" t="inlineStr">
        <is>
          <t>TODAY: tutorial?</t>
        </is>
      </c>
      <c r="B10" s="15">
        <f>IFERROR(IF(INDEX(DayPlan!$G$2:$G$169,$B4)="YES",INDEX(DayPlan!$H$2:$H$169,$B4)&amp;" ("&amp;INDEX(DayPlan!$I$2:$I$169,$B4)&amp;" min)","NO tutorial  -  struggle first"),"")</f>
        <v/>
      </c>
      <c r="C10" s="7" t="n"/>
      <c r="D10" s="12" t="inlineStr">
        <is>
          <t>F7-EdgeCase</t>
        </is>
      </c>
      <c r="E10" s="13">
        <f>COUNTIF(FailureLog!$D$2:$D$500,D10)+COUNTIF(ProblemDB!$M$2:$M$750,D10)</f>
        <v/>
      </c>
      <c r="F10" s="7" t="n"/>
      <c r="G10" s="14" t="inlineStr">
        <is>
          <t>7. Diagnostics on Days 28/56/84/98. Unlabelled. Timed. No hints. Real measurements.</t>
        </is>
      </c>
    </row>
    <row r="11" ht="22" customHeight="1">
      <c r="A11" s="10" t="inlineStr">
        <is>
          <t>Days completed</t>
        </is>
      </c>
      <c r="B11" s="11">
        <f>COUNTIF(DayPlan!$W$2:$W$169,"Yes")</f>
        <v/>
      </c>
      <c r="C11" s="7" t="n"/>
      <c r="D11" s="12" t="inlineStr">
        <is>
          <t>F8-Debugging</t>
        </is>
      </c>
      <c r="E11" s="13">
        <f>COUNTIF(FailureLog!$D$2:$D$500,D11)+COUNTIF(ProblemDB!$M$2:$M$750,D11)</f>
        <v/>
      </c>
      <c r="F11" s="7" t="n"/>
      <c r="G11" s="14" t="inlineStr">
        <is>
          <t>8. Master YouTube Directory: Check 'YouTubeChannels' sheet for flagship playlists.</t>
        </is>
      </c>
    </row>
    <row r="12" ht="22" customHeight="1">
      <c r="A12" s="10" t="inlineStr">
        <is>
          <t>Program progress</t>
        </is>
      </c>
      <c r="B12" s="16">
        <f>IFERROR($B11/168,0)</f>
        <v/>
      </c>
      <c r="C12" s="7" t="n"/>
      <c r="D12" s="12" t="inlineStr">
        <is>
          <t>F9-Forgot</t>
        </is>
      </c>
      <c r="E12" s="13">
        <f>COUNTIF(FailureLog!$D$2:$D$500,D12)+COUNTIF(ProblemDB!$M$2:$M$750,D12)</f>
        <v/>
      </c>
      <c r="F12" s="7" t="n"/>
      <c r="G12" s="14" t="inlineStr"/>
    </row>
    <row r="13" ht="26" customHeight="1">
      <c r="A13" s="5" t="inlineStr">
        <is>
          <t xml:space="preserve">  SOLVE QUALITY METRICS</t>
        </is>
      </c>
      <c r="B13" s="6" t="n"/>
      <c r="C13" s="7" t="n"/>
      <c r="D13" s="12" t="inlineStr">
        <is>
          <t>F10-Pressure</t>
        </is>
      </c>
      <c r="E13" s="13">
        <f>COUNTIF(FailureLog!$D$2:$D$500,D13)+COUNTIF(ProblemDB!$M$2:$M$750,D13)</f>
        <v/>
      </c>
      <c r="F13" s="7" t="n"/>
      <c r="G13" s="9" t="inlineStr">
        <is>
          <t>SIGNS THE PLAN IS WORKING</t>
        </is>
      </c>
    </row>
    <row r="14" ht="22" customHeight="1">
      <c r="A14" s="17" t="inlineStr">
        <is>
          <t>Problems attempted</t>
        </is>
      </c>
      <c r="B14" s="18">
        <f>COUNTA(ProblemDB!$A$2:$A$750)</f>
        <v/>
      </c>
      <c r="C14" s="7" t="n"/>
      <c r="D14" s="12" t="inlineStr">
        <is>
          <t>F11-HintDependent</t>
        </is>
      </c>
      <c r="E14" s="13">
        <f>COUNTIF(FailureLog!$D$2:$D$500,D14)+COUNTIF(ProblemDB!$M$2:$M$750,D14)</f>
        <v/>
      </c>
      <c r="F14" s="7" t="n"/>
      <c r="G14" s="14" t="inlineStr">
        <is>
          <t>[OK] Time-to-pattern dropping at each diagnostic</t>
        </is>
      </c>
    </row>
    <row r="15" ht="22" customHeight="1">
      <c r="A15" s="17" t="inlineStr">
        <is>
          <t>Solved independently</t>
        </is>
      </c>
      <c r="B15" s="18">
        <f>COUNTIF(ProblemDB!$G$2:$G$750,"Yes")</f>
        <v/>
      </c>
      <c r="C15" s="7" t="n"/>
      <c r="D15" s="12" t="inlineStr">
        <is>
          <t>F12-CantExplain</t>
        </is>
      </c>
      <c r="E15" s="13">
        <f>COUNTIF(FailureLog!$D$2:$D$500,D15)+COUNTIF(ProblemDB!$M$2:$M$750,D15)</f>
        <v/>
      </c>
      <c r="F15" s="7" t="n"/>
      <c r="G15" s="14" t="inlineStr">
        <is>
          <t>[OK] Hint-dependency rate below 25% by week 8</t>
        </is>
      </c>
    </row>
    <row r="16" ht="22" customHeight="1">
      <c r="A16" s="17" t="inlineStr">
        <is>
          <t>Solved with hints</t>
        </is>
      </c>
      <c r="B16" s="18">
        <f>COUNTIFS(ProblemDB!$I$2:$I$750,"&gt;0",ProblemDB!$J$2:$J$750,"&lt;&gt;Yes")</f>
        <v/>
      </c>
      <c r="C16" s="7" t="n"/>
      <c r="D16" s="7" t="n"/>
      <c r="E16" s="7" t="n"/>
      <c r="F16" s="7" t="n"/>
      <c r="G16" s="14" t="inlineStr">
        <is>
          <t>[OK] Can reconstruct any pattern without notes 3 days later</t>
        </is>
      </c>
    </row>
    <row r="17" ht="22" customHeight="1">
      <c r="A17" s="17" t="inlineStr">
        <is>
          <t>Needed the solution</t>
        </is>
      </c>
      <c r="B17" s="18">
        <f>COUNTIF(ProblemDB!$J$2:$J$750,"Yes")</f>
        <v/>
      </c>
      <c r="C17" s="7" t="n"/>
      <c r="D17" s="19" t="inlineStr">
        <is>
          <t>MASTER YOUTUBE DIRECTORY</t>
        </is>
      </c>
      <c r="E17" s="7" t="n"/>
      <c r="F17" s="7" t="n"/>
      <c r="G17" s="14" t="inlineStr">
        <is>
          <t>[OK] Mock scores increasing</t>
        </is>
      </c>
    </row>
    <row r="18" ht="22" customHeight="1">
      <c r="A18" s="17" t="inlineStr">
        <is>
          <t>Independent-solve rate</t>
        </is>
      </c>
      <c r="B18" s="20">
        <f>IFERROR($B15/$B14,0)</f>
        <v/>
      </c>
      <c r="C18" s="7" t="n"/>
      <c r="D18" s="21">
        <f>HYPERLINK("#'YouTubeChannels'!A1", "📺 Open Master YouTube Directory (10 Creators) ↗")</f>
        <v/>
      </c>
      <c r="E18" s="7" t="n"/>
      <c r="F18" s="7" t="n"/>
      <c r="G18" s="14" t="inlineStr"/>
    </row>
    <row r="19" ht="26" customHeight="1">
      <c r="A19" s="17" t="inlineStr">
        <is>
          <t>Hint-dependency rate</t>
        </is>
      </c>
      <c r="B19" s="20">
        <f>IFERROR(($B16+$B17)/$B14,0)</f>
        <v/>
      </c>
      <c r="C19" s="7" t="n"/>
      <c r="D19" s="22" t="inlineStr">
        <is>
          <t>Striver • Aditya Verma • Pratyush • Babbar • NeetCode</t>
        </is>
      </c>
      <c r="E19" s="7" t="n"/>
      <c r="F19" s="7" t="n"/>
      <c r="G19" s="9" t="inlineStr">
        <is>
          <t>SIGNS YOU NEED TO ADJUST</t>
        </is>
      </c>
    </row>
    <row r="20" ht="22" customHeight="1">
      <c r="A20" s="17" t="inlineStr">
        <is>
          <t>Problems mastered</t>
        </is>
      </c>
      <c r="B20" s="18">
        <f>COUNTIF(ProblemDB!$S$2:$S$750,"Yes")</f>
        <v/>
      </c>
      <c r="C20" s="7" t="n"/>
      <c r="D20" s="7" t="n"/>
      <c r="E20" s="7" t="n"/>
      <c r="F20" s="7" t="n"/>
      <c r="G20" s="14" t="inlineStr">
        <is>
          <t>[NO] Same failure category 3+ weeks in a row</t>
        </is>
      </c>
    </row>
    <row r="21" ht="22" customHeight="1">
      <c r="A21" s="17" t="inlineStr">
        <is>
          <t>Avg solve time (min)</t>
        </is>
      </c>
      <c r="B21" s="18">
        <f>IFERROR(ROUND(AVERAGE(ProblemDB!$H$2:$H$750),0),0)</f>
        <v/>
      </c>
      <c r="C21" s="7" t="n"/>
      <c r="D21" s="7" t="n"/>
      <c r="E21" s="7" t="n"/>
      <c r="F21" s="7" t="n"/>
      <c r="G21" s="14" t="inlineStr">
        <is>
          <t>[NO] Hint-dependency above 40% for 2+ weeks</t>
        </is>
      </c>
    </row>
    <row r="22" ht="22" customHeight="1">
      <c r="A22" s="17" t="inlineStr">
        <is>
          <t>2nd solutions found</t>
        </is>
      </c>
      <c r="B22" s="18">
        <f>COUNTIF(ProblemDB!$X$2:$X$750,"Yes")</f>
        <v/>
      </c>
      <c r="C22" s="7" t="n"/>
      <c r="D22" s="7" t="n"/>
      <c r="E22" s="7" t="n"/>
      <c r="F22" s="7" t="n"/>
      <c r="G22" s="14" t="inlineStr">
        <is>
          <t>[NO] Time-to-pattern not dropping between diagnostics</t>
        </is>
      </c>
    </row>
    <row r="23" ht="22" customHeight="1">
      <c r="A23" s="5" t="inlineStr">
        <is>
          <t xml:space="preserve">  INTERVIEW READINESS</t>
        </is>
      </c>
      <c r="B23" s="6" t="n"/>
      <c r="C23" s="7" t="n"/>
      <c r="D23" s="7" t="n"/>
      <c r="E23" s="7" t="n"/>
      <c r="F23" s="7" t="n"/>
      <c r="G23" s="14" t="inlineStr">
        <is>
          <t>[NO] Can solve only when problem is labelled with the pattern</t>
        </is>
      </c>
    </row>
    <row r="24" ht="22" customHeight="1">
      <c r="A24" s="23" t="inlineStr">
        <is>
          <t>Mock/diagnostic avg (/10)</t>
        </is>
      </c>
      <c r="B24" s="24">
        <f>IFERROR(ROUND(AVERAGE(MockInterviews!$N$2:$N$30),1),0)</f>
        <v/>
      </c>
      <c r="C24" s="7" t="n"/>
      <c r="D24" s="7" t="n"/>
      <c r="E24" s="7" t="n"/>
      <c r="F24" s="7" t="n"/>
      <c r="G24" s="14" t="inlineStr">
        <is>
          <t>[NO] Cannot reconstruct a solution 2 days after solving it</t>
        </is>
      </c>
    </row>
    <row r="25" ht="24" customHeight="1">
      <c r="A25" s="23" t="inlineStr">
        <is>
          <t>Avg time-to-pattern (min)</t>
        </is>
      </c>
      <c r="B25" s="24">
        <f>IFERROR(ROUND(AVERAGE(MockInterviews!$J$2:$J$30),1),0)</f>
        <v/>
      </c>
      <c r="C25" s="7" t="n"/>
      <c r="D25" s="7" t="n"/>
      <c r="E25" s="7" t="n"/>
      <c r="F25" s="7" t="n"/>
      <c r="G25" s="7" t="n"/>
    </row>
    <row r="26" ht="24" customHeight="1">
      <c r="A26" s="23" t="inlineStr">
        <is>
          <t>Avg pattern mastery (/5)</t>
        </is>
      </c>
      <c r="B26" s="25">
        <f>IFERROR(ROUND(AVERAGE(PatternLibrary!$J$2:$J$43),2),0)</f>
        <v/>
      </c>
      <c r="C26" s="7" t="n"/>
      <c r="D26" s="7" t="n"/>
      <c r="E26" s="7" t="n"/>
      <c r="F26" s="7" t="n"/>
      <c r="G26" s="7" t="n"/>
    </row>
    <row r="27" ht="24" customHeight="1">
      <c r="A27" s="23" t="inlineStr">
        <is>
          <t>Reviews due today</t>
        </is>
      </c>
      <c r="B27" s="26">
        <f>COUNTIFS(ProblemDB!$P$2:$P$750,"&lt;="&amp;TODAY(),ProblemDB!$S$2:$S$750,"&lt;&gt;Yes")</f>
        <v/>
      </c>
      <c r="C27" s="7" t="n"/>
      <c r="D27" s="7" t="n"/>
      <c r="E27" s="7" t="n"/>
      <c r="F27" s="7" t="n"/>
      <c r="G27" s="7" t="n"/>
    </row>
    <row r="28" ht="24" customHeight="1">
      <c r="A28" s="27" t="inlineStr">
        <is>
          <t>INTERVIEW READINESS SCORE</t>
        </is>
      </c>
      <c r="B28" s="28">
        <f>IF($B14&lt;5,0,ROUND(30*MIN(1,MAX(0,IFERROR($B18/0.80,0)))+25*MIN(1,MAX(0,IFERROR((1-$B19)/0.80,0)))+25*MIN(1,MAX(0,IFERROR($B24/10,0)))+20*IF($B25=0,0,MIN(1,MAX(0,IFERROR((12-$B25)/8,0)))),0))</f>
        <v/>
      </c>
      <c r="C28" s="7" t="n"/>
      <c r="D28" s="7" t="n"/>
      <c r="E28" s="7" t="n"/>
      <c r="F28" s="7" t="n"/>
      <c r="G28" s="7" t="n"/>
    </row>
    <row r="29" ht="26" customHeight="1">
      <c r="A29" s="5" t="inlineStr">
        <is>
          <t xml:space="preserve">  PATTERN MASTERY &amp; HEALTH</t>
        </is>
      </c>
      <c r="B29" s="6" t="n"/>
      <c r="C29" s="7" t="n"/>
      <c r="D29" s="7" t="n"/>
      <c r="E29" s="7" t="n"/>
      <c r="F29" s="7" t="n"/>
      <c r="G29" s="7" t="n"/>
    </row>
    <row r="30" ht="24" customHeight="1">
      <c r="A30" s="29" t="inlineStr">
        <is>
          <t>Strongest pattern (self-rated)</t>
        </is>
      </c>
      <c r="B30" s="30">
        <f>IFERROR(INDEX(PatternLibrary!$A$2:$A$43,MATCH(MAX(PatternLibrary!$J$2:$J$43),PatternLibrary!$J$2:$J$43,0)),"Rate patterns first")</f>
        <v/>
      </c>
      <c r="C30" s="7" t="n"/>
      <c r="D30" s="7" t="n"/>
      <c r="E30" s="7" t="n"/>
      <c r="F30" s="7" t="n"/>
      <c r="G30" s="7" t="n"/>
    </row>
    <row r="31" ht="24" customHeight="1">
      <c r="A31" s="29" t="inlineStr">
        <is>
          <t>Weakest pattern (self-rated)</t>
        </is>
      </c>
      <c r="B31" s="30">
        <f>IFERROR(INDEX(PatternLibrary!$A$2:$A$43,MATCH(MINIFS(PatternLibrary!$J$2:$J$43,PatternLibrary!$J$2:$J$43,"&gt;0"),PatternLibrary!$J$2:$J$43,0)),"Rate patterns first")</f>
        <v/>
      </c>
      <c r="C31" s="7" t="n"/>
      <c r="D31" s="7" t="n"/>
      <c r="E31" s="7" t="n"/>
      <c r="F31" s="7" t="n"/>
      <c r="G31" s="7" t="n"/>
    </row>
    <row r="32" ht="24" customHeight="1">
      <c r="A32" s="29" t="inlineStr">
        <is>
          <t>Most failure-prone category</t>
        </is>
      </c>
      <c r="B32" s="30">
        <f>IF(MAX($E$4:$E$15)=0,"No failures logged yet",INDEX($D$4:$D$15,MATCH(MAX($E$4:$E$15),$E$4:$E$15,0))&amp;" ("&amp;MAX($E$4:$E$15)&amp;" failures)")</f>
        <v/>
      </c>
      <c r="C32" s="7" t="n"/>
      <c r="D32" s="7" t="n"/>
      <c r="E32" s="7" t="n"/>
      <c r="F32" s="7" t="n"/>
      <c r="G32" s="7" t="n"/>
    </row>
    <row r="33" ht="24" customHeight="1">
      <c r="A33" s="29" t="inlineStr">
        <is>
          <t>Current level</t>
        </is>
      </c>
      <c r="B33" s="30">
        <f>IF($B14&lt;10,"Unmeasured - solve 10+ logged problems first",IF($B28&lt;35,"Beginner: knows topics but pattern-blind",IF($B28&lt;55,"Intermediate: recognises common patterns",IF($B28&lt;75,"Strong: derives most solutions independently","Expert-level: can derive unfamiliar problems under pressure"))))</f>
        <v/>
      </c>
      <c r="C33" s="7" t="n"/>
      <c r="D33" s="7" t="n"/>
      <c r="E33" s="7" t="n"/>
      <c r="F33" s="7" t="n"/>
      <c r="G33" s="7" t="n"/>
    </row>
    <row r="34" ht="26" customHeight="1">
      <c r="A34" s="5" t="inlineStr">
        <is>
          <t xml:space="preserve">  SYSTEM OPERATING GUIDE</t>
        </is>
      </c>
      <c r="B34" s="6" t="n"/>
      <c r="C34" s="7" t="n"/>
      <c r="D34" s="7" t="n"/>
      <c r="E34" s="7" t="n"/>
      <c r="F34" s="7" t="n"/>
      <c r="G34" s="7" t="n"/>
    </row>
  </sheetData>
  <mergeCells count="10">
    <mergeCell ref="D18:E18"/>
    <mergeCell ref="A1:G1"/>
    <mergeCell ref="A29:B29"/>
    <mergeCell ref="D19:E19"/>
    <mergeCell ref="A13:B13"/>
    <mergeCell ref="A2:G2"/>
    <mergeCell ref="A23:B23"/>
    <mergeCell ref="D17:E17"/>
    <mergeCell ref="A3:B3"/>
    <mergeCell ref="A34:B34"/>
  </mergeCells>
  <conditionalFormatting sqref="B30">
    <cfRule type="colorScale" priority="1">
      <colorScale>
        <cfvo type="num" val="20"/>
        <cfvo type="num" val="60"/>
        <cfvo type="num" val="100"/>
        <color rgb="00DC2626"/>
        <color rgb="00CA8A04"/>
        <color rgb="0016A34A"/>
      </colorScale>
    </cfRule>
  </conditionalFormatting>
  <conditionalFormatting sqref="E4:E15">
    <cfRule type="colorScale" priority="2">
      <colorScale>
        <cfvo type="min"/>
        <cfvo type="max"/>
        <color rgb="0016A34A"/>
        <color rgb="00DC2626"/>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RowHeight="15"/>
  <cols>
    <col width="30" customWidth="1" min="1" max="1"/>
    <col width="120" customWidth="1" min="2" max="2"/>
  </cols>
  <sheetData>
    <row r="1" ht="36" customHeight="1">
      <c r="A1" s="31" t="inlineStr">
        <is>
          <t>DSA TRAINING SYSTEM - AI INFRASTRUCTURE (168 DAYS / 24 WEEKS)</t>
        </is>
      </c>
      <c r="B1" s="2" t="n"/>
    </row>
    <row r="2" ht="24" customHeight="1">
      <c r="A2" s="3" t="inlineStr">
        <is>
          <t>The real metric: how fast you turn an unfamiliar problem into a correct, efficient algorithm. Not how many problems you have solved.</t>
        </is>
      </c>
      <c r="B2" s="4" t="n"/>
    </row>
    <row r="3">
      <c r="A3" s="7" t="n"/>
      <c r="B3" s="7" t="n"/>
    </row>
    <row r="4" ht="26" customHeight="1">
      <c r="A4" s="5" t="inlineStr">
        <is>
          <t xml:space="preserve">  THE ONLY METRIC THAT MATTERS</t>
        </is>
      </c>
      <c r="B4" s="6" t="n"/>
    </row>
    <row r="5" ht="98" customHeight="1">
      <c r="A5" s="32" t="inlineStr">
        <is>
          <t>Problem count is a lagging metric and a vanity number.
The metric that predicts interview success:
  * Time-to-pattern on UNLABELLED problems (target: &lt;5 min for Medium by week 10)
  * Independent-solve rate (target: &gt;70% by week 12)
  * Hint-dependency rate (target: &lt;20% by week 10)
  * Ability to reconstruct any solved problem from memory 3 days later
Dashboard tracks all four. Fill it honestly or it becomes useless.</t>
        </is>
      </c>
      <c r="B5" s="33" t="n"/>
    </row>
    <row r="6">
      <c r="A6" s="7" t="n"/>
      <c r="B6" s="7" t="n"/>
    </row>
    <row r="7" ht="26" customHeight="1">
      <c r="A7" s="5" t="inlineStr">
        <is>
          <t xml:space="preserve">  DAILY BLOCK STRUCTURE  (1-2 hours total)</t>
        </is>
      </c>
      <c r="B7" s="6" t="n"/>
    </row>
    <row r="8" ht="280" customHeight="1">
      <c r="A8" s="32" t="inlineStr">
        <is>
          <t>A) RETRIEVAL  [10-15 min]
   From memory, no notes: state yesterday's pattern trigger + invariant + complexity.
   If you cannot, add it to ReviewQueue immediately.
B) CONCEPT / TUTORIAL  [0-25 min  -  ONLY if DayPlan says YES]
   Read the DayPlan tutorial column. If it says NO, do not watch anything.
   The urge to watch a tutorial instead of struggling is a productivity trap.
C) DEEP SOLVING  [45-70 min  -  the real training block]
   Obey the STUCK PROTOCOL below. No shortcuts.
D) RECONSTRUCTION  [10 min]
   Close your solution. Open a blank file. Rebuild it from memory.
   If you cannot reconstruct it, you did not learn it.
E) FAILURE ANALYSIS  [5 min]
   Log every failure in FailureLog with an honest category + one preventive rule.
F) REVIEW  [10 min]
   Top item from ReviewQueue. Retrieval only  -  no re-reading.</t>
        </is>
      </c>
      <c r="B8" s="33" t="n"/>
    </row>
    <row r="9">
      <c r="A9" s="7" t="n"/>
      <c r="B9" s="7" t="n"/>
    </row>
    <row r="10" ht="26" customHeight="1">
      <c r="A10" s="5" t="inlineStr">
        <is>
          <t xml:space="preserve">  THE STUCK PROTOCOL  (non-negotiable, enforced in DayPlan column)</t>
        </is>
      </c>
      <c r="B10" s="6" t="n"/>
    </row>
    <row r="11" ht="224" customHeight="1">
      <c r="A11" s="32" t="inlineStr">
        <is>
          <t>0-10 min   -&gt;  NO help. Restate the problem in your own words.
              Write constraints. Write brute-force + its TC. Write target TC.
              Write 2-3 candidate approaches.
10-20 min  -&gt;  ONE conceptual hint only. No code. No data-structure name if avoidable.
              Hint = a question that points you toward the right abstraction.
20-30 min  -&gt;  Stronger hint: name the pattern or the key invariant.
              Still no implementation.
30+ min    -&gt;  Read ONLY the core approach (2-3 sentences). Then close it.
              Implement entirely from scratch  -  never copy code.
If you read code  -&gt;  problem is auto-logged as "Solution Viewed = Yes" and re-queued at +1 day.
If you solve with hints  -&gt;  re-queued at +3 days, not +7.
The goal: "I understand WHY this solution exists." NOT "I understood it after being shown."</t>
        </is>
      </c>
      <c r="B11" s="33" t="n"/>
    </row>
    <row r="12">
      <c r="A12" s="7" t="n"/>
      <c r="B12" s="7" t="n"/>
    </row>
    <row r="13" ht="26" customHeight="1">
      <c r="A13" s="5" t="inlineStr">
        <is>
          <t xml:space="preserve">  PHASE SEQUENCE FOR EVERY IMPORTANT PROBLEM</t>
        </is>
      </c>
      <c r="B13" s="6" t="n"/>
    </row>
    <row r="14" ht="112" customHeight="1">
      <c r="A14" s="32" t="inlineStr">
        <is>
          <t>1. UNDERSTAND   -  What is asked? What are constraints? What changes? What is reusable?
2. PREDICT       -  Write target TC from constraints. List 2-3 approaches. Name the bottleneck.
3. DERIVE        -  Attempt yourself. Use stuck protocol if needed.
4. IMPLEMENT     -  Write clean code.
5. ATTACK        -  Test: empty input, single element, all duplicates, max n, negatives, overflow, adversarial order.
6. OPTIMIZE      -  Can TC improve? If no, can SC improve? Is there a hidden invariant?
7. RECONSTRUCT   -  Close everything. Rebuild from memory and explain aloud.
8. SCHEDULE      -  ProblemDB auto-computes review dates based on your performance.</t>
        </is>
      </c>
      <c r="B14" s="33" t="n"/>
    </row>
    <row r="15">
      <c r="A15" s="7" t="n"/>
      <c r="B15" s="7" t="n"/>
    </row>
    <row r="16" ht="26" customHeight="1">
      <c r="A16" s="5" t="inlineStr">
        <is>
          <t xml:space="preserve">  TUTORIAL RULES  (35 curated tutorials across 168 days)</t>
        </is>
      </c>
      <c r="B16" s="6" t="n"/>
    </row>
    <row r="17" ht="154" customHeight="1">
      <c r="A17" s="32" t="inlineStr">
        <is>
          <t>Watch BEFORE a problem only when the mental model is genuinely new (DayPlan marks these explicitly).
Do NOT watch because a specific problem is hard. Struggle first.
Watch AFTER only when you failed to recognise the SAME pattern twice.
Rewatch only if you cannot reconstruct the concept from memory.
For every tutorial, extract:
  * The TRIGGER (what wording in a problem should activate this pattern?)
  * The INVARIANT (what remains true throughout the algorithm?)
  * The COMPLEXITY ARGUMENT (why is it O(n)? O(n log n)?  -  derive it, do not accept it)
Do NOT memorise the presenter's code. That is passive consumption, not learning.</t>
        </is>
      </c>
      <c r="B17" s="33" t="n"/>
    </row>
    <row r="18">
      <c r="A18" s="7" t="n"/>
      <c r="B18" s="7" t="n"/>
    </row>
    <row r="19" ht="26" customHeight="1">
      <c r="A19" s="5" t="inlineStr">
        <is>
          <t xml:space="preserve">  FAILURE CATEGORIES  -  USE THESE CODES EVERYWHERE</t>
        </is>
      </c>
      <c r="B19" s="6" t="n"/>
    </row>
    <row r="20" ht="168" customHeight="1">
      <c r="A20" s="32" t="inlineStr">
        <is>
          <t>F1-Understand    : misread or misunderstood the problem statement
F2-Pattern       : could not identify the correct pattern
F3-Derive        : knew the pattern, could not derive the approach
F4-WrongDS       : identified the right approach, chose the wrong data structure
F5-Complexity    : wrong or absent complexity analysis
F6-Implementation: correct approach, coding bug
F7-EdgeCase      : correct solution, missed an edge case
F8-Debugging     : took too long to find the bug
F9-Forgot        : knew this technique previously, forgot it
F10-Pressure     : failed specifically because of time pressure (fine in untimed)
F11-HintDependent: required a hint to make progress
F12-CantExplain  : could implement but could not explain the solution</t>
        </is>
      </c>
      <c r="B20" s="33" t="n"/>
    </row>
    <row r="21">
      <c r="A21" s="7" t="n"/>
      <c r="B21" s="7" t="n"/>
    </row>
    <row r="22" ht="26" customHeight="1">
      <c r="A22" s="5" t="inlineStr">
        <is>
          <t xml:space="preserve">  AUTO-ESCALATION RULES  (the plan adjusts to your failures)</t>
        </is>
      </c>
      <c r="B22" s="6" t="n"/>
    </row>
    <row r="23" ht="168" customHeight="1">
      <c r="A23" s="32" t="inlineStr">
        <is>
          <t>If any category appears 3+ times in one week:
  F2 (Pattern)      -&gt;  next week's 2 blind days must target that pattern family
                     + do 10 "name the pattern only" reps daily (5 min, no coding)
  F3 (Derive)       -&gt;  add 1 extra reconstruction per day from the failed pattern
  F5 (Complexity)   -&gt;  estimate TC out loud BEFORE every single problem  -  no exceptions
  F6 (Implement)    -&gt;  write the invariant as a comment before every loop
  F7 (EdgeCase)     -&gt;  run your personal edge-case checklist before every submission
  F10 (Pressure)    -&gt;  replace one untimed day per week with a timed session
  F11 (HintDep)     -&gt;  the stuck-protocol clock resets to 0  -  you must wait the full 30 min
If F2 or F3 each appear 5+ times in a single week: run a pattern-recognition drill session
(20 problems, no coding, just write "pattern: X" for each) before continuing the plan.</t>
        </is>
      </c>
      <c r="B23" s="33" t="n"/>
    </row>
    <row r="24">
      <c r="A24" s="7" t="n"/>
      <c r="B24" s="7" t="n"/>
    </row>
    <row r="25" ht="26" customHeight="1">
      <c r="A25" s="5" t="inlineStr">
        <is>
          <t xml:space="preserve">  MISSED DAYS  (no restarts, ever)</t>
        </is>
      </c>
      <c r="B25" s="6" t="n"/>
    </row>
    <row r="26" ht="98" customHeight="1">
      <c r="A26" s="32" t="inlineStr">
        <is>
          <t>1 day missed      -&gt;  resume exactly where you left off. Nothing special.
2-3 days missed   -&gt;  RECOVERY SESSION: 15 min retrieval of last 3 patterns +
                    2 problems from top of ReviewQueue + nothing new.
1+ week missed    -&gt;  MINI-DIAGNOSTIC: 3 unlabelled problems from the pool (60 min).
                    Re-enter the plan at the week whose patterns you failed.
                    Do NOT go back to Day 1. Do NOT do a multi-day catch-up pile.
                    Catch-up piles produce shallow results and break motivation.</t>
        </is>
      </c>
      <c r="B26" s="33" t="n"/>
    </row>
    <row r="27">
      <c r="A27" s="7" t="n"/>
      <c r="B27" s="7" t="n"/>
    </row>
    <row r="28" ht="26" customHeight="1">
      <c r="A28" s="5" t="inlineStr">
        <is>
          <t xml:space="preserve">  PRODUCTIVITY TRAPS  (re-read every Sunday)</t>
        </is>
      </c>
      <c r="B28" s="6" t="n"/>
    </row>
    <row r="29" ht="224" customHeight="1">
      <c r="A29" s="32" t="inlineStr">
        <is>
          <t>* Watching tutorials instead of struggling
* Solving only easy problems
* Solving problems already labelled with the pattern (defeats the whole purpose)
* Reading the solution before 30 minutes are up
* Memorising templates instead of understanding invariants
* Copying code from solutions
* Doing 10 shallow solves instead of 3 deep ones
* Never revisiting problems (mastery requires forgetting and re-retrieving)
* Confusing recognition with mastery
* Confusing "I understood when shown" with "I could derive it"
* Micro-optimising code whose algorithm you cannot explain
* Avoiding hard problems (they teach 5x more per minute)
* Switching resources mid-plan (new resource = new procrastination)
* Spending hours on beautiful notes instead of solving problems
* Tracking problem counts instead of solve quality
* Random LeetCode grinding with no failure analysis</t>
        </is>
      </c>
      <c r="B29" s="33" t="n"/>
    </row>
    <row r="30">
      <c r="A30" s="7" t="n"/>
      <c r="B30" s="7" t="n"/>
    </row>
    <row r="31" ht="26" customHeight="1">
      <c r="A31" s="5" t="inlineStr">
        <is>
          <t xml:space="preserve">  SECOND-SOLUTION RULE</t>
        </is>
      </c>
      <c r="B31" s="6" t="n"/>
    </row>
    <row r="32" ht="84" customHeight="1">
      <c r="A32" s="32" t="inlineStr">
        <is>
          <t>For every problem marked [2-SOL] in DayPlan, find a fundamentally different approach:
  HashMap  &lt;-&gt;  Sorting     |  DFS  &lt;-&gt;  BFS          |  Greedy  &lt;-&gt;  DP
  Heap  &lt;-&gt;  Sorting        |  Binary Search  &lt;-&gt;  Math|  Recursion  &lt;-&gt;  Iteration+Stack
This kills problem -&gt; template reflexes. Template-locked candidates fail on variants.
Write both approaches, compare TC/SC, and state when each is preferable.</t>
        </is>
      </c>
      <c r="B32" s="33" t="n"/>
    </row>
    <row r="33">
      <c r="A33" s="7" t="n"/>
      <c r="B33" s="7" t="n"/>
    </row>
    <row r="34" ht="26" customHeight="1">
      <c r="A34" s="5" t="inlineStr">
        <is>
          <t xml:space="preserve">  DIAGNOSTICS SCHEDULE</t>
        </is>
      </c>
      <c r="B34" s="6" t="n"/>
    </row>
    <row r="35" ht="112" customHeight="1">
      <c r="A35" s="32" t="inlineStr">
        <is>
          <t>Day 28  (90 min)  Pool A: LC 918, LC 795, LC 581         -  unlabelled, no hints
Day 56  (100 min) Pool B: LC 315, LC 1110, LC 1396        -  unlabelled, no hints
Day 84  (110 min) Pool C: LC 1383, LC 1326, LC 2092       -  unlabelled, no hints
Day 98  (110 min) Final:  LC 1751, LC 2421, LC 1463       -  unlabelled, no hints
Metric to track across all four: time-to-pattern, hint dependency, TC/SC accuracy, explanation quality.
A diagnostic where you improve on all four metrics = the plan is working.
A diagnostic where you stagnate = the plan must change, not the effort.</t>
        </is>
      </c>
      <c r="B35" s="33" t="n"/>
    </row>
    <row r="36">
      <c r="A36" s="7" t="n"/>
      <c r="B36" s="7" t="n"/>
    </row>
    <row r="37" ht="26" customHeight="1">
      <c r="A37" s="5" t="inlineStr">
        <is>
          <t xml:space="preserve">  MOCK INTERVIEW SCHEDULE</t>
        </is>
      </c>
      <c r="B37" s="6" t="n"/>
    </row>
    <row r="38" ht="112" customHeight="1">
      <c r="A38" s="32" t="inlineStr">
        <is>
          <t>Day 42  Mock #1  -  2 hints allowed, generous time, narrate aloud
Day 70  Mock #2  -  1 hint, 45 min, state TC/SC unprompted, one follow-up
Day 92  Mock #3  -  no hints, verbal reasoning required throughout
Day 95  Mock #4  -  unfamiliar hard problem, 45 min, follow-up required
Day 98  Final    -  included in final diagnostic
Every mock: narrate every decision aloud. State TC/SC before coding.
Answer one infra follow-up: "What if input is streaming / distributed / 10^9 elements?"</t>
        </is>
      </c>
      <c r="B38" s="33" t="n"/>
    </row>
    <row r="39">
      <c r="A39" s="7" t="n"/>
      <c r="B39" s="7" t="n"/>
    </row>
    <row r="40" ht="26" customHeight="1">
      <c r="A40" s="5" t="inlineStr">
        <is>
          <t xml:space="preserve">  AI-INFRA LENS  (use only where it genuinely adds clarity)</t>
        </is>
      </c>
      <c r="B40" s="6" t="n"/>
    </row>
    <row r="41" ht="210" customHeight="1">
      <c r="A41" s="32" t="inlineStr">
        <is>
          <t>Caching/eviction       -&gt;  LRU, LFU, ARC (hashmap + ordered structure)
Scheduling             -&gt;  heaps, topological order, priority queues
Dependency resolution  -&gt;  DAG + Kahn's algorithm
Rate limiting          -&gt;  sliding window, token bucket
Load balancing         -&gt;  binary search on answer + greedy
Streaming metrics      -&gt;  two heaps, monotonic deque, reservoir sampling
Sharding/partitioning  -&gt;  hashing, consistent hashing, Union-Find
Indexing / search      -&gt;  binary search, tries, sorted structures
Memory management      -&gt;  knapsack, bin packing (intuition)
Log merging            -&gt;  k-way merge, interval merging
Distributed connect.   -&gt;  offline graph algorithms, DSU over streams
Do NOT force an infra analogy into every problem. Use it when it genuinely deepens understanding.
The interview DSA / infra DSA overlap is strongest in: heaps, hashing, graphs/DAGs,
binary search on answer, and O(1) structure design.</t>
        </is>
      </c>
      <c r="B41" s="33" t="n"/>
    </row>
    <row r="42">
      <c r="A42" s="7" t="n"/>
      <c r="B42" s="7" t="n"/>
    </row>
    <row r="43" ht="26" customHeight="1">
      <c r="A43" s="5" t="inlineStr">
        <is>
          <t xml:space="preserve">  THE NVIDIA &amp; GPU-SYSTEMS INTERVIEW STANDARD</t>
        </is>
      </c>
      <c r="B43" s="6" t="n"/>
    </row>
    <row r="44" ht="574" customHeight="1">
      <c r="A44" s="32" t="inlineStr">
        <is>
          <t>NVIDIA does NOT interview like standard web/app Big Tech.
Interviewers in CUDA, TensorRT, Triton, NCCL, Tegra, Drivers, and AI Infrastructure
test whether your mental model matches the underlying SILICON.
1. HARDWARE-AWARE COMPLEXITY (Big-O in a vacuum is rejected):
   * Cache Lines: CPU/GPU memory moves in 64-byte or 128-byte chunks.
     A pointer-chasing O(N) linked-list is 50x slower than a contiguous O(N) array due to cache misses.
   * Memory Coalescing &amp; Bank Conflicts: Consecutive threads must access consecutive
     memory addresses. Strided access serializes memory transactions into separate bus requests.
   * Branch Divergence: If threads in a 32-thread warp take different branches (if/else),
     both execution paths are serialized. Write branchless / bit-predicated logic where possible.
2. BITWISE ARITHMETIC AS A NATIVE LANGUAGE:
   * Thread &amp; Warp Masks: __activemask(), __ballot_sync(), popcount (__builtin_popcount).
   * Memory Alignment: Aligning address X to 64 bytes: (X + 63) &amp; ~63.
   * Fast Power-of-Two: (n &amp; (n - 1)) == 0, modulo mask (x &amp; (2^k - 1)).
   * Bit-reversal and lowest set bit (x &amp; -x) for Fenwick trees and parallel FFTs.
3. PARALLEL REDUCTIONS &amp; WARP PRIMITIVES:
   * Never stop at a sequential loop. Always be prepared to answer:
     "How does this run across 32 parallel threads in a warp?"
   * Master Blelloch work-efficient parallel scan (up-sweep / down-sweep tree reduction).
   * Master warp-shuffle reductions (__shfl_down_sync) for sum, min, max without shared memory.
4. DATA LAYOUT: SoA vs AoS:
   * Structure of Arrays (SoA: x[N], y[N], z[N]) allows SIMD/GPU coalesced vector loads.
   * Array of Structures (AoS: struct Point{x,y,z} pts[N]) causes strided, uncoalesced memory fetches.
5. LOCK-FREE COMMAND QUEUES &amp; PRODUCER-CONSUMER:
   * SPSC (Single-Producer Single-Consumer) ring buffers with acquire/release memory fences.
   * Power-of-two buffer sizing for branchless index wrapping.
   * Avoid false sharing by padding cache lines (alignas(64)).
6. SPARSE MATRICES &amp; TENSOR STRIDES:
   * Compressed Sparse Row (CSR: values, column_indices, row_pointers) and CSC.
   * 2:4 Structured Sparsity (NVIDIA Ampere/Hopper Tensor Core 2x throughput).
   * Strided indexing (offset = sum(coord[i] * stride[i])) and in-place tensor transposition.
7. NCCL &amp; DISTRIBUTED COLLECTIVES:
   * Ring All-Reduce vs Tree All-Reduce: bandwidth vs latency trade-offs.
   * Ring All-Reduce: 2*(P-1)/P * S transfer size (constant bandwidth scaling as cluster size P grows).</t>
        </is>
      </c>
      <c r="B44" s="33" t="n"/>
    </row>
    <row r="45">
      <c r="A45" s="7" t="n"/>
      <c r="B45" s="7" t="n"/>
    </row>
    <row r="46" ht="26" customHeight="1">
      <c r="A46" s="5" t="inlineStr">
        <is>
          <t xml:space="preserve">  COMPLEXITY TRAINING  (first-class skill)</t>
        </is>
      </c>
      <c r="B46" s="6" t="n"/>
    </row>
    <row r="47" ht="196" customHeight="1">
      <c r="A47" s="32" t="inlineStr">
        <is>
          <t>For EVERY problem, answer these before writing a single line of code:
  1. What is the brute-force TC and why?
  2. What makes it slow? (which step is repeated unnecessarily?)
  3. What is the target TC? (derived from n in the constraints)
  4. What is the likely lower bound? (can we prove nothing faster exists?)
  5. What is the SC?
  6. What happens at maximum input size? (n=10^5, n=10^9)
n &lt;= 20        -&gt;  O(2^n) or O(n!) acceptable (backtracking, bitmask DP)
n &lt;= 500       -&gt;  O(n^2) or O(n^2 log n) acceptable
n &lt;= 5,000     -&gt;  O(n^2) tight
n &lt;= 100,000   -&gt;  O(n log n) required
n &lt;= 1,000,000 -&gt;  O(n) strongly preferred
n &lt;= 10^9      -&gt;  O(log n) or O(1) only</t>
        </is>
      </c>
      <c r="B47" s="33" t="n"/>
    </row>
    <row r="48">
      <c r="A48" s="7" t="n"/>
      <c r="B48" s="7" t="n"/>
    </row>
    <row r="49" ht="26" customHeight="1">
      <c r="A49" s="5" t="inlineStr">
        <is>
          <t xml:space="preserve">  RESOURCE DISCIPLINE &amp; CURATED YOUTUBE CREATORS</t>
        </is>
      </c>
      <c r="B49" s="6" t="n"/>
    </row>
    <row r="50" ht="126" customHeight="1">
      <c r="A50" s="32" t="inlineStr">
        <is>
          <t>Curated tutorial channels:
  - Striver (take U forward) - algorithmic patterns &amp; technical interview rigor
  - Aditya Verma - intuition &amp; recurrence templates (DP, Stack, Sliding Window, BS)
  - Love Babbar (CodeHelp) - clear structural breakdowns &amp; Hindi explanations
  - Padho with Pratyush - pattern-based DSA mastery, algorithmic pattern recognition &amp; FAANG problem archetypes
  - NeetCode (neetcode.io) - concise visual problem walkthroughs &amp; clean code
  - Specialized channels: Abdul Bari (algorithms), WilliamFiset (graphs), Errichto (range trees), Martin Thompson (lock-free), CMU DB (paging)
See the dedicated 'YouTubeChannels' sheet tab in this workbook for direct 1-click links to master playlists and channel URLs.</t>
        </is>
      </c>
      <c r="B50" s="33" t="n"/>
    </row>
  </sheetData>
  <mergeCells count="34">
    <mergeCell ref="A11:B11"/>
    <mergeCell ref="A49:B49"/>
    <mergeCell ref="A1:B1"/>
    <mergeCell ref="A16:B16"/>
    <mergeCell ref="A7:B7"/>
    <mergeCell ref="A25:B25"/>
    <mergeCell ref="A41:B41"/>
    <mergeCell ref="A37:B37"/>
    <mergeCell ref="A46:B46"/>
    <mergeCell ref="A50:B50"/>
    <mergeCell ref="A26:B26"/>
    <mergeCell ref="A2:B2"/>
    <mergeCell ref="A47:B47"/>
    <mergeCell ref="A5:B5"/>
    <mergeCell ref="A32:B32"/>
    <mergeCell ref="A14:B14"/>
    <mergeCell ref="A23:B23"/>
    <mergeCell ref="A17:B17"/>
    <mergeCell ref="A8:B8"/>
    <mergeCell ref="A22:B22"/>
    <mergeCell ref="A35:B35"/>
    <mergeCell ref="A4:B4"/>
    <mergeCell ref="A20:B20"/>
    <mergeCell ref="A38:B38"/>
    <mergeCell ref="A29:B29"/>
    <mergeCell ref="A43:B43"/>
    <mergeCell ref="A19:B19"/>
    <mergeCell ref="A10:B10"/>
    <mergeCell ref="A28:B28"/>
    <mergeCell ref="A13:B13"/>
    <mergeCell ref="A44:B44"/>
    <mergeCell ref="A40:B40"/>
    <mergeCell ref="A31:B31"/>
    <mergeCell ref="A34:B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6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12" customWidth="1" min="3" max="3"/>
    <col width="46" customWidth="1" min="4" max="4"/>
    <col width="24" customWidth="1" min="5" max="5"/>
    <col width="36" customWidth="1" min="6" max="6"/>
    <col width="9" customWidth="1" min="7" max="7"/>
    <col width="30" customWidth="1" min="8" max="8"/>
    <col width="6" customWidth="1" min="9" max="9"/>
    <col width="11" customWidth="1" min="10" max="10"/>
    <col width="18" customWidth="1" min="11" max="11"/>
    <col width="38" customWidth="1" min="12" max="12"/>
    <col width="6" customWidth="1" min="13" max="13"/>
    <col width="8" customWidth="1" min="14" max="14"/>
    <col width="38" customWidth="1" min="15" max="15"/>
    <col width="6" customWidth="1" min="16" max="16"/>
    <col width="8" customWidth="1" min="17" max="17"/>
    <col width="34" customWidth="1" min="18" max="18"/>
    <col width="46" customWidth="1" min="19" max="19"/>
    <col width="44" customWidth="1" min="20" max="20"/>
    <col width="40" customWidth="1" min="21" max="21"/>
    <col width="22" customWidth="1" min="22" max="22"/>
    <col width="10" customWidth="1" min="23" max="23"/>
    <col width="8" customWidth="1" min="24" max="24"/>
    <col width="34" customWidth="1" min="25" max="25"/>
    <col width="18" customWidth="1" min="26" max="26"/>
    <col width="8" customWidth="1" min="27" max="27"/>
    <col width="22" customWidth="1" min="28" max="28"/>
  </cols>
  <sheetData>
    <row r="1" ht="28" customHeight="1">
      <c r="A1" s="34" t="inlineStr">
        <is>
          <t>Day</t>
        </is>
      </c>
      <c r="B1" s="34" t="inlineStr">
        <is>
          <t>Week</t>
        </is>
      </c>
      <c r="C1" s="34" t="inlineStr">
        <is>
          <t>Date</t>
        </is>
      </c>
      <c r="D1" s="34" t="inlineStr">
        <is>
          <t>Objective</t>
        </is>
      </c>
      <c r="E1" s="34" t="inlineStr">
        <is>
          <t>Pattern</t>
        </is>
      </c>
      <c r="F1" s="34" t="inlineStr">
        <is>
          <t>Concept</t>
        </is>
      </c>
      <c r="G1" s="34" t="inlineStr">
        <is>
          <t>Tutorial?</t>
        </is>
      </c>
      <c r="H1" s="34" t="inlineStr">
        <is>
          <t>Tutorial Topic</t>
        </is>
      </c>
      <c r="I1" s="34" t="inlineStr">
        <is>
          <t>Tut min</t>
        </is>
      </c>
      <c r="J1" s="34" t="inlineStr">
        <is>
          <t>Mode</t>
        </is>
      </c>
      <c r="K1" s="34" t="inlineStr">
        <is>
          <t>Help / Stuck Protocol</t>
        </is>
      </c>
      <c r="L1" s="34" t="inlineStr">
        <is>
          <t>Problem 1</t>
        </is>
      </c>
      <c r="M1" s="34" t="inlineStr">
        <is>
          <t>P1 Diff</t>
        </is>
      </c>
      <c r="N1" s="34" t="inlineStr">
        <is>
          <t>P1 Target min</t>
        </is>
      </c>
      <c r="O1" s="34" t="inlineStr">
        <is>
          <t>Problem 2</t>
        </is>
      </c>
      <c r="P1" s="34" t="inlineStr">
        <is>
          <t>P2 Diff</t>
        </is>
      </c>
      <c r="Q1" s="34" t="inlineStr">
        <is>
          <t>P2 Target min</t>
        </is>
      </c>
      <c r="R1" s="34" t="inlineStr">
        <is>
          <t>Review Problem</t>
        </is>
      </c>
      <c r="S1" s="34" t="inlineStr">
        <is>
          <t>Reconstruction Task</t>
        </is>
      </c>
      <c r="T1" s="34" t="inlineStr">
        <is>
          <t>Assessment Question</t>
        </is>
      </c>
      <c r="U1" s="34" t="inlineStr">
        <is>
          <t>AI-Infra Connection</t>
        </is>
      </c>
      <c r="V1" s="34" t="inlineStr">
        <is>
          <t>Skill Gained</t>
        </is>
      </c>
      <c r="W1" s="34" t="inlineStr">
        <is>
          <t>Completed?</t>
        </is>
      </c>
      <c r="X1" s="34" t="inlineStr">
        <is>
          <t>Actual min</t>
        </is>
      </c>
      <c r="Y1" s="34" t="inlineStr">
        <is>
          <t>Notes</t>
        </is>
      </c>
      <c r="Z1" s="34" t="inlineStr">
        <is>
          <t>Failure Category</t>
        </is>
      </c>
      <c r="AA1" s="34" t="inlineStr">
        <is>
          <t>2nd-Sol?</t>
        </is>
      </c>
      <c r="AB1" s="34" t="inlineStr">
        <is>
          <t>YouTube Tutorial ↗</t>
        </is>
      </c>
    </row>
    <row r="2" ht="56" customHeight="1">
      <c r="A2" s="35" t="n">
        <v>1</v>
      </c>
      <c r="B2" s="35" t="n">
        <v>1</v>
      </c>
      <c r="C2" s="36" t="n">
        <v>46296</v>
      </c>
      <c r="D2" s="37" t="inlineStr">
        <is>
          <t>Set up C++ environment, learn syntax, types, and get your very first green Accepted checkmark on LeetCode without intimidation</t>
        </is>
      </c>
      <c r="E2" s="37" t="inlineStr">
        <is>
          <t>C++ Fundamentals &amp; I/O</t>
        </is>
      </c>
      <c r="F2" s="37" t="inlineStr">
        <is>
          <t>Basic syntax, #include &lt;iostream&gt;, int main(), primitive types, cin/cout, LeetCode function signatures</t>
        </is>
      </c>
      <c r="G2" s="37" t="inlineStr">
        <is>
          <t>YES</t>
        </is>
      </c>
      <c r="H2" s="38">
        <f>HYPERLINK("https://www.youtube.com/watch?v=EAR7De6Goz4", "C++ Setup, Syntax &amp; LeetCode Workflow")</f>
        <v/>
      </c>
      <c r="I2" s="35" t="n">
        <v>30</v>
      </c>
      <c r="J2" s="37" t="inlineStr">
        <is>
          <t>Untimed</t>
        </is>
      </c>
      <c r="K2" s="37" t="inlineStr">
        <is>
          <t>Tutorial &amp; step-by-step guidance</t>
        </is>
      </c>
      <c r="L2" s="37" t="inlineStr">
        <is>
          <t>LC 2235 Add Two Integers</t>
        </is>
      </c>
      <c r="M2" s="35" t="inlineStr">
        <is>
          <t>E</t>
        </is>
      </c>
      <c r="N2" s="35" t="n">
        <v>5</v>
      </c>
      <c r="O2" s="37" t="inlineStr">
        <is>
          <t>LC 2469 Convert the Temperature</t>
        </is>
      </c>
      <c r="P2" s="35" t="inlineStr">
        <is>
          <t>E</t>
        </is>
      </c>
      <c r="Q2" s="35" t="n">
        <v>10</v>
      </c>
      <c r="R2" s="37" t="inlineStr">
        <is>
          <t>-</t>
        </is>
      </c>
      <c r="S2" s="37" t="inlineStr">
        <is>
          <t>Write a minimal C++ program with main(), cin/cout, and basic type declarations from memory</t>
        </is>
      </c>
      <c r="T2" s="37" t="inlineStr">
        <is>
          <t>Did your code compile without syntax errors and pass all tests on LeetCode? Yes/No</t>
        </is>
      </c>
      <c r="U2" s="37" t="inlineStr">
        <is>
          <t>Every GPU kernel in CUDA and AI engine is written in static, strongly-typed C++</t>
        </is>
      </c>
      <c r="V2" s="37" t="inlineStr">
        <is>
          <t>C++ syntax &amp; environment setup</t>
        </is>
      </c>
      <c r="W2" s="35" t="n"/>
      <c r="X2" s="35" t="n"/>
      <c r="Y2" s="37" t="n"/>
      <c r="Z2" s="37" t="n"/>
      <c r="AA2" s="35" t="n"/>
      <c r="AB2" s="39">
        <f>HYPERLINK("https://www.youtube.com/watch?v=EAR7De6Goz4", "▶ Watch (Striver) ↗")</f>
        <v/>
      </c>
    </row>
    <row r="3" ht="56" customHeight="1">
      <c r="A3" s="35" t="n">
        <v>2</v>
      </c>
      <c r="B3" s="35" t="n">
        <v>1</v>
      </c>
      <c r="C3" s="36" t="n">
        <v>46297</v>
      </c>
      <c r="D3" s="37" t="inlineStr">
        <is>
          <t>Master if-else logic and loop mechanics (for, while); learn to step-trace variables on paper before typing</t>
        </is>
      </c>
      <c r="E3" s="37" t="inlineStr">
        <is>
          <t>Conditionals &amp; Loops</t>
        </is>
      </c>
      <c r="F3" s="37" t="inlineStr">
        <is>
          <t>if/else branching; for and while loop bounds; step-tracing variables on paper; digit extraction via % 10 and / 10</t>
        </is>
      </c>
      <c r="G3" s="37" t="inlineStr">
        <is>
          <t>YES</t>
        </is>
      </c>
      <c r="H3" s="38">
        <f>HYPERLINK("https://www.youtube.com/watch?v=p3YUQB9-B1g", "Loop Mechanics &amp; Tracing on Paper")</f>
        <v/>
      </c>
      <c r="I3" s="35" t="n">
        <v>25</v>
      </c>
      <c r="J3" s="37" t="inlineStr">
        <is>
          <t>Untimed</t>
        </is>
      </c>
      <c r="K3" s="37" t="inlineStr">
        <is>
          <t>Step trace on paper first</t>
        </is>
      </c>
      <c r="L3" s="37" t="inlineStr">
        <is>
          <t>LC 9 Palindrome Number</t>
        </is>
      </c>
      <c r="M3" s="35" t="inlineStr">
        <is>
          <t>E</t>
        </is>
      </c>
      <c r="N3" s="35" t="n">
        <v>15</v>
      </c>
      <c r="O3" s="37" t="inlineStr">
        <is>
          <t>LC 1480 Running Sum of 1d Array</t>
        </is>
      </c>
      <c r="P3" s="35" t="inlineStr">
        <is>
          <t>E</t>
        </is>
      </c>
      <c r="Q3" s="35" t="n">
        <v>10</v>
      </c>
      <c r="R3" s="37" t="inlineStr">
        <is>
          <t>LC 2235 Add Two Integers</t>
        </is>
      </c>
      <c r="S3" s="37" t="inlineStr">
        <is>
          <t>Trace loop states on paper for n = 121 (x % 10, x / 10, rev) without running code</t>
        </is>
      </c>
      <c r="T3" s="37" t="inlineStr">
        <is>
          <t>Did you trace the loop iteration by iteration on paper before submitting?</t>
        </is>
      </c>
      <c r="U3" s="37" t="inlineStr">
        <is>
          <t>Loop bounds and stepping control thread-grid execution in GPU blocks</t>
        </is>
      </c>
      <c r="V3" s="37" t="inlineStr">
        <is>
          <t>Loop execution &amp; state tracing</t>
        </is>
      </c>
      <c r="W3" s="35" t="n"/>
      <c r="X3" s="35" t="n"/>
      <c r="Y3" s="37" t="n"/>
      <c r="Z3" s="37" t="n"/>
      <c r="AA3" s="35" t="n"/>
      <c r="AB3" s="39">
        <f>HYPERLINK("https://www.youtube.com/watch?v=p3YUQB9-B1g", "▶ Watch (Gate Smashers) ↗")</f>
        <v/>
      </c>
    </row>
    <row r="4" ht="56" customHeight="1">
      <c r="A4" s="35" t="n">
        <v>3</v>
      </c>
      <c r="B4" s="35" t="n">
        <v>1</v>
      </c>
      <c r="C4" s="36" t="n">
        <v>46298</v>
      </c>
      <c r="D4" s="37" t="inlineStr">
        <is>
          <t>Demystify Big-O through loop iterations: 1 loop = O(N), nested loops = O(N^2), 10^8 operations/sec CPU limit</t>
        </is>
      </c>
      <c r="E4" s="37" t="inlineStr">
        <is>
          <t>Complexity calibration</t>
        </is>
      </c>
      <c r="F4" s="37" t="inlineStr">
        <is>
          <t>Loop counting: 1 loop = O(N), 2 nested loops = O(N^2), binary halving = O(log N); modern CPUs do ~10^8 ops/sec; why N=10^5 causes TLE on O(N^2)</t>
        </is>
      </c>
      <c r="G4" s="37" t="inlineStr">
        <is>
          <t>YES</t>
        </is>
      </c>
      <c r="H4" s="38">
        <f>HYPERLINK("https://www.youtube.com/watch?v=9TlHvipP5yA", "Time &amp; Space Complexity from Loops")</f>
        <v/>
      </c>
      <c r="I4" s="35" t="n">
        <v>30</v>
      </c>
      <c r="J4" s="37" t="inlineStr">
        <is>
          <t>Untimed</t>
        </is>
      </c>
      <c r="K4" s="37" t="inlineStr">
        <is>
          <t>Count loop operations</t>
        </is>
      </c>
      <c r="L4" s="37" t="inlineStr">
        <is>
          <t>LC 1929 Concatenation of Array</t>
        </is>
      </c>
      <c r="M4" s="35" t="inlineStr">
        <is>
          <t>E</t>
        </is>
      </c>
      <c r="N4" s="35" t="n">
        <v>10</v>
      </c>
      <c r="O4" s="37" t="inlineStr">
        <is>
          <t>LC 2011 Final Value of Variable After Operations</t>
        </is>
      </c>
      <c r="P4" s="35" t="inlineStr">
        <is>
          <t>E</t>
        </is>
      </c>
      <c r="Q4" s="35" t="n">
        <v>10</v>
      </c>
      <c r="R4" s="37" t="inlineStr">
        <is>
          <t>LC 9 Palindrome Number</t>
        </is>
      </c>
      <c r="S4" s="37" t="inlineStr">
        <is>
          <t>Write the 10^8 rule: given N = 20, 500, 5000, 10^5, 10^6, 10^9, state max feasible Big-O</t>
        </is>
      </c>
      <c r="T4" s="37" t="inlineStr">
        <is>
          <t>Can you calculate Big-O of a nested loop without guessing?</t>
        </is>
      </c>
      <c r="U4" s="37" t="inlineStr">
        <is>
          <t>Latency budgets in NVIDIA GPU kernels depend on input scale, not intuition</t>
        </is>
      </c>
      <c r="V4" s="37" t="inlineStr">
        <is>
          <t>Constraint-first thinking</t>
        </is>
      </c>
      <c r="W4" s="35" t="n"/>
      <c r="X4" s="35" t="n"/>
      <c r="Y4" s="37" t="n"/>
      <c r="Z4" s="37" t="n"/>
      <c r="AA4" s="35" t="n"/>
      <c r="AB4" s="39">
        <f>HYPERLINK("https://www.youtube.com/watch?v=9TlHvipP5yA", "▶ Watch (Abdul Bari) ↗")</f>
        <v/>
      </c>
    </row>
    <row r="5" ht="56" customHeight="1">
      <c r="A5" s="35" t="n">
        <v>4</v>
      </c>
      <c r="B5" s="35" t="n">
        <v>1</v>
      </c>
      <c r="C5" s="36" t="n">
        <v>46299</v>
      </c>
      <c r="D5" s="37" t="inlineStr">
        <is>
          <t>Understand memory passing: pass-by-value vs pass-by-reference (&amp;), and dynamic arrays (std::vector)</t>
        </is>
      </c>
      <c r="E5" s="37" t="inlineStr">
        <is>
          <t>Memory References &amp; Vectors</t>
        </is>
      </c>
      <c r="F5" s="37" t="inlineStr">
        <is>
          <t>Pass by value vs reference (&amp;); std::vector&lt;int&gt;, push_back(), size(), indexing; range-based for loops; avoiding copy overhead</t>
        </is>
      </c>
      <c r="G5" s="37" t="inlineStr">
        <is>
          <t>YES</t>
        </is>
      </c>
      <c r="H5" s="38">
        <f>HYPERLINK("https://www.youtube.com/watch?v=WgMPrLX-zsA", "C++ Vectors &amp; Pass-by-Reference (&amp;)")</f>
        <v/>
      </c>
      <c r="I5" s="35" t="n">
        <v>25</v>
      </c>
      <c r="J5" s="37" t="inlineStr">
        <is>
          <t>Untimed</t>
        </is>
      </c>
      <c r="K5" s="37" t="inlineStr">
        <is>
          <t>Understand memory passing</t>
        </is>
      </c>
      <c r="L5" s="37" t="inlineStr">
        <is>
          <t>LC 27 Remove Element</t>
        </is>
      </c>
      <c r="M5" s="35" t="inlineStr">
        <is>
          <t>E</t>
        </is>
      </c>
      <c r="N5" s="35" t="n">
        <v>15</v>
      </c>
      <c r="O5" s="37" t="inlineStr">
        <is>
          <t>LC 26 Remove Duplicates from Sorted Array</t>
        </is>
      </c>
      <c r="P5" s="35" t="inlineStr">
        <is>
          <t>E</t>
        </is>
      </c>
      <c r="Q5" s="35" t="n">
        <v>15</v>
      </c>
      <c r="R5" s="37" t="inlineStr">
        <is>
          <t>LC 1480 Running Sum of 1d Array</t>
        </is>
      </c>
      <c r="S5" s="37" t="inlineStr">
        <is>
          <t>Explain why passing vector&lt;int&gt;&amp; avoids an O(N) memory copy in RAM/cache</t>
        </is>
      </c>
      <c r="T5" s="37" t="inlineStr">
        <is>
          <t>Did you use in-place write pointer without creating an auxiliary vector?</t>
        </is>
      </c>
      <c r="U5" s="37" t="inlineStr">
        <is>
          <t>Zero-copy pointer passing is mandatory in high-performance GPU tensor engines</t>
        </is>
      </c>
      <c r="V5" s="37" t="inlineStr">
        <is>
          <t>In-place array manipulation</t>
        </is>
      </c>
      <c r="W5" s="35" t="n"/>
      <c r="X5" s="35" t="n"/>
      <c r="Y5" s="37" t="n"/>
      <c r="Z5" s="37" t="n"/>
      <c r="AA5" s="35" t="n"/>
      <c r="AB5" s="39">
        <f>HYPERLINK("https://www.youtube.com/watch?v=WgMPrLX-zsA", "▶ Watch (CodeHelp - by Babbar) ↗")</f>
        <v/>
      </c>
    </row>
    <row r="6" ht="56" customHeight="1">
      <c r="A6" s="35" t="n">
        <v>5</v>
      </c>
      <c r="B6" s="35" t="n">
        <v>1</v>
      </c>
      <c r="C6" s="36" t="n">
        <v>46300</v>
      </c>
      <c r="D6" s="37" t="inlineStr">
        <is>
          <t>Learn to maintain running state (min, max, count) in a single pass without extra memory</t>
        </is>
      </c>
      <c r="E6" s="37" t="inlineStr">
        <is>
          <t>Array Traversal &amp; Running State</t>
        </is>
      </c>
      <c r="F6" s="37" t="inlineStr">
        <is>
          <t>Initializing sentinel bounds (INT_MAX, INT_MIN); single-pass running tracking; in-place array shifting</t>
        </is>
      </c>
      <c r="G6" s="37" t="inlineStr">
        <is>
          <t>YES</t>
        </is>
      </c>
      <c r="H6" s="38">
        <f>HYPERLINK("https://www.youtube.com/watch?v=37E9ckMDdTk", "Array Traversal &amp; In-Place Shifts")</f>
        <v/>
      </c>
      <c r="I6" s="35" t="n">
        <v>20</v>
      </c>
      <c r="J6" s="37" t="inlineStr">
        <is>
          <t>Untimed</t>
        </is>
      </c>
      <c r="K6" s="37" t="inlineStr">
        <is>
          <t>Single-pass invariant</t>
        </is>
      </c>
      <c r="L6" s="37" t="inlineStr">
        <is>
          <t>LC 283 Move Zeroes</t>
        </is>
      </c>
      <c r="M6" s="35" t="inlineStr">
        <is>
          <t>E</t>
        </is>
      </c>
      <c r="N6" s="35" t="n">
        <v>15</v>
      </c>
      <c r="O6" s="37" t="inlineStr">
        <is>
          <t>LC 1752 Check if Array Is Sorted and Rotated</t>
        </is>
      </c>
      <c r="P6" s="35" t="inlineStr">
        <is>
          <t>E</t>
        </is>
      </c>
      <c r="Q6" s="35" t="n">
        <v>20</v>
      </c>
      <c r="R6" s="37" t="inlineStr">
        <is>
          <t>LC 26 Remove Duplicates from Sorted Array</t>
        </is>
      </c>
      <c r="S6" s="37" t="inlineStr">
        <is>
          <t>Write Move Zeroes with 2 pointers without using an auxiliary vector from memory</t>
        </is>
      </c>
      <c r="T6" s="37" t="inlineStr">
        <is>
          <t>Could you solve Move Zeroes in O(1) auxiliary space?</t>
        </is>
      </c>
      <c r="U6" s="37" t="inlineStr">
        <is>
          <t>In-place compaction mirrors zero-copy buffer compaction in network pipelines</t>
        </is>
      </c>
      <c r="V6" s="37" t="inlineStr">
        <is>
          <t>Single-pass running state</t>
        </is>
      </c>
      <c r="W6" s="35" t="n"/>
      <c r="X6" s="35" t="n"/>
      <c r="Y6" s="37" t="n"/>
      <c r="Z6" s="37" t="n"/>
      <c r="AA6" s="35" t="n"/>
      <c r="AB6" s="39">
        <f>HYPERLINK("https://www.youtube.com/watch?v=37E9ckMDdTk", "▶ Watch (Striver) ↗")</f>
        <v/>
      </c>
    </row>
    <row r="7" ht="56" customHeight="1">
      <c r="A7" s="35" t="n">
        <v>6</v>
      </c>
      <c r="B7" s="35" t="n">
        <v>1</v>
      </c>
      <c r="C7" s="36" t="n">
        <v>46301</v>
      </c>
      <c r="D7" s="37" t="inlineStr">
        <is>
          <t>Discover opposite-end two pointers: moving left and right pointers towards the center with clear termination</t>
        </is>
      </c>
      <c r="E7" s="37" t="inlineStr">
        <is>
          <t>Two pointers (opposite ends)</t>
        </is>
      </c>
      <c r="F7" s="37" t="inlineStr">
        <is>
          <t>left = 0, right = n - 1; while (left &lt; right); inward convergence; alphanumeric filtering</t>
        </is>
      </c>
      <c r="G7" s="37" t="inlineStr">
        <is>
          <t>YES</t>
        </is>
      </c>
      <c r="H7" s="38">
        <f>HYPERLINK("https://www.youtube.com/watch?v=jJXJ16kPFWg", "Two Pointers: Inward Convergence")</f>
        <v/>
      </c>
      <c r="I7" s="35" t="n">
        <v>20</v>
      </c>
      <c r="J7" s="37" t="inlineStr">
        <is>
          <t>Untimed</t>
        </is>
      </c>
      <c r="K7" s="37" t="inlineStr">
        <is>
          <t>Two pointers opposite ends</t>
        </is>
      </c>
      <c r="L7" s="37" t="inlineStr">
        <is>
          <t>LC 125 Valid Palindrome</t>
        </is>
      </c>
      <c r="M7" s="35" t="inlineStr">
        <is>
          <t>E</t>
        </is>
      </c>
      <c r="N7" s="35" t="n">
        <v>15</v>
      </c>
      <c r="O7" s="37" t="inlineStr">
        <is>
          <t>LC 344 Reverse String</t>
        </is>
      </c>
      <c r="P7" s="35" t="inlineStr">
        <is>
          <t>E</t>
        </is>
      </c>
      <c r="Q7" s="35" t="n">
        <v>10</v>
      </c>
      <c r="R7" s="37" t="inlineStr">
        <is>
          <t>LC 283 Move Zeroes</t>
        </is>
      </c>
      <c r="S7" s="37" t="inlineStr">
        <is>
          <t>Prove why left &lt; right terminates correctly and what happens on odd vs even lengths</t>
        </is>
      </c>
      <c r="T7" s="37" t="inlineStr">
        <is>
          <t>Did you handle punctuation and uppercase without extra array allocation?</t>
        </is>
      </c>
      <c r="U7" s="37" t="inlineStr">
        <is>
          <t>Bidirectional stream compaction in ring buffers</t>
        </is>
      </c>
      <c r="V7" s="37" t="inlineStr">
        <is>
          <t>Inward pointer convergence</t>
        </is>
      </c>
      <c r="W7" s="35" t="n"/>
      <c r="X7" s="35" t="n"/>
      <c r="Y7" s="37" t="n"/>
      <c r="Z7" s="37" t="n"/>
      <c r="AA7" s="35" t="n"/>
      <c r="AB7" s="39">
        <f>HYPERLINK("https://www.youtube.com/watch?v=jJXJ16kPFWg", "▶ Watch (NeetCode) ↗")</f>
        <v/>
      </c>
    </row>
    <row r="8" ht="56" customHeight="1">
      <c r="A8" s="35" t="n">
        <v>7</v>
      </c>
      <c r="B8" s="35" t="n">
        <v>1</v>
      </c>
      <c r="C8" s="36" t="n">
        <v>46302</v>
      </c>
      <c r="D8" s="37" t="inlineStr">
        <is>
          <t>Lock in Week 1 patterns: syntax, loop mechanics, vectors, and in-place pointers without looking at solutions</t>
        </is>
      </c>
      <c r="E8" s="37" t="inlineStr">
        <is>
          <t>Review/audit</t>
        </is>
      </c>
      <c r="F8" s="37" t="inlineStr">
        <is>
          <t>Retention without notes: C++ syntax, loops, vectors, in-place pointer shifts</t>
        </is>
      </c>
      <c r="G8" s="37" t="inlineStr">
        <is>
          <t>NO</t>
        </is>
      </c>
      <c r="H8" s="37" t="inlineStr">
        <is>
          <t>-</t>
        </is>
      </c>
      <c r="I8" s="35" t="inlineStr"/>
      <c r="J8" s="37" t="inlineStr">
        <is>
          <t>Untimed</t>
        </is>
      </c>
      <c r="K8" s="37" t="inlineStr">
        <is>
          <t>Notes forbidden</t>
        </is>
      </c>
      <c r="L8" s="37" t="inlineStr">
        <is>
          <t>LC 9 Palindrome Number</t>
        </is>
      </c>
      <c r="M8" s="35" t="inlineStr">
        <is>
          <t>E</t>
        </is>
      </c>
      <c r="N8" s="35" t="n">
        <v>15</v>
      </c>
      <c r="O8" s="37" t="inlineStr">
        <is>
          <t>LC 283 Move Zeroes</t>
        </is>
      </c>
      <c r="P8" s="35" t="inlineStr">
        <is>
          <t>E</t>
        </is>
      </c>
      <c r="Q8" s="35" t="n">
        <v>15</v>
      </c>
      <c r="R8" s="37" t="inlineStr">
        <is>
          <t>All Week 1 problems</t>
        </is>
      </c>
      <c r="S8" s="37" t="inlineStr">
        <is>
          <t>Re-solve Palindrome Number and Move Zeroes on a blank editor with zero notes</t>
        </is>
      </c>
      <c r="T8" s="37" t="inlineStr">
        <is>
          <t>Can you write clean, compiling C++ vector code without syntax errors?</t>
        </is>
      </c>
      <c r="U8" s="37" t="inlineStr">
        <is>
          <t>Foundational fluency is required before hardware-aware optimization</t>
        </is>
      </c>
      <c r="V8" s="37" t="inlineStr">
        <is>
          <t>Retention + self-audit</t>
        </is>
      </c>
      <c r="W8" s="35" t="n"/>
      <c r="X8" s="35" t="n"/>
      <c r="Y8" s="37" t="n"/>
      <c r="Z8" s="37" t="n"/>
      <c r="AA8" s="35" t="n"/>
      <c r="AB8" s="40" t="inlineStr">
        <is>
          <t>—</t>
        </is>
      </c>
    </row>
    <row r="9" ht="56" customHeight="1">
      <c r="A9" s="41" t="n">
        <v>8</v>
      </c>
      <c r="B9" s="41" t="n">
        <v>2</v>
      </c>
      <c r="C9" s="42" t="n">
        <v>46303</v>
      </c>
      <c r="D9" s="43" t="inlineStr">
        <is>
          <t>Turn counting into O(1) lookups: frequency arrays count[26] vs unordered_map</t>
        </is>
      </c>
      <c r="E9" s="43" t="inlineStr">
        <is>
          <t>Frequency/counting + hashing</t>
        </is>
      </c>
      <c r="F9" s="43" t="inlineStr">
        <is>
          <t>Direct index hashing via s[i] - 'a'; hash map as an index; O(1) average lookup vs O(N) linear search</t>
        </is>
      </c>
      <c r="G9" s="43" t="inlineStr">
        <is>
          <t>YES</t>
        </is>
      </c>
      <c r="H9" s="44">
        <f>HYPERLINK("https://www.youtube.com/watch?v=KEs5UyBJ39g", "Hashing &amp; Frequency Counting")</f>
        <v/>
      </c>
      <c r="I9" s="41" t="n">
        <v>30</v>
      </c>
      <c r="J9" s="43" t="inlineStr">
        <is>
          <t>Untimed</t>
        </is>
      </c>
      <c r="K9" s="43" t="inlineStr">
        <is>
          <t>Hash map as index</t>
        </is>
      </c>
      <c r="L9" s="43" t="inlineStr">
        <is>
          <t>LC 242 Valid Anagram</t>
        </is>
      </c>
      <c r="M9" s="41" t="inlineStr">
        <is>
          <t>E</t>
        </is>
      </c>
      <c r="N9" s="41" t="n">
        <v>15</v>
      </c>
      <c r="O9" s="43" t="inlineStr">
        <is>
          <t>LC 217 Contains Duplicate</t>
        </is>
      </c>
      <c r="P9" s="41" t="inlineStr">
        <is>
          <t>E</t>
        </is>
      </c>
      <c r="Q9" s="41" t="n">
        <v>12</v>
      </c>
      <c r="R9" s="43" t="inlineStr">
        <is>
          <t>LC 125 Valid Palindrome</t>
        </is>
      </c>
      <c r="S9" s="43" t="inlineStr">
        <is>
          <t>Explain why int count[26] is 10x faster than unordered_map due to L1 cache locality</t>
        </is>
      </c>
      <c r="T9" s="43" t="inlineStr">
        <is>
          <t>Could you design the frequency array yourself without hints?</t>
        </is>
      </c>
      <c r="U9" s="43" t="inlineStr">
        <is>
          <t>Direct index tables underpin GPU kernel launch lookup tables</t>
        </is>
      </c>
      <c r="V9" s="43" t="inlineStr">
        <is>
          <t>Hash key design</t>
        </is>
      </c>
      <c r="W9" s="41" t="n"/>
      <c r="X9" s="41" t="n"/>
      <c r="Y9" s="43" t="n"/>
      <c r="Z9" s="43" t="n"/>
      <c r="AA9" s="41" t="n"/>
      <c r="AB9" s="45">
        <f>HYPERLINK("https://www.youtube.com/watch?v=KEs5UyBJ39g", "▶ Watch (Striver) ↗")</f>
        <v/>
      </c>
    </row>
    <row r="10" ht="56" customHeight="1">
      <c r="A10" s="41" t="n">
        <v>9</v>
      </c>
      <c r="B10" s="41" t="n">
        <v>2</v>
      </c>
      <c r="C10" s="42" t="n">
        <v>46304</v>
      </c>
      <c r="D10" s="43" t="inlineStr">
        <is>
          <t>Master the complement lookup: transforming O(N^2) brute force into O(N) single-pass with a hash map</t>
        </is>
      </c>
      <c r="E10" s="43" t="inlineStr">
        <is>
          <t>Complement Lookup (Hash Map)</t>
        </is>
      </c>
      <c r="F10" s="43" t="inlineStr">
        <is>
          <t>For each x, check if target - x is in map; value -&gt; index map; single-pass lookup</t>
        </is>
      </c>
      <c r="G10" s="43" t="inlineStr">
        <is>
          <t>YES</t>
        </is>
      </c>
      <c r="H10" s="44">
        <f>HYPERLINK("https://www.youtube.com/watch?v=KLlXCFG5TnA", "Two Sum &amp; Stock Mental Model")</f>
        <v/>
      </c>
      <c r="I10" s="41" t="n">
        <v>25</v>
      </c>
      <c r="J10" s="43" t="inlineStr">
        <is>
          <t>Untimed</t>
        </is>
      </c>
      <c r="K10" s="43" t="inlineStr">
        <is>
          <t>Complement lookup</t>
        </is>
      </c>
      <c r="L10" s="43" t="inlineStr">
        <is>
          <t>LC 1 Two Sum</t>
        </is>
      </c>
      <c r="M10" s="41" t="inlineStr">
        <is>
          <t>E</t>
        </is>
      </c>
      <c r="N10" s="41" t="n">
        <v>15</v>
      </c>
      <c r="O10" s="43" t="inlineStr">
        <is>
          <t>LC 121 Best Time to Buy &amp; Sell Stock</t>
        </is>
      </c>
      <c r="P10" s="41" t="inlineStr">
        <is>
          <t>E</t>
        </is>
      </c>
      <c r="Q10" s="41" t="n">
        <v>15</v>
      </c>
      <c r="R10" s="43" t="inlineStr">
        <is>
          <t>LC 217 Contains Duplicate</t>
        </is>
      </c>
      <c r="S10" s="43" t="inlineStr">
        <is>
          <t>Derive Two Sum brute force O(N^2) vs hash map O(N) on paper; explain one-pass complement check</t>
        </is>
      </c>
      <c r="T10" s="43" t="inlineStr">
        <is>
          <t>Did you state why one-pass map prevents using the same element twice?</t>
        </is>
      </c>
      <c r="U10" s="43" t="inlineStr">
        <is>
          <t>Key-value indexing in high-throughput inference caches</t>
        </is>
      </c>
      <c r="V10" s="43" t="inlineStr">
        <is>
          <t>Complement lookup</t>
        </is>
      </c>
      <c r="W10" s="41" t="n"/>
      <c r="X10" s="41" t="n"/>
      <c r="Y10" s="43" t="n"/>
      <c r="Z10" s="43" t="n"/>
      <c r="AA10" s="41" t="n"/>
      <c r="AB10" s="45">
        <f>HYPERLINK("https://www.youtube.com/watch?v=KLlXCFG5TnA", "▶ Watch (NeetCode) ↗")</f>
        <v/>
      </c>
    </row>
    <row r="11" ht="56" customHeight="1">
      <c r="A11" s="41" t="n">
        <v>10</v>
      </c>
      <c r="B11" s="41" t="n">
        <v>2</v>
      </c>
      <c r="C11" s="42" t="n">
        <v>46305</v>
      </c>
      <c r="D11" s="43" t="inlineStr">
        <is>
          <t>Learn when sorting unlocks two pointers: achieving O(N) time and O(1) space without hash map memory overhead</t>
        </is>
      </c>
      <c r="E11" s="43" t="inlineStr">
        <is>
          <t>Two pointers (sorted input)</t>
        </is>
      </c>
      <c r="F11" s="43" t="inlineStr">
        <is>
          <t>If sorted: sum &lt; target -&gt; left++; sum &gt; target -&gt; right--; eliminating entire search halves</t>
        </is>
      </c>
      <c r="G11" s="43" t="inlineStr">
        <is>
          <t>YES</t>
        </is>
      </c>
      <c r="H11" s="44">
        <f>HYPERLINK("https://www.youtube.com/watch?v=cQ1Oz4ckceM", "Two Pointers on Sorted Arrays")</f>
        <v/>
      </c>
      <c r="I11" s="41" t="n">
        <v>20</v>
      </c>
      <c r="J11" s="43" t="inlineStr">
        <is>
          <t>Untimed</t>
        </is>
      </c>
      <c r="K11" s="43" t="inlineStr">
        <is>
          <t>Sorted two pointers</t>
        </is>
      </c>
      <c r="L11" s="43" t="inlineStr">
        <is>
          <t>LC 167 Two Sum II</t>
        </is>
      </c>
      <c r="M11" s="41" t="inlineStr">
        <is>
          <t>E</t>
        </is>
      </c>
      <c r="N11" s="41" t="n">
        <v>15</v>
      </c>
      <c r="O11" s="43" t="inlineStr">
        <is>
          <t>LC 977 Squares of a Sorted Array</t>
        </is>
      </c>
      <c r="P11" s="41" t="inlineStr">
        <is>
          <t>E</t>
        </is>
      </c>
      <c r="Q11" s="41" t="n">
        <v>18</v>
      </c>
      <c r="R11" s="43" t="inlineStr">
        <is>
          <t>LC 1 Two Sum</t>
        </is>
      </c>
      <c r="S11" s="43" t="inlineStr">
        <is>
          <t>Prove why Two Sum II on sorted input never misses the answer with two pointers</t>
        </is>
      </c>
      <c r="T11" s="43" t="inlineStr">
        <is>
          <t>Did you avoid allocating an O(N) hash map when the input is sorted?</t>
        </is>
      </c>
      <c r="U11" s="43" t="inlineStr">
        <is>
          <t>Sorted shard scans and merge joins in distributed columnar databases</t>
        </is>
      </c>
      <c r="V11" s="43" t="inlineStr">
        <is>
          <t>Monotonic pointer proof</t>
        </is>
      </c>
      <c r="W11" s="41" t="n"/>
      <c r="X11" s="41" t="n"/>
      <c r="Y11" s="43" t="n"/>
      <c r="Z11" s="43" t="n"/>
      <c r="AA11" s="41" t="n"/>
      <c r="AB11" s="45">
        <f>HYPERLINK("https://www.youtube.com/watch?v=cQ1Oz4ckceM", "▶ Watch (NeetCode) ↗")</f>
        <v/>
      </c>
    </row>
    <row r="12" ht="56" customHeight="1">
      <c r="A12" s="41" t="n">
        <v>11</v>
      </c>
      <c r="B12" s="41" t="n">
        <v>2</v>
      </c>
      <c r="C12" s="42" t="n">
        <v>46306</v>
      </c>
      <c r="D12" s="43" t="inlineStr">
        <is>
          <t>Learn partial-sum precomputation to answer any range sum query in O(1) time</t>
        </is>
      </c>
      <c r="E12" s="43" t="inlineStr">
        <is>
          <t>Prefix/suffix reasoning</t>
        </is>
      </c>
      <c r="F12" s="43" t="inlineStr">
        <is>
          <t>prefix[i] = prefix[i-1] + nums[i]; range [L, R] = prefix[R] - prefix[L-1]; avoiding repeated O(N) scans</t>
        </is>
      </c>
      <c r="G12" s="43" t="inlineStr">
        <is>
          <t>YES</t>
        </is>
      </c>
      <c r="H12" s="44">
        <f>HYPERLINK("https://www.youtube.com/watch?v=DhFh8Kw7ymk", "Prefix Sum Fundamentals")</f>
        <v/>
      </c>
      <c r="I12" s="41" t="n">
        <v>25</v>
      </c>
      <c r="J12" s="43" t="inlineStr">
        <is>
          <t>Untimed</t>
        </is>
      </c>
      <c r="K12" s="43" t="inlineStr">
        <is>
          <t>Precompute partial sums</t>
        </is>
      </c>
      <c r="L12" s="43" t="inlineStr">
        <is>
          <t>LC 724 Find Pivot Index</t>
        </is>
      </c>
      <c r="M12" s="41" t="inlineStr">
        <is>
          <t>E</t>
        </is>
      </c>
      <c r="N12" s="41" t="n">
        <v>15</v>
      </c>
      <c r="O12" s="43" t="inlineStr">
        <is>
          <t>LC 303 Range Sum Query - Immutable</t>
        </is>
      </c>
      <c r="P12" s="41" t="inlineStr">
        <is>
          <t>E</t>
        </is>
      </c>
      <c r="Q12" s="41" t="n">
        <v>15</v>
      </c>
      <c r="R12" s="43" t="inlineStr">
        <is>
          <t>LC 121 Best Time to Buy &amp; Sell Stock</t>
        </is>
      </c>
      <c r="S12" s="43" t="inlineStr">
        <is>
          <t>Write the prefix sum formula for range [L, R] and explain the L=0 edge case from memory</t>
        </is>
      </c>
      <c r="T12" s="43" t="inlineStr">
        <is>
          <t>Can you state the loop invariant of the prefix sum array in one sentence?</t>
        </is>
      </c>
      <c r="U12" s="43" t="inlineStr">
        <is>
          <t>Cumulative metrics and rolling latency telemetry over time-series data</t>
        </is>
      </c>
      <c r="V12" s="43" t="inlineStr">
        <is>
          <t>Reuse of partial results</t>
        </is>
      </c>
      <c r="W12" s="41" t="n"/>
      <c r="X12" s="41" t="n"/>
      <c r="Y12" s="43" t="n"/>
      <c r="Z12" s="43" t="n"/>
      <c r="AA12" s="41" t="n"/>
      <c r="AB12" s="45">
        <f>HYPERLINK("https://www.youtube.com/watch?v=DhFh8Kw7ymk", "▶ Watch (Striver) ↗")</f>
        <v/>
      </c>
    </row>
    <row r="13" ht="56" customHeight="1">
      <c r="A13" s="41" t="n">
        <v>12</v>
      </c>
      <c r="B13" s="41" t="n">
        <v>2</v>
      </c>
      <c r="C13" s="42" t="n">
        <v>46307</v>
      </c>
      <c r="D13" s="43" t="inlineStr">
        <is>
          <t>Learn to slide a window of size K in O(1) per step by adding incoming and subtracting outgoing</t>
        </is>
      </c>
      <c r="E13" s="43" t="inlineStr">
        <is>
          <t>Sliding window (fixed)</t>
        </is>
      </c>
      <c r="F13" s="43" t="inlineStr">
        <is>
          <t>Fixed size K: compute initial window of size K; then loop i from K to N-1, updating sum += nums[i] - nums[i-K]</t>
        </is>
      </c>
      <c r="G13" s="43" t="inlineStr">
        <is>
          <t>YES</t>
        </is>
      </c>
      <c r="H13" s="44">
        <f>HYPERLINK("https://www.youtube.com/watch?v=EHCGAZBbB88", "Sliding Window: Fixed Size")</f>
        <v/>
      </c>
      <c r="I13" s="41" t="n">
        <v>25</v>
      </c>
      <c r="J13" s="43" t="inlineStr">
        <is>
          <t>Untimed</t>
        </is>
      </c>
      <c r="K13" s="43" t="inlineStr">
        <is>
          <t>Fixed window slide</t>
        </is>
      </c>
      <c r="L13" s="43" t="inlineStr">
        <is>
          <t>LC 643 Maximum Average Subarray I</t>
        </is>
      </c>
      <c r="M13" s="41" t="inlineStr">
        <is>
          <t>E</t>
        </is>
      </c>
      <c r="N13" s="41" t="n">
        <v>15</v>
      </c>
      <c r="O13" s="43" t="inlineStr">
        <is>
          <t>LC 1876 Substrings of Size Three with Distinct Characters</t>
        </is>
      </c>
      <c r="P13" s="41" t="inlineStr">
        <is>
          <t>E</t>
        </is>
      </c>
      <c r="Q13" s="41" t="n">
        <v>15</v>
      </c>
      <c r="R13" s="43" t="inlineStr">
        <is>
          <t>LC 724 Find Pivot Index</t>
        </is>
      </c>
      <c r="S13" s="43" t="inlineStr">
        <is>
          <t>Write the sliding window sum update step: sum += incoming - outgoing from memory</t>
        </is>
      </c>
      <c r="T13" s="43" t="inlineStr">
        <is>
          <t>Did you avoid recomputing the sum of K elements at each step?</t>
        </is>
      </c>
      <c r="U13" s="43" t="inlineStr">
        <is>
          <t>Sliding rate-limit windows and token buckets in API gateways</t>
        </is>
      </c>
      <c r="V13" s="43" t="inlineStr">
        <is>
          <t>Fixed window sliding</t>
        </is>
      </c>
      <c r="W13" s="41" t="n"/>
      <c r="X13" s="41" t="n"/>
      <c r="Y13" s="43" t="n"/>
      <c r="Z13" s="43" t="n"/>
      <c r="AA13" s="41" t="n"/>
      <c r="AB13" s="45">
        <f>HYPERLINK("https://www.youtube.com/watch?v=EHCGAZBbB88", "▶ Watch (Aditya Verma) ↗")</f>
        <v/>
      </c>
    </row>
    <row r="14" ht="56" customHeight="1">
      <c r="A14" s="41" t="n">
        <v>13</v>
      </c>
      <c r="B14" s="41" t="n">
        <v>2</v>
      </c>
      <c r="C14" s="42" t="n">
        <v>46308</v>
      </c>
      <c r="D14" s="43" t="inlineStr">
        <is>
          <t>Understand dynamic window expansion and shrinking based on monotonic conditions</t>
        </is>
      </c>
      <c r="E14" s="43" t="inlineStr">
        <is>
          <t>Sliding window (variable)</t>
        </is>
      </c>
      <c r="F14" s="43" t="inlineStr">
        <is>
          <t>Expand right pointer; while (condition violated) shrink left pointer; tracking window metrics</t>
        </is>
      </c>
      <c r="G14" s="43" t="inlineStr">
        <is>
          <t>YES</t>
        </is>
      </c>
      <c r="H14" s="44">
        <f>HYPERLINK("https://www.youtube.com/watch?v=cyu_nuW5utA", "Sliding Window: Variable Size")</f>
        <v/>
      </c>
      <c r="I14" s="41" t="n">
        <v>25</v>
      </c>
      <c r="J14" s="43" t="inlineStr">
        <is>
          <t>Untimed</t>
        </is>
      </c>
      <c r="K14" s="43" t="inlineStr">
        <is>
          <t>Expand right, shrink left</t>
        </is>
      </c>
      <c r="L14" s="43" t="inlineStr">
        <is>
          <t>LC 209 Minimum Size Subarray Sum</t>
        </is>
      </c>
      <c r="M14" s="41" t="inlineStr">
        <is>
          <t>M</t>
        </is>
      </c>
      <c r="N14" s="41" t="n">
        <v>25</v>
      </c>
      <c r="O14" s="43" t="inlineStr">
        <is>
          <t>LC 1004 Max Consecutive Ones III</t>
        </is>
      </c>
      <c r="P14" s="41" t="inlineStr">
        <is>
          <t>M</t>
        </is>
      </c>
      <c r="Q14" s="41" t="n">
        <v>25</v>
      </c>
      <c r="R14" s="43" t="inlineStr">
        <is>
          <t>LC 643 Maximum Average Subarray I</t>
        </is>
      </c>
      <c r="S14" s="43" t="inlineStr">
        <is>
          <t>Write the expand and shrink loop conditions for LC 209; explain why total steps is 2*N -&gt; O(N)</t>
        </is>
      </c>
      <c r="T14" s="43" t="inlineStr">
        <is>
          <t>Did you understand why the nested while loop still yields O(N) amortized time?</t>
        </is>
      </c>
      <c r="U14" s="43" t="inlineStr">
        <is>
          <t>Dynamic queue window sizing under varying network packet congestion</t>
        </is>
      </c>
      <c r="V14" s="43" t="inlineStr">
        <is>
          <t>Variable window invariants</t>
        </is>
      </c>
      <c r="W14" s="41" t="n"/>
      <c r="X14" s="41" t="n"/>
      <c r="Y14" s="43" t="n"/>
      <c r="Z14" s="43" t="n"/>
      <c r="AA14" s="41" t="n"/>
      <c r="AB14" s="45">
        <f>HYPERLINK("https://www.youtube.com/watch?v=cyu_nuW5utA", "▶ Watch (Aditya Verma) ↗")</f>
        <v/>
      </c>
    </row>
    <row r="15" ht="56" customHeight="1">
      <c r="A15" s="41" t="n">
        <v>14</v>
      </c>
      <c r="B15" s="41" t="n">
        <v>2</v>
      </c>
      <c r="C15" s="42" t="n">
        <v>46309</v>
      </c>
      <c r="D15" s="43" t="inlineStr">
        <is>
          <t>Comprehensive test across all linear foundations: Vectors, Hashing, Two Pointers, Prefix Sum, Sliding Window</t>
        </is>
      </c>
      <c r="E15" s="43" t="inlineStr">
        <is>
          <t>Review/audit</t>
        </is>
      </c>
      <c r="F15" s="43" t="inlineStr">
        <is>
          <t>Pattern discrimination: recognizing whether a problem requires Hashing, Two Pointers, or Sliding Window</t>
        </is>
      </c>
      <c r="G15" s="43" t="inlineStr">
        <is>
          <t>NO</t>
        </is>
      </c>
      <c r="H15" s="43" t="inlineStr">
        <is>
          <t>-</t>
        </is>
      </c>
      <c r="I15" s="41" t="inlineStr"/>
      <c r="J15" s="43" t="inlineStr">
        <is>
          <t>Timed-40</t>
        </is>
      </c>
      <c r="K15" s="43" t="inlineStr">
        <is>
          <t>No hints</t>
        </is>
      </c>
      <c r="L15" s="43" t="inlineStr">
        <is>
          <t>LC 1 Two Sum</t>
        </is>
      </c>
      <c r="M15" s="41" t="inlineStr">
        <is>
          <t>E</t>
        </is>
      </c>
      <c r="N15" s="41" t="n">
        <v>12</v>
      </c>
      <c r="O15" s="43" t="inlineStr">
        <is>
          <t>LC 724 Find Pivot Index</t>
        </is>
      </c>
      <c r="P15" s="41" t="inlineStr">
        <is>
          <t>E</t>
        </is>
      </c>
      <c r="Q15" s="41" t="n">
        <v>15</v>
      </c>
      <c r="R15" s="43" t="inlineStr">
        <is>
          <t>ReviewQueue top 3</t>
        </is>
      </c>
      <c r="S15" s="43" t="inlineStr">
        <is>
          <t>Draw a 3-way decision tree: When to use Two Pointers vs Sliding Window vs Hash Map</t>
        </is>
      </c>
      <c r="T15" s="43" t="inlineStr">
        <is>
          <t>Did you solve both problems within 30 minutes without looking at past code?</t>
        </is>
      </c>
      <c r="U15" s="43" t="inlineStr">
        <is>
          <t>Linear scan optimization is the foundation for GPU memory streaming</t>
        </is>
      </c>
      <c r="V15" s="43" t="inlineStr">
        <is>
          <t>Linear foundations mastery</t>
        </is>
      </c>
      <c r="W15" s="41" t="n"/>
      <c r="X15" s="41" t="n"/>
      <c r="Y15" s="43" t="n"/>
      <c r="Z15" s="43" t="n"/>
      <c r="AA15" s="41" t="n"/>
      <c r="AB15" s="46" t="inlineStr">
        <is>
          <t>—</t>
        </is>
      </c>
    </row>
    <row r="16" ht="56" customHeight="1">
      <c r="A16" s="35" t="n">
        <v>15</v>
      </c>
      <c r="B16" s="35" t="n">
        <v>3</v>
      </c>
      <c r="C16" s="36" t="n">
        <v>46310</v>
      </c>
      <c r="D16" s="37" t="inlineStr">
        <is>
          <t>Binary search correctness from invariants, not from memory of a template</t>
        </is>
      </c>
      <c r="E16" s="37" t="inlineStr">
        <is>
          <t>Binary search (index)</t>
        </is>
      </c>
      <c r="F16" s="37" t="inlineStr">
        <is>
          <t>Half-open invariant; lower_bound vs upper_bound; off-by-one elimination</t>
        </is>
      </c>
      <c r="G16" s="37" t="inlineStr">
        <is>
          <t>YES</t>
        </is>
      </c>
      <c r="H16" s="38">
        <f>HYPERLINK("https://www.youtube.com/watch?v=DfljaUwZsOk", "Binary search boundaries: invariant-first approach")</f>
        <v/>
      </c>
      <c r="I16" s="35" t="n">
        <v>25</v>
      </c>
      <c r="J16" s="37" t="inlineStr">
        <is>
          <t>Untimed</t>
        </is>
      </c>
      <c r="K16" s="37" t="inlineStr">
        <is>
          <t>Tutorial before</t>
        </is>
      </c>
      <c r="L16" s="37" t="inlineStr">
        <is>
          <t>LC 704 Binary Search</t>
        </is>
      </c>
      <c r="M16" s="35" t="inlineStr">
        <is>
          <t>E</t>
        </is>
      </c>
      <c r="N16" s="35" t="n">
        <v>10</v>
      </c>
      <c r="O16" s="37" t="inlineStr">
        <is>
          <t>LC 34 Find First and Last Position</t>
        </is>
      </c>
      <c r="P16" s="35" t="inlineStr">
        <is>
          <t>M</t>
        </is>
      </c>
      <c r="Q16" s="35" t="n">
        <v>25</v>
      </c>
      <c r="R16" s="37" t="inlineStr">
        <is>
          <t>LC 1004 Max Consecutive Ones III</t>
        </is>
      </c>
      <c r="S16" s="37" t="inlineStr">
        <is>
          <t>Write lower_bound AND upper_bound from memory with NO template; state the invariant of each</t>
        </is>
      </c>
      <c r="T16" s="37" t="inlineStr">
        <is>
          <t>Bug-free without a template? If no, that is F6 and it costs you in every future BS problem.</t>
        </is>
      </c>
      <c r="U16" s="37" t="inlineStr">
        <is>
          <t>Index lookups in sorted on-disk structures (SSTables, sorted file offsets)</t>
        </is>
      </c>
      <c r="V16" s="37" t="inlineStr">
        <is>
          <t>Boundary reasoning from invariants</t>
        </is>
      </c>
      <c r="W16" s="35" t="n"/>
      <c r="X16" s="35" t="n"/>
      <c r="Y16" s="37" t="n"/>
      <c r="Z16" s="37" t="n"/>
      <c r="AA16" s="35" t="n"/>
      <c r="AB16" s="39">
        <f>HYPERLINK("https://www.youtube.com/watch?v=DfljaUwZsOk", "▶ Watch (Padho with Pratyush) ↗")</f>
        <v/>
      </c>
    </row>
    <row r="17" ht="56" customHeight="1">
      <c r="A17" s="35" t="n">
        <v>16</v>
      </c>
      <c r="B17" s="35" t="n">
        <v>3</v>
      </c>
      <c r="C17" s="36" t="n">
        <v>46311</v>
      </c>
      <c r="D17" s="37" t="inlineStr">
        <is>
          <t>Binary search on broken monotonicity  -  rotated array</t>
        </is>
      </c>
      <c r="E17" s="37" t="inlineStr">
        <is>
          <t>Binary search (rotated)</t>
        </is>
      </c>
      <c r="F17" s="37" t="inlineStr">
        <is>
          <t>Detect the sorted half; prove the test is correct; handle duplicates</t>
        </is>
      </c>
      <c r="G17" s="37" t="inlineStr">
        <is>
          <t>NO</t>
        </is>
      </c>
      <c r="H17" s="37" t="inlineStr">
        <is>
          <t>-</t>
        </is>
      </c>
      <c r="I17" s="35" t="inlineStr"/>
      <c r="J17" s="37" t="inlineStr">
        <is>
          <t>Untimed</t>
        </is>
      </c>
      <c r="K17" s="37" t="inlineStr">
        <is>
          <t>1 hint @20min</t>
        </is>
      </c>
      <c r="L17" s="37" t="inlineStr">
        <is>
          <t>LC 33 Search in Rotated Sorted Array</t>
        </is>
      </c>
      <c r="M17" s="35" t="inlineStr">
        <is>
          <t>M</t>
        </is>
      </c>
      <c r="N17" s="35" t="n">
        <v>30</v>
      </c>
      <c r="O17" s="37" t="inlineStr">
        <is>
          <t>LC 153 Find Minimum in Rotated Sorted Array</t>
        </is>
      </c>
      <c r="P17" s="35" t="inlineStr">
        <is>
          <t>M</t>
        </is>
      </c>
      <c r="Q17" s="35" t="n">
        <v>20</v>
      </c>
      <c r="R17" s="37" t="inlineStr">
        <is>
          <t>LC 34 Find First and Last Position</t>
        </is>
      </c>
      <c r="S17" s="37" t="inlineStr">
        <is>
          <t>Explain which half is sorted, why the test is correct, and what breaks with duplicates (LC 81)</t>
        </is>
      </c>
      <c r="T17" s="37" t="inlineStr">
        <is>
          <t>Did you enumerate the 4 cases before coding, or debug into a solution?</t>
        </is>
      </c>
      <c r="U17" s="37" t="inlineStr">
        <is>
          <t>Circular buffers; ring-index math in lock-free queues</t>
        </is>
      </c>
      <c r="V17" s="37" t="inlineStr">
        <is>
          <t>Partial-order search</t>
        </is>
      </c>
      <c r="W17" s="35" t="n"/>
      <c r="X17" s="35" t="n"/>
      <c r="Y17" s="37" t="n"/>
      <c r="Z17" s="37" t="n"/>
      <c r="AA17" s="35" t="n"/>
      <c r="AB17" s="40" t="inlineStr">
        <is>
          <t>—</t>
        </is>
      </c>
    </row>
    <row r="18" ht="56" customHeight="1">
      <c r="A18" s="35" t="n">
        <v>17</v>
      </c>
      <c r="B18" s="35" t="n">
        <v>3</v>
      </c>
      <c r="C18" s="36" t="n">
        <v>46312</v>
      </c>
      <c r="D18" s="37" t="inlineStr">
        <is>
          <t>Binary search ON THE ANSWER  -  the single highest-leverage pattern in this program</t>
        </is>
      </c>
      <c r="E18" s="37" t="inlineStr">
        <is>
          <t>Binary search on answer</t>
        </is>
      </c>
      <c r="F18" s="37" t="inlineStr">
        <is>
          <t>Monotone predicate feasible(x); search value space not index space</t>
        </is>
      </c>
      <c r="G18" s="37" t="inlineStr">
        <is>
          <t>YES</t>
        </is>
      </c>
      <c r="H18" s="38">
        <f>HYPERLINK("https://www.youtube.com/watch?v=C2apEw9pgtw", "Binary search on answer / parametric search")</f>
        <v/>
      </c>
      <c r="I18" s="35" t="n">
        <v>25</v>
      </c>
      <c r="J18" s="37" t="inlineStr">
        <is>
          <t>Untimed</t>
        </is>
      </c>
      <c r="K18" s="37" t="inlineStr">
        <is>
          <t>Tutorial before, then solve alone with no help</t>
        </is>
      </c>
      <c r="L18" s="37" t="inlineStr">
        <is>
          <t>LC 875 Koko Eating Bananas</t>
        </is>
      </c>
      <c r="M18" s="35" t="inlineStr">
        <is>
          <t>M</t>
        </is>
      </c>
      <c r="N18" s="35" t="n">
        <v>25</v>
      </c>
      <c r="O18" s="37" t="inlineStr">
        <is>
          <t>LC 1011 Capacity to Ship Packages Within D Days</t>
        </is>
      </c>
      <c r="P18" s="35" t="inlineStr">
        <is>
          <t>M</t>
        </is>
      </c>
      <c r="Q18" s="35" t="n">
        <v>25</v>
      </c>
      <c r="R18" s="37" t="inlineStr">
        <is>
          <t>LC 33 Search in Rotated Sorted Array</t>
        </is>
      </c>
      <c r="S18" s="37" t="inlineStr">
        <is>
          <t>Write the 3 validity conditions for BS-on-answer: answer space bounded, predicate monotone, predicate fast</t>
        </is>
      </c>
      <c r="T18" s="37" t="inlineStr">
        <is>
          <t>Do 'minimize the maximum' and 'maximize the minimum' now trigger this pattern instantly?</t>
        </is>
      </c>
      <c r="U18" s="37" t="inlineStr">
        <is>
          <t>Capacity planning, autoscaling thresholds, batch-size selection, quota fitting, SLO optimization</t>
        </is>
      </c>
      <c r="V18" s="37" t="inlineStr">
        <is>
          <t>Parametric search</t>
        </is>
      </c>
      <c r="W18" s="35" t="n"/>
      <c r="X18" s="35" t="n"/>
      <c r="Y18" s="37" t="n"/>
      <c r="Z18" s="37" t="n"/>
      <c r="AA18" s="35" t="n"/>
      <c r="AB18" s="39">
        <f>HYPERLINK("https://www.youtube.com/watch?v=C2apEw9pgtw", "▶ Watch (Abdul Bari) ↗")</f>
        <v/>
      </c>
    </row>
    <row r="19" ht="56" customHeight="1">
      <c r="A19" s="35" t="n">
        <v>18</v>
      </c>
      <c r="B19" s="35" t="n">
        <v>3</v>
      </c>
      <c r="C19" s="36" t="n">
        <v>46313</v>
      </c>
      <c r="D19" s="37" t="inlineStr">
        <is>
          <t>[2-SOL] Harder predicate design  -  construct feasible() when it is not obvious</t>
        </is>
      </c>
      <c r="E19" s="37" t="inlineStr">
        <is>
          <t>Binary search on answer (hard predicates)</t>
        </is>
      </c>
      <c r="F19" s="37" t="inlineStr">
        <is>
          <t>feasible() construction; proving monotonicity</t>
        </is>
      </c>
      <c r="G19" s="37" t="inlineStr">
        <is>
          <t>NO</t>
        </is>
      </c>
      <c r="H19" s="37" t="inlineStr">
        <is>
          <t>-</t>
        </is>
      </c>
      <c r="I19" s="35" t="inlineStr"/>
      <c r="J19" s="37" t="inlineStr">
        <is>
          <t>Untimed</t>
        </is>
      </c>
      <c r="K19" s="37" t="inlineStr">
        <is>
          <t>1 hint @25min</t>
        </is>
      </c>
      <c r="L19" s="37" t="inlineStr">
        <is>
          <t>LC 410 Split Array Largest Sum</t>
        </is>
      </c>
      <c r="M19" s="35" t="inlineStr">
        <is>
          <t>H</t>
        </is>
      </c>
      <c r="N19" s="35" t="n">
        <v>40</v>
      </c>
      <c r="O19" s="37" t="inlineStr">
        <is>
          <t>LC 1482 Minimum Number of Days to Make m Bouquets</t>
        </is>
      </c>
      <c r="P19" s="35" t="inlineStr">
        <is>
          <t>M</t>
        </is>
      </c>
      <c r="Q19" s="35" t="n">
        <v>25</v>
      </c>
      <c r="R19" s="37" t="inlineStr">
        <is>
          <t>LC 875 Koko Eating Bananas</t>
        </is>
      </c>
      <c r="S19" s="37" t="inlineStr">
        <is>
          <t>Rederive feasible() for LC 410 with no notes; prove its monotonicity; find the DP alternative O(kn^2)</t>
        </is>
      </c>
      <c r="T19" s="37" t="inlineStr">
        <is>
          <t>Was your predicate actually monotone? Prove it  -  unproven predicates are guesses.</t>
        </is>
      </c>
      <c r="U19" s="37" t="inlineStr">
        <is>
          <t>Sharding load across workers under a max-per-worker bound; SLO-constrained batching</t>
        </is>
      </c>
      <c r="V19" s="37" t="inlineStr">
        <is>
          <t>Predicate construction + second solution (DP)</t>
        </is>
      </c>
      <c r="W19" s="35" t="n"/>
      <c r="X19" s="35" t="n"/>
      <c r="Y19" s="37" t="n"/>
      <c r="Z19" s="37" t="n"/>
      <c r="AA19" s="35" t="n"/>
      <c r="AB19" s="40" t="inlineStr">
        <is>
          <t>—</t>
        </is>
      </c>
    </row>
    <row r="20" ht="56" customHeight="1">
      <c r="A20" s="35" t="n">
        <v>19</v>
      </c>
      <c r="B20" s="35" t="n">
        <v>3</v>
      </c>
      <c r="C20" s="36" t="n">
        <v>46314</v>
      </c>
      <c r="D20" s="37" t="inlineStr">
        <is>
          <t>Binary search where input is not a flat array; second solutions required</t>
        </is>
      </c>
      <c r="E20" s="37" t="inlineStr">
        <is>
          <t>Binary search (abstract) + partition</t>
        </is>
      </c>
      <c r="F20" s="37" t="inlineStr">
        <is>
          <t>count(&lt;=x) counting search; binary search over a 2D structure</t>
        </is>
      </c>
      <c r="G20" s="37" t="inlineStr">
        <is>
          <t>NO</t>
        </is>
      </c>
      <c r="H20" s="37" t="inlineStr">
        <is>
          <t>-</t>
        </is>
      </c>
      <c r="I20" s="35" t="inlineStr"/>
      <c r="J20" s="37" t="inlineStr">
        <is>
          <t>Untimed</t>
        </is>
      </c>
      <c r="K20" s="37" t="inlineStr">
        <is>
          <t>1 hint @30min</t>
        </is>
      </c>
      <c r="L20" s="37" t="inlineStr">
        <is>
          <t>LC 378 Kth Smallest in a Sorted Matrix</t>
        </is>
      </c>
      <c r="M20" s="35" t="inlineStr">
        <is>
          <t>M</t>
        </is>
      </c>
      <c r="N20" s="35" t="n">
        <v>35</v>
      </c>
      <c r="O20" s="37" t="inlineStr">
        <is>
          <t>LC 4 Median of Two Sorted Arrays</t>
        </is>
      </c>
      <c r="P20" s="35" t="inlineStr">
        <is>
          <t>H</t>
        </is>
      </c>
      <c r="Q20" s="35" t="n">
        <v>45</v>
      </c>
      <c r="R20" s="37" t="inlineStr">
        <is>
          <t>LC 410 Split Array Largest Sum</t>
        </is>
      </c>
      <c r="S20" s="37" t="inlineStr">
        <is>
          <t>Explain BOTH: count(&lt;=x) search and the O(log(min(m,n))) partition method for LC 4</t>
        </is>
      </c>
      <c r="T20" s="37" t="inlineStr">
        <is>
          <t>Two genuinely different solutions found? If only one, you are template-locked.</t>
        </is>
      </c>
      <c r="U20" s="37" t="inlineStr">
        <is>
          <t>Quantile estimation over sorted shards; distributed k-th element queries</t>
        </is>
      </c>
      <c r="V20" s="37" t="inlineStr">
        <is>
          <t>Second-solution habit</t>
        </is>
      </c>
      <c r="W20" s="35" t="n"/>
      <c r="X20" s="35" t="n"/>
      <c r="Y20" s="37" t="n"/>
      <c r="Z20" s="37" t="n"/>
      <c r="AA20" s="35" t="n"/>
      <c r="AB20" s="40" t="inlineStr">
        <is>
          <t>—</t>
        </is>
      </c>
    </row>
    <row r="21" ht="56" customHeight="1">
      <c r="A21" s="35" t="n">
        <v>20</v>
      </c>
      <c r="B21" s="35" t="n">
        <v>3</v>
      </c>
      <c r="C21" s="36" t="n">
        <v>46315</v>
      </c>
      <c r="D21" s="37" t="inlineStr">
        <is>
          <t>Blind mix: sort, window, or binary search  -  eliminate from constraints first</t>
        </is>
      </c>
      <c r="E21" s="37" t="inlineStr">
        <is>
          <t>Blind (W1-W3)</t>
        </is>
      </c>
      <c r="F21" s="37" t="inlineStr">
        <is>
          <t>Approach elimination from constraint reading; recognition speed</t>
        </is>
      </c>
      <c r="G21" s="37" t="inlineStr">
        <is>
          <t>NO</t>
        </is>
      </c>
      <c r="H21" s="37" t="inlineStr">
        <is>
          <t>-</t>
        </is>
      </c>
      <c r="I21" s="35" t="inlineStr"/>
      <c r="J21" s="37" t="inlineStr">
        <is>
          <t>Timed-50</t>
        </is>
      </c>
      <c r="K21" s="37" t="inlineStr">
        <is>
          <t>None</t>
        </is>
      </c>
      <c r="L21" s="37" t="inlineStr">
        <is>
          <t>LC 162 Find Peak Element</t>
        </is>
      </c>
      <c r="M21" s="35" t="inlineStr">
        <is>
          <t>M</t>
        </is>
      </c>
      <c r="N21" s="35" t="n">
        <v>20</v>
      </c>
      <c r="O21" s="37" t="inlineStr">
        <is>
          <t>LC 2300 Successful Pairs of Spells and Potions</t>
        </is>
      </c>
      <c r="P21" s="35" t="inlineStr">
        <is>
          <t>M</t>
        </is>
      </c>
      <c r="Q21" s="35" t="n">
        <v>25</v>
      </c>
      <c r="R21" s="37" t="inlineStr">
        <is>
          <t>LC 4 Median of Two Sorted Arrays</t>
        </is>
      </c>
      <c r="S21" s="37" t="inlineStr">
        <is>
          <t>For each: write the single constraint clue that revealed the pattern</t>
        </is>
      </c>
      <c r="T21" s="37" t="inlineStr">
        <is>
          <t>Time-to-pattern &lt; 4 min for both? Record both numbers in MockInterviews.</t>
        </is>
      </c>
      <c r="U21" s="37" t="inlineStr">
        <is>
          <t>Threshold queries over sorted metric arrays in monitoring systems</t>
        </is>
      </c>
      <c r="V21" s="37" t="inlineStr">
        <is>
          <t>Fast elimination from constraint reading</t>
        </is>
      </c>
      <c r="W21" s="35" t="n"/>
      <c r="X21" s="35" t="n"/>
      <c r="Y21" s="37" t="n"/>
      <c r="Z21" s="37" t="n"/>
      <c r="AA21" s="35" t="n"/>
      <c r="AB21" s="40" t="inlineStr">
        <is>
          <t>—</t>
        </is>
      </c>
    </row>
    <row r="22" ht="56" customHeight="1">
      <c r="A22" s="35" t="n">
        <v>21</v>
      </c>
      <c r="B22" s="35" t="n">
        <v>3</v>
      </c>
      <c r="C22" s="36" t="n">
        <v>46316</v>
      </c>
      <c r="D22" s="37" t="inlineStr">
        <is>
          <t>Week 3  -  complexity drilling as a first-class skill (10 reps, no coding)</t>
        </is>
      </c>
      <c r="E22" s="37" t="inlineStr">
        <is>
          <t>Review/complexity</t>
        </is>
      </c>
      <c r="F22" s="37" t="inlineStr">
        <is>
          <t>Estimate TC/SC BEFORE coding; lower bounds; 10 targeted dreps</t>
        </is>
      </c>
      <c r="G22" s="37" t="inlineStr">
        <is>
          <t>NO</t>
        </is>
      </c>
      <c r="H22" s="37" t="inlineStr">
        <is>
          <t>-</t>
        </is>
      </c>
      <c r="I22" s="35" t="inlineStr"/>
      <c r="J22" s="37" t="inlineStr">
        <is>
          <t>Untimed</t>
        </is>
      </c>
      <c r="K22" s="37" t="inlineStr">
        <is>
          <t>None</t>
        </is>
      </c>
      <c r="L22" s="37" t="inlineStr">
        <is>
          <t>10 complexity drills: read problem  -&gt;  brute TC  -&gt;  target TC  -&gt;  SC  -&gt;  lower bound. No coding.</t>
        </is>
      </c>
      <c r="M22" s="35" t="inlineStr">
        <is>
          <t>-</t>
        </is>
      </c>
      <c r="N22" s="35" t="n">
        <v>30</v>
      </c>
      <c r="O22" s="37" t="inlineStr">
        <is>
          <t>Retest your 2 worst W3 problems</t>
        </is>
      </c>
      <c r="P22" s="35" t="inlineStr">
        <is>
          <t>M</t>
        </is>
      </c>
      <c r="Q22" s="35" t="n">
        <v>40</v>
      </c>
      <c r="R22" s="37" t="inlineStr">
        <is>
          <t>ReviewQueue top 3</t>
        </is>
      </c>
      <c r="S22" s="37" t="inlineStr">
        <is>
          <t>Rederive the 3 BS-on-answer validity conditions; write 3 problems where it does NOT apply</t>
        </is>
      </c>
      <c r="T22" s="37" t="inlineStr">
        <is>
          <t>Complexity accuracy /10. Below 7 means F5 is your bottleneck, not algorithms.</t>
        </is>
      </c>
      <c r="U22" s="37" t="inlineStr">
        <is>
          <t>-</t>
        </is>
      </c>
      <c r="V22" s="37" t="inlineStr">
        <is>
          <t>Complexity fluency</t>
        </is>
      </c>
      <c r="W22" s="35" t="n"/>
      <c r="X22" s="35" t="n"/>
      <c r="Y22" s="37" t="n"/>
      <c r="Z22" s="37" t="n"/>
      <c r="AA22" s="35" t="n"/>
      <c r="AB22" s="40" t="inlineStr">
        <is>
          <t>—</t>
        </is>
      </c>
    </row>
    <row r="23" ht="56" customHeight="1">
      <c r="A23" s="41" t="n">
        <v>22</v>
      </c>
      <c r="B23" s="41" t="n">
        <v>4</v>
      </c>
      <c r="C23" s="42" t="n">
        <v>46317</v>
      </c>
      <c r="D23" s="43" t="inlineStr">
        <is>
          <t>Sorting as preprocessing: what invariant does the sort create?</t>
        </is>
      </c>
      <c r="E23" s="43" t="inlineStr">
        <is>
          <t>Sort + linear scan</t>
        </is>
      </c>
      <c r="F23" s="43" t="inlineStr">
        <is>
          <t>Sort manufactures monotonicity you can exploit greedily; sort KEY matters</t>
        </is>
      </c>
      <c r="G23" s="43" t="inlineStr">
        <is>
          <t>NO</t>
        </is>
      </c>
      <c r="H23" s="43" t="inlineStr">
        <is>
          <t>-</t>
        </is>
      </c>
      <c r="I23" s="41" t="inlineStr"/>
      <c r="J23" s="43" t="inlineStr">
        <is>
          <t>Untimed</t>
        </is>
      </c>
      <c r="K23" s="43" t="inlineStr">
        <is>
          <t>1 hint @20min</t>
        </is>
      </c>
      <c r="L23" s="43" t="inlineStr">
        <is>
          <t>LC 56 Merge Intervals</t>
        </is>
      </c>
      <c r="M23" s="41" t="inlineStr">
        <is>
          <t>M</t>
        </is>
      </c>
      <c r="N23" s="41" t="n">
        <v>25</v>
      </c>
      <c r="O23" s="43" t="inlineStr">
        <is>
          <t>LC 435 Non-Overlapping Intervals</t>
        </is>
      </c>
      <c r="P23" s="41" t="inlineStr">
        <is>
          <t>M</t>
        </is>
      </c>
      <c r="Q23" s="41" t="n">
        <v>25</v>
      </c>
      <c r="R23" s="43" t="inlineStr">
        <is>
          <t>LC 2300 Successful Pairs of Spells and Potions</t>
        </is>
      </c>
      <c r="S23" s="43" t="inlineStr">
        <is>
          <t>State exactly what invariant the sort created in each problem, and why the sort key (start vs end) matters</t>
        </is>
      </c>
      <c r="T23" s="43" t="inlineStr">
        <is>
          <t>Did you justify the sort key, or try both until tests passed?</t>
        </is>
      </c>
      <c r="U23" s="43" t="inlineStr">
        <is>
          <t>Log compaction ordering; dedup windows; merging of sorted shard outputs in LSM-trees</t>
        </is>
      </c>
      <c r="V23" s="43" t="inlineStr">
        <is>
          <t>Preprocessing mindset</t>
        </is>
      </c>
      <c r="W23" s="41" t="n"/>
      <c r="X23" s="41" t="n"/>
      <c r="Y23" s="43" t="n"/>
      <c r="Z23" s="43" t="n"/>
      <c r="AA23" s="41" t="n"/>
      <c r="AB23" s="46" t="inlineStr">
        <is>
          <t>—</t>
        </is>
      </c>
    </row>
    <row r="24" ht="56" customHeight="1">
      <c r="A24" s="41" t="n">
        <v>23</v>
      </c>
      <c r="B24" s="41" t="n">
        <v>4</v>
      </c>
      <c r="C24" s="42" t="n">
        <v>46318</v>
      </c>
      <c r="D24" s="43" t="inlineStr">
        <is>
          <t>Interval reasoning and sweep line  -  two equivalent views</t>
        </is>
      </c>
      <c r="E24" s="43" t="inlineStr">
        <is>
          <t>Intervals/sweep line</t>
        </is>
      </c>
      <c r="F24" s="43" t="inlineStr">
        <is>
          <t>Events +1/-1; heap-of-end-times as equivalent model</t>
        </is>
      </c>
      <c r="G24" s="43" t="inlineStr">
        <is>
          <t>YES</t>
        </is>
      </c>
      <c r="H24" s="44">
        <f>HYPERLINK("https://www.youtube.com/watch?v=Nq7ok-OyEpg", "Sweep line and event counting")</f>
        <v/>
      </c>
      <c r="I24" s="41" t="n">
        <v>20</v>
      </c>
      <c r="J24" s="43" t="inlineStr">
        <is>
          <t>Untimed</t>
        </is>
      </c>
      <c r="K24" s="43" t="inlineStr">
        <is>
          <t>Tutorial before</t>
        </is>
      </c>
      <c r="L24" s="43" t="inlineStr">
        <is>
          <t>LC 253 Meeting Rooms II</t>
        </is>
      </c>
      <c r="M24" s="41" t="inlineStr">
        <is>
          <t>M</t>
        </is>
      </c>
      <c r="N24" s="41" t="n">
        <v>30</v>
      </c>
      <c r="O24" s="43" t="inlineStr">
        <is>
          <t>LC 1094 Car Pooling</t>
        </is>
      </c>
      <c r="P24" s="41" t="inlineStr">
        <is>
          <t>M</t>
        </is>
      </c>
      <c r="Q24" s="41" t="n">
        <v>20</v>
      </c>
      <c r="R24" s="43" t="inlineStr">
        <is>
          <t>LC 56 Merge Intervals</t>
        </is>
      </c>
      <c r="S24" s="43" t="inlineStr">
        <is>
          <t>Prove heap-of-ends and sweep-line give identical answers; state both complexities; derive the tie-breaking rule</t>
        </is>
      </c>
      <c r="T24" s="43" t="inlineStr">
        <is>
          <t>Two solutions for one problem  -  that is the target habit from today forward.</t>
        </is>
      </c>
      <c r="U24" s="43" t="inlineStr">
        <is>
          <t>Concurrent resource counting (GPU slots, DB connections); admission control</t>
        </is>
      </c>
      <c r="V24" s="43" t="inlineStr">
        <is>
          <t>Sweep-line modelling</t>
        </is>
      </c>
      <c r="W24" s="41" t="n"/>
      <c r="X24" s="41" t="n"/>
      <c r="Y24" s="43" t="n"/>
      <c r="Z24" s="43" t="n"/>
      <c r="AA24" s="41" t="n"/>
      <c r="AB24" s="45">
        <f>HYPERLINK("https://www.youtube.com/watch?v=Nq7ok-OyEpg", "▶ Watch (Striver) ↗")</f>
        <v/>
      </c>
    </row>
    <row r="25" ht="56" customHeight="1">
      <c r="A25" s="41" t="n">
        <v>24</v>
      </c>
      <c r="B25" s="41" t="n">
        <v>4</v>
      </c>
      <c r="C25" s="42" t="n">
        <v>46319</v>
      </c>
      <c r="D25" s="43" t="inlineStr">
        <is>
          <t>Monotonic stack from first principles  -  the amortized argument is everything</t>
        </is>
      </c>
      <c r="E25" s="43" t="inlineStr">
        <is>
          <t>Monotonic stack</t>
        </is>
      </c>
      <c r="F25" s="43" t="inlineStr">
        <is>
          <t>A pop resolves one answer; total pops &lt;= n  -&gt;  amortized O(n); stack holds invariant</t>
        </is>
      </c>
      <c r="G25" s="43" t="inlineStr">
        <is>
          <t>YES</t>
        </is>
      </c>
      <c r="H25" s="44">
        <f>HYPERLINK("https://www.youtube.com/watch?v=wiOo4DC5GGA", "Monotonic stack from first principles (amortized)")</f>
        <v/>
      </c>
      <c r="I25" s="41" t="n">
        <v>25</v>
      </c>
      <c r="J25" s="43" t="inlineStr">
        <is>
          <t>Untimed</t>
        </is>
      </c>
      <c r="K25" s="43" t="inlineStr">
        <is>
          <t>Tutorial before</t>
        </is>
      </c>
      <c r="L25" s="43" t="inlineStr">
        <is>
          <t>LC 739 Daily Temperatures</t>
        </is>
      </c>
      <c r="M25" s="41" t="inlineStr">
        <is>
          <t>M</t>
        </is>
      </c>
      <c r="N25" s="41" t="n">
        <v>25</v>
      </c>
      <c r="O25" s="43" t="inlineStr">
        <is>
          <t>LC 503 Next Greater Element II (circular)</t>
        </is>
      </c>
      <c r="P25" s="41" t="inlineStr">
        <is>
          <t>M</t>
        </is>
      </c>
      <c r="Q25" s="41" t="n">
        <v>20</v>
      </c>
      <c r="R25" s="43" t="inlineStr">
        <is>
          <t>LC 253 Meeting Rooms II</t>
        </is>
      </c>
      <c r="S25" s="43" t="inlineStr">
        <is>
          <t>Explain the amortized bound out loud; state what the stack contains at any moment (the invariant)</t>
        </is>
      </c>
      <c r="T25" s="43" t="inlineStr">
        <is>
          <t>Could you explain the amortization to an interviewer in 60 seconds? Practise aloud.</t>
        </is>
      </c>
      <c r="U25" s="43" t="inlineStr">
        <is>
          <t>Detecting monotone breaks in metric streams (backpressure onset, latency spikes)</t>
        </is>
      </c>
      <c r="V25" s="43" t="inlineStr">
        <is>
          <t>Amortized analysis</t>
        </is>
      </c>
      <c r="W25" s="41" t="n"/>
      <c r="X25" s="41" t="n"/>
      <c r="Y25" s="43" t="n"/>
      <c r="Z25" s="43" t="n"/>
      <c r="AA25" s="41" t="n"/>
      <c r="AB25" s="45">
        <f>HYPERLINK("https://www.youtube.com/watch?v=wiOo4DC5GGA", "▶ Watch (Padho with Pratyush) ↗")</f>
        <v/>
      </c>
    </row>
    <row r="26" ht="56" customHeight="1">
      <c r="A26" s="41" t="n">
        <v>25</v>
      </c>
      <c r="B26" s="41" t="n">
        <v>4</v>
      </c>
      <c r="C26" s="42" t="n">
        <v>46320</v>
      </c>
      <c r="D26" s="43" t="inlineStr">
        <is>
          <t>Monotonic stack on spans and areas  -  boundary-span thinking</t>
        </is>
      </c>
      <c r="E26" s="43" t="inlineStr">
        <is>
          <t>Monotonic stack (boundaries)</t>
        </is>
      </c>
      <c r="F26" s="43" t="inlineStr">
        <is>
          <t>previous-smaller / next-smaller  -&gt;  span formula; equal-element handling</t>
        </is>
      </c>
      <c r="G26" s="43" t="inlineStr">
        <is>
          <t>NO</t>
        </is>
      </c>
      <c r="H26" s="43" t="inlineStr">
        <is>
          <t>-</t>
        </is>
      </c>
      <c r="I26" s="41" t="inlineStr"/>
      <c r="J26" s="43" t="inlineStr">
        <is>
          <t>Untimed</t>
        </is>
      </c>
      <c r="K26" s="43" t="inlineStr">
        <is>
          <t>1 hint @30min</t>
        </is>
      </c>
      <c r="L26" s="43" t="inlineStr">
        <is>
          <t>LC 84 Largest Rectangle in Histogram</t>
        </is>
      </c>
      <c r="M26" s="41" t="inlineStr">
        <is>
          <t>H</t>
        </is>
      </c>
      <c r="N26" s="41" t="n">
        <v>40</v>
      </c>
      <c r="O26" s="43" t="inlineStr">
        <is>
          <t>LC 907 Sum of Subarray Minimums</t>
        </is>
      </c>
      <c r="P26" s="41" t="inlineStr">
        <is>
          <t>M</t>
        </is>
      </c>
      <c r="Q26" s="41" t="n">
        <v>35</v>
      </c>
      <c r="R26" s="43" t="inlineStr">
        <is>
          <t>LC 739 Daily Temperatures</t>
        </is>
      </c>
      <c r="S26" s="43" t="inlineStr">
        <is>
          <t>Derive width = right - left - 1 yourself; explain the equal-element double-counting fix for LC 907</t>
        </is>
      </c>
      <c r="T26" s="43" t="inlineStr">
        <is>
          <t>Did you handle equal elements correctly BY DESIGN, or by trial and error?</t>
        </is>
      </c>
      <c r="U26" s="43" t="inlineStr">
        <is>
          <t>Peak-utilization rectangles over time-series capacity graphs; histogram-based alerting</t>
        </is>
      </c>
      <c r="V26" s="43" t="inlineStr">
        <is>
          <t>Boundary-span thinking</t>
        </is>
      </c>
      <c r="W26" s="41" t="n"/>
      <c r="X26" s="41" t="n"/>
      <c r="Y26" s="43" t="n"/>
      <c r="Z26" s="43" t="n"/>
      <c r="AA26" s="41" t="n"/>
      <c r="AB26" s="46" t="inlineStr">
        <is>
          <t>—</t>
        </is>
      </c>
    </row>
    <row r="27" ht="56" customHeight="1">
      <c r="A27" s="41" t="n">
        <v>26</v>
      </c>
      <c r="B27" s="41" t="n">
        <v>4</v>
      </c>
      <c r="C27" s="42" t="n">
        <v>46321</v>
      </c>
      <c r="D27" s="43" t="inlineStr">
        <is>
          <t>[2-SOL] Monotonic deque + solve LC 42 Trapping Rain Water three ways</t>
        </is>
      </c>
      <c r="E27" s="43" t="inlineStr">
        <is>
          <t>Monotonic deque</t>
        </is>
      </c>
      <c r="F27" s="43" t="inlineStr">
        <is>
          <t>Deque holds only viable candidates in decreasing order; window max in O(n)</t>
        </is>
      </c>
      <c r="G27" s="43" t="inlineStr">
        <is>
          <t>NO</t>
        </is>
      </c>
      <c r="H27" s="43" t="inlineStr">
        <is>
          <t>-</t>
        </is>
      </c>
      <c r="I27" s="41" t="inlineStr"/>
      <c r="J27" s="43" t="inlineStr">
        <is>
          <t>Untimed</t>
        </is>
      </c>
      <c r="K27" s="43" t="inlineStr">
        <is>
          <t>1 hint @25min</t>
        </is>
      </c>
      <c r="L27" s="43" t="inlineStr">
        <is>
          <t>LC 239 Sliding Window Maximum</t>
        </is>
      </c>
      <c r="M27" s="41" t="inlineStr">
        <is>
          <t>H</t>
        </is>
      </c>
      <c r="N27" s="41" t="n">
        <v>30</v>
      </c>
      <c r="O27" s="43" t="inlineStr">
        <is>
          <t>LC 42 Trapping Rain Water (3 solutions)</t>
        </is>
      </c>
      <c r="P27" s="41" t="inlineStr">
        <is>
          <t>M</t>
        </is>
      </c>
      <c r="Q27" s="41" t="n">
        <v>30</v>
      </c>
      <c r="R27" s="43" t="inlineStr">
        <is>
          <t>LC 84 Largest Rectangle in Histogram</t>
        </is>
      </c>
      <c r="S27" s="43" t="inlineStr">
        <is>
          <t>Solve LC 42 three ways: prefix-max arrays, two pointers, monotonic stack. Compare TC/SC for each.</t>
        </is>
      </c>
      <c r="T27" s="43" t="inlineStr">
        <is>
          <t>How many of the three did you find WITHOUT help? That is your second-solution score.</t>
        </is>
      </c>
      <c r="U27" s="43" t="inlineStr">
        <is>
          <t>Rolling max latency over stream windows; watermarking in streaming pipelines</t>
        </is>
      </c>
      <c r="V27" s="43" t="inlineStr">
        <is>
          <t>Multi-solution flexibility</t>
        </is>
      </c>
      <c r="W27" s="41" t="n"/>
      <c r="X27" s="41" t="n"/>
      <c r="Y27" s="43" t="n"/>
      <c r="Z27" s="43" t="n"/>
      <c r="AA27" s="41" t="n"/>
      <c r="AB27" s="46" t="inlineStr">
        <is>
          <t>—</t>
        </is>
      </c>
    </row>
    <row r="28" ht="56" customHeight="1">
      <c r="A28" s="41" t="n">
        <v>27</v>
      </c>
      <c r="B28" s="41" t="n">
        <v>4</v>
      </c>
      <c r="C28" s="42" t="n">
        <v>46322</v>
      </c>
      <c r="D28" s="43" t="inlineStr">
        <is>
          <t>Blind mix across weeks 1-4  -  cross-pattern discrimination under time</t>
        </is>
      </c>
      <c r="E28" s="43" t="inlineStr">
        <is>
          <t>Blind (W1-W4 cross)</t>
        </is>
      </c>
      <c r="F28" s="43" t="inlineStr">
        <is>
          <t>Speed of pattern recognition; avoiding false pattern matches</t>
        </is>
      </c>
      <c r="G28" s="43" t="inlineStr">
        <is>
          <t>NO</t>
        </is>
      </c>
      <c r="H28" s="43" t="inlineStr">
        <is>
          <t>-</t>
        </is>
      </c>
      <c r="I28" s="41" t="inlineStr"/>
      <c r="J28" s="43" t="inlineStr">
        <is>
          <t>Timed-55</t>
        </is>
      </c>
      <c r="K28" s="43" t="inlineStr">
        <is>
          <t>None</t>
        </is>
      </c>
      <c r="L28" s="43" t="inlineStr">
        <is>
          <t>LC 621 Task Scheduler</t>
        </is>
      </c>
      <c r="M28" s="41" t="inlineStr">
        <is>
          <t>M</t>
        </is>
      </c>
      <c r="N28" s="41" t="n">
        <v>30</v>
      </c>
      <c r="O28" s="43" t="inlineStr">
        <is>
          <t>LC 452 Minimum Number of Arrows to Burst Balloons</t>
        </is>
      </c>
      <c r="P28" s="41" t="inlineStr">
        <is>
          <t>M</t>
        </is>
      </c>
      <c r="Q28" s="41" t="n">
        <v>20</v>
      </c>
      <c r="R28" s="43" t="inlineStr">
        <is>
          <t>LC 239 Sliding Window Maximum</t>
        </is>
      </c>
      <c r="S28" s="43" t="inlineStr">
        <is>
          <t>Write one-line recognition cues for ALL patterns from weeks 1-4 (~14 cues total)</t>
        </is>
      </c>
      <c r="T28" s="43" t="inlineStr">
        <is>
          <t>First-try correct pattern rate this week. Below 60%  -&gt;  recognition, not knowledge, is the gap.</t>
        </is>
      </c>
      <c r="U28" s="43" t="inlineStr">
        <is>
          <t>Cooldown-constrained job scheduling = real scheduler behaviour in ML training systems</t>
        </is>
      </c>
      <c r="V28" s="43" t="inlineStr">
        <is>
          <t>Recognition speed</t>
        </is>
      </c>
      <c r="W28" s="41" t="n"/>
      <c r="X28" s="41" t="n"/>
      <c r="Y28" s="43" t="n"/>
      <c r="Z28" s="43" t="n"/>
      <c r="AA28" s="41" t="n"/>
      <c r="AB28" s="46" t="inlineStr">
        <is>
          <t>—</t>
        </is>
      </c>
    </row>
    <row r="29" ht="56" customHeight="1">
      <c r="A29" s="41" t="n">
        <v>28</v>
      </c>
      <c r="B29" s="41" t="n">
        <v>4</v>
      </c>
      <c r="C29" s="42" t="n">
        <v>46323</v>
      </c>
      <c r="D29" s="43" t="inlineStr">
        <is>
          <t>MONTH 1 DIAGNOSTIC  -  3 unlabelled, 90 min, zero hints, verbal explanation required</t>
        </is>
      </c>
      <c r="E29" s="43" t="inlineStr">
        <is>
          <t>Diagnostic</t>
        </is>
      </c>
      <c r="F29" s="43" t="inlineStr">
        <is>
          <t>Measure, do not learn. No pattern labels. No hints.</t>
        </is>
      </c>
      <c r="G29" s="43" t="inlineStr">
        <is>
          <t>NO</t>
        </is>
      </c>
      <c r="H29" s="43" t="inlineStr">
        <is>
          <t>-</t>
        </is>
      </c>
      <c r="I29" s="41" t="inlineStr"/>
      <c r="J29" s="43" t="inlineStr">
        <is>
          <t>Diagnostic</t>
        </is>
      </c>
      <c r="K29" s="43" t="inlineStr">
        <is>
          <t>None</t>
        </is>
      </c>
      <c r="L29" s="43" t="inlineStr">
        <is>
          <t>LC 918 Max Sum Circular Subarray</t>
        </is>
      </c>
      <c r="M29" s="41" t="inlineStr">
        <is>
          <t>M</t>
        </is>
      </c>
      <c r="N29" s="41" t="n">
        <v>30</v>
      </c>
      <c r="O29" s="43" t="inlineStr">
        <is>
          <t>LC 795 Number of Subarrays with Bounded Max + LC 581 Shortest Unsorted Continuous Subarray (unlabelled)</t>
        </is>
      </c>
      <c r="P29" s="41" t="inlineStr">
        <is>
          <t>M</t>
        </is>
      </c>
      <c r="Q29" s="41" t="n">
        <v>60</v>
      </c>
      <c r="R29" s="43" t="inlineStr">
        <is>
          <t>-</t>
        </is>
      </c>
      <c r="S29" s="43" t="inlineStr">
        <is>
          <t>For each: log time-to-pattern, final TC/SC, correctness, hint-free, explanation quality</t>
        </is>
      </c>
      <c r="T29" s="43" t="inlineStr">
        <is>
          <t>Fill MockInterviews rows now. This is your baseline  -  do not soften any score.</t>
        </is>
      </c>
      <c r="U29" s="43" t="inlineStr">
        <is>
          <t>-</t>
        </is>
      </c>
      <c r="V29" s="43" t="inlineStr">
        <is>
          <t>Baseline measurement</t>
        </is>
      </c>
      <c r="W29" s="41" t="n"/>
      <c r="X29" s="41" t="n"/>
      <c r="Y29" s="43" t="n"/>
      <c r="Z29" s="43" t="n"/>
      <c r="AA29" s="41" t="n"/>
      <c r="AB29" s="46" t="inlineStr">
        <is>
          <t>—</t>
        </is>
      </c>
    </row>
    <row r="30" ht="56" customHeight="1">
      <c r="A30" s="35" t="n">
        <v>29</v>
      </c>
      <c r="B30" s="35" t="n">
        <v>5</v>
      </c>
      <c r="C30" s="36" t="n">
        <v>46324</v>
      </c>
      <c r="D30" s="37" t="inlineStr">
        <is>
          <t>Heap mental model: partial order is enough; when to use heap vs sort</t>
        </is>
      </c>
      <c r="E30" s="37" t="inlineStr">
        <is>
          <t>Heap/top-K</t>
        </is>
      </c>
      <c r="F30" s="37" t="inlineStr">
        <is>
          <t>Why heap beats full sort when k&lt;&lt;n; heapify is O(n); min-heap vs max-heap</t>
        </is>
      </c>
      <c r="G30" s="37" t="inlineStr">
        <is>
          <t>YES</t>
        </is>
      </c>
      <c r="H30" s="38">
        <f>HYPERLINK("https://www.youtube.com/watch?v=NXOOYYwpbg4", "Heaps: sift-up/down, heapify, cost comparison")</f>
        <v/>
      </c>
      <c r="I30" s="35" t="n">
        <v>25</v>
      </c>
      <c r="J30" s="37" t="inlineStr">
        <is>
          <t>Untimed</t>
        </is>
      </c>
      <c r="K30" s="37" t="inlineStr">
        <is>
          <t>Tutorial before</t>
        </is>
      </c>
      <c r="L30" s="37" t="inlineStr">
        <is>
          <t>LC 215 Kth Largest Element in Array</t>
        </is>
      </c>
      <c r="M30" s="35" t="inlineStr">
        <is>
          <t>M</t>
        </is>
      </c>
      <c r="N30" s="35" t="n">
        <v>25</v>
      </c>
      <c r="O30" s="37" t="inlineStr">
        <is>
          <t>LC 973 K Closest Points to Origin</t>
        </is>
      </c>
      <c r="P30" s="35" t="inlineStr">
        <is>
          <t>M</t>
        </is>
      </c>
      <c r="Q30" s="35" t="n">
        <v>20</v>
      </c>
      <c r="R30" s="37" t="inlineStr">
        <is>
          <t>LC 621 Task Scheduler</t>
        </is>
      </c>
      <c r="S30" s="37" t="inlineStr">
        <is>
          <t>State when sorting beats a heap and vice versa, with both complexities written out explicitly</t>
        </is>
      </c>
      <c r="T30" s="37" t="inlineStr">
        <is>
          <t>Can you compute and compare both costs, including constants? That is the skill.</t>
        </is>
      </c>
      <c r="U30" s="37" t="inlineStr">
        <is>
          <t>Top-K hot keys, request prioritisation, eviction candidate selection in caches</t>
        </is>
      </c>
      <c r="V30" s="37" t="inlineStr">
        <is>
          <t>Cost comparison reasoning</t>
        </is>
      </c>
      <c r="W30" s="35" t="n"/>
      <c r="X30" s="35" t="n"/>
      <c r="Y30" s="37" t="n"/>
      <c r="Z30" s="37" t="n"/>
      <c r="AA30" s="35" t="n"/>
      <c r="AB30" s="39">
        <f>HYPERLINK("https://www.youtube.com/watch?v=NXOOYYwpbg4", "▶ Watch (Aditya Verma) ↗")</f>
        <v/>
      </c>
    </row>
    <row r="31" ht="56" customHeight="1">
      <c r="A31" s="35" t="n">
        <v>30</v>
      </c>
      <c r="B31" s="35" t="n">
        <v>5</v>
      </c>
      <c r="C31" s="36" t="n">
        <v>46325</v>
      </c>
      <c r="D31" s="37" t="inlineStr">
        <is>
          <t>Two-heap invariants for streaming statistics</t>
        </is>
      </c>
      <c r="E31" s="37" t="inlineStr">
        <is>
          <t>Heap (streaming/online)</t>
        </is>
      </c>
      <c r="F31" s="37" t="inlineStr">
        <is>
          <t>Balanced max-heap/min-heap invariant; maintain the balance on every insert</t>
        </is>
      </c>
      <c r="G31" s="37" t="inlineStr">
        <is>
          <t>NO</t>
        </is>
      </c>
      <c r="H31" s="37" t="inlineStr">
        <is>
          <t>-</t>
        </is>
      </c>
      <c r="I31" s="35" t="inlineStr"/>
      <c r="J31" s="37" t="inlineStr">
        <is>
          <t>Untimed</t>
        </is>
      </c>
      <c r="K31" s="37" t="inlineStr">
        <is>
          <t>1 hint @25min</t>
        </is>
      </c>
      <c r="L31" s="37" t="inlineStr">
        <is>
          <t>LC 295 Find Median from Data Stream</t>
        </is>
      </c>
      <c r="M31" s="35" t="inlineStr">
        <is>
          <t>H</t>
        </is>
      </c>
      <c r="N31" s="35" t="n">
        <v>35</v>
      </c>
      <c r="O31" s="37" t="inlineStr">
        <is>
          <t>LC 1046 Last Stone Weight</t>
        </is>
      </c>
      <c r="P31" s="35" t="inlineStr">
        <is>
          <t>E</t>
        </is>
      </c>
      <c r="Q31" s="35" t="n">
        <v>15</v>
      </c>
      <c r="R31" s="37" t="inlineStr">
        <is>
          <t>LC 215 Kth Largest Element</t>
        </is>
      </c>
      <c r="S31" s="37" t="inlineStr">
        <is>
          <t>Write the two-heap invariant and rebalance rule BEFORE writing any code</t>
        </is>
      </c>
      <c r="T31" s="37" t="inlineStr">
        <is>
          <t>Did you define the invariant FIRST? That is the whole skill in streaming structure design.</t>
        </is>
      </c>
      <c r="U31" s="37" t="inlineStr">
        <is>
          <t>Online p50/p99 latency estimation without storing all samples; streaming quantiles</t>
        </is>
      </c>
      <c r="V31" s="37" t="inlineStr">
        <is>
          <t>Streaming state design</t>
        </is>
      </c>
      <c r="W31" s="35" t="n"/>
      <c r="X31" s="35" t="n"/>
      <c r="Y31" s="37" t="n"/>
      <c r="Z31" s="37" t="n"/>
      <c r="AA31" s="35" t="n"/>
      <c r="AB31" s="40" t="inlineStr">
        <is>
          <t>—</t>
        </is>
      </c>
    </row>
    <row r="32" ht="56" customHeight="1">
      <c r="A32" s="35" t="n">
        <v>31</v>
      </c>
      <c r="B32" s="35" t="n">
        <v>5</v>
      </c>
      <c r="C32" s="36" t="n">
        <v>46326</v>
      </c>
      <c r="D32" s="37" t="inlineStr">
        <is>
          <t>Heap for k-way merging and greedy scheduling</t>
        </is>
      </c>
      <c r="E32" s="37" t="inlineStr">
        <is>
          <t>Heap (k-way merge)</t>
        </is>
      </c>
      <c r="F32" s="37" t="inlineStr">
        <is>
          <t>k-way merge; heap of active cursors; where the log k factor comes from</t>
        </is>
      </c>
      <c r="G32" s="37" t="inlineStr">
        <is>
          <t>NO</t>
        </is>
      </c>
      <c r="H32" s="37" t="inlineStr">
        <is>
          <t>-</t>
        </is>
      </c>
      <c r="I32" s="35" t="inlineStr"/>
      <c r="J32" s="37" t="inlineStr">
        <is>
          <t>Untimed</t>
        </is>
      </c>
      <c r="K32" s="37" t="inlineStr">
        <is>
          <t>1 hint @20min</t>
        </is>
      </c>
      <c r="L32" s="37" t="inlineStr">
        <is>
          <t>LC 23 Merge k Sorted Lists</t>
        </is>
      </c>
      <c r="M32" s="35" t="inlineStr">
        <is>
          <t>H</t>
        </is>
      </c>
      <c r="N32" s="35" t="n">
        <v>30</v>
      </c>
      <c r="O32" s="37" t="inlineStr">
        <is>
          <t>LC 767 Reorganize String</t>
        </is>
      </c>
      <c r="P32" s="35" t="inlineStr">
        <is>
          <t>M</t>
        </is>
      </c>
      <c r="Q32" s="35" t="n">
        <v>25</v>
      </c>
      <c r="R32" s="37" t="inlineStr">
        <is>
          <t>LC 295 Find Median from Data Stream</t>
        </is>
      </c>
      <c r="S32" s="37" t="inlineStr">
        <is>
          <t>Explain where log k comes from; give the divide-and-conquer merge alternative and its TC</t>
        </is>
      </c>
      <c r="T32" s="37" t="inlineStr">
        <is>
          <t>Correct TC derived, not guessed? Two algorithms compared?</t>
        </is>
      </c>
      <c r="U32" s="37" t="inlineStr">
        <is>
          <t>LSM-tree compaction; merging sorted shard outputs in distributed ML data pipelines</t>
        </is>
      </c>
      <c r="V32" s="37" t="inlineStr">
        <is>
          <t>Merge algorithms</t>
        </is>
      </c>
      <c r="W32" s="35" t="n"/>
      <c r="X32" s="35" t="n"/>
      <c r="Y32" s="37" t="n"/>
      <c r="Z32" s="37" t="n"/>
      <c r="AA32" s="35" t="n"/>
      <c r="AB32" s="40" t="inlineStr">
        <is>
          <t>—</t>
        </is>
      </c>
    </row>
    <row r="33" ht="56" customHeight="1">
      <c r="A33" s="35" t="n">
        <v>32</v>
      </c>
      <c r="B33" s="35" t="n">
        <v>5</v>
      </c>
      <c r="C33" s="36" t="n">
        <v>46327</v>
      </c>
      <c r="D33" s="37" t="inlineStr">
        <is>
          <t>Greedy: the exchange argument  -  proof, not vibes</t>
        </is>
      </c>
      <c r="E33" s="37" t="inlineStr">
        <is>
          <t>Greedy invariants</t>
        </is>
      </c>
      <c r="F33" s="37" t="inlineStr">
        <is>
          <t>Exchange argument and staying-ahead argument; constructing counterexamples</t>
        </is>
      </c>
      <c r="G33" s="37" t="inlineStr">
        <is>
          <t>YES</t>
        </is>
      </c>
      <c r="H33" s="38">
        <f>HYPERLINK("https://www.youtube.com/watch?v=2Rr2tW9zvRg", "Proving greedy correctness: exchange and staying-ahead")</f>
        <v/>
      </c>
      <c r="I33" s="35" t="n">
        <v>20</v>
      </c>
      <c r="J33" s="37" t="inlineStr">
        <is>
          <t>Untimed</t>
        </is>
      </c>
      <c r="K33" s="37" t="inlineStr">
        <is>
          <t>Tutorial before</t>
        </is>
      </c>
      <c r="L33" s="37" t="inlineStr">
        <is>
          <t>LC 45 Jump Game II</t>
        </is>
      </c>
      <c r="M33" s="35" t="inlineStr">
        <is>
          <t>M</t>
        </is>
      </c>
      <c r="N33" s="35" t="n">
        <v>30</v>
      </c>
      <c r="O33" s="37" t="inlineStr">
        <is>
          <t>LC 134 Gas Station</t>
        </is>
      </c>
      <c r="P33" s="35" t="inlineStr">
        <is>
          <t>M</t>
        </is>
      </c>
      <c r="Q33" s="35" t="n">
        <v>25</v>
      </c>
      <c r="R33" s="37" t="inlineStr">
        <is>
          <t>LC 23 Merge k Sorted Lists</t>
        </is>
      </c>
      <c r="S33" s="37" t="inlineStr">
        <is>
          <t>Write a full exchange-argument proof for LC 45; write the unique-start argument for LC 134</t>
        </is>
      </c>
      <c r="T33" s="37" t="inlineStr">
        <is>
          <t>Did you PROVE it or trust it? Unproven greedy is the most common hard-interview failure.</t>
        </is>
      </c>
      <c r="U33" s="37" t="inlineStr">
        <is>
          <t>Chunked transfer decisions; admission control; retry budget allocation in ML serving</t>
        </is>
      </c>
      <c r="V33" s="37" t="inlineStr">
        <is>
          <t>Greedy proof technique</t>
        </is>
      </c>
      <c r="W33" s="35" t="n"/>
      <c r="X33" s="35" t="n"/>
      <c r="Y33" s="37" t="n"/>
      <c r="Z33" s="37" t="n"/>
      <c r="AA33" s="35" t="n"/>
      <c r="AB33" s="39">
        <f>HYPERLINK("https://www.youtube.com/watch?v=2Rr2tW9zvRg", "▶ Watch (Abdul Bari) ↗")</f>
        <v/>
      </c>
    </row>
    <row r="34" ht="56" customHeight="1">
      <c r="A34" s="35" t="n">
        <v>33</v>
      </c>
      <c r="B34" s="35" t="n">
        <v>5</v>
      </c>
      <c r="C34" s="36" t="n">
        <v>46328</v>
      </c>
      <c r="D34" s="37" t="inlineStr">
        <is>
          <t>Greedy vs DP  -  find where greedy breaks by constructing a counterexample</t>
        </is>
      </c>
      <c r="E34" s="37" t="inlineStr">
        <is>
          <t>Greedy vs DP</t>
        </is>
      </c>
      <c r="F34" s="37" t="inlineStr">
        <is>
          <t>Counterexample construction as a design discipline</t>
        </is>
      </c>
      <c r="G34" s="37" t="inlineStr">
        <is>
          <t>NO</t>
        </is>
      </c>
      <c r="H34" s="37" t="inlineStr">
        <is>
          <t>-</t>
        </is>
      </c>
      <c r="I34" s="35" t="inlineStr"/>
      <c r="J34" s="37" t="inlineStr">
        <is>
          <t>Untimed</t>
        </is>
      </c>
      <c r="K34" s="37" t="inlineStr">
        <is>
          <t>1 hint @30min</t>
        </is>
      </c>
      <c r="L34" s="37" t="inlineStr">
        <is>
          <t>LC 763 Partition Labels</t>
        </is>
      </c>
      <c r="M34" s="35" t="inlineStr">
        <is>
          <t>M</t>
        </is>
      </c>
      <c r="N34" s="35" t="n">
        <v>20</v>
      </c>
      <c r="O34" s="37" t="inlineStr">
        <is>
          <t>LC 871 Minimum Number of Refueling Stops</t>
        </is>
      </c>
      <c r="P34" s="35" t="inlineStr">
        <is>
          <t>H</t>
        </is>
      </c>
      <c r="Q34" s="35" t="n">
        <v>40</v>
      </c>
      <c r="R34" s="37" t="inlineStr">
        <is>
          <t>LC 45 Jump Game II</t>
        </is>
      </c>
      <c r="S34" s="37" t="inlineStr">
        <is>
          <t>Construct an input where a plausible greedy fails on LC 871; state why the heap-greedy is correct</t>
        </is>
      </c>
      <c r="T34" s="37" t="inlineStr">
        <is>
          <t>Can you break your own solution? If you cannot, you cannot trust it.</t>
        </is>
      </c>
      <c r="U34" s="37" t="inlineStr">
        <is>
          <t>Checkpoint placement in long ML training runs; spot-instance restart strategy</t>
        </is>
      </c>
      <c r="V34" s="37" t="inlineStr">
        <is>
          <t>Adversarial self-testing</t>
        </is>
      </c>
      <c r="W34" s="35" t="n"/>
      <c r="X34" s="35" t="n"/>
      <c r="Y34" s="37" t="n"/>
      <c r="Z34" s="37" t="n"/>
      <c r="AA34" s="35" t="n"/>
      <c r="AB34" s="40" t="inlineStr">
        <is>
          <t>—</t>
        </is>
      </c>
    </row>
    <row r="35" ht="56" customHeight="1">
      <c r="A35" s="35" t="n">
        <v>34</v>
      </c>
      <c r="B35" s="35" t="n">
        <v>5</v>
      </c>
      <c r="C35" s="36" t="n">
        <v>46329</v>
      </c>
      <c r="D35" s="37" t="inlineStr">
        <is>
          <t>Blind mix: heap vs sort vs greedy vs simulation</t>
        </is>
      </c>
      <c r="E35" s="37" t="inlineStr">
        <is>
          <t>Blind (W5 mix)</t>
        </is>
      </c>
      <c r="F35" s="37" t="inlineStr">
        <is>
          <t>Cost-based structure selection under time pressure</t>
        </is>
      </c>
      <c r="G35" s="37" t="inlineStr">
        <is>
          <t>NO</t>
        </is>
      </c>
      <c r="H35" s="37" t="inlineStr">
        <is>
          <t>-</t>
        </is>
      </c>
      <c r="I35" s="35" t="inlineStr"/>
      <c r="J35" s="37" t="inlineStr">
        <is>
          <t>Timed-60</t>
        </is>
      </c>
      <c r="K35" s="37" t="inlineStr">
        <is>
          <t>None</t>
        </is>
      </c>
      <c r="L35" s="37" t="inlineStr">
        <is>
          <t>LC 2402 Meeting Rooms III</t>
        </is>
      </c>
      <c r="M35" s="35" t="inlineStr">
        <is>
          <t>H</t>
        </is>
      </c>
      <c r="N35" s="35" t="n">
        <v>40</v>
      </c>
      <c r="O35" s="37" t="inlineStr">
        <is>
          <t>LC 1834 Single-Threaded CPU</t>
        </is>
      </c>
      <c r="P35" s="35" t="inlineStr">
        <is>
          <t>M</t>
        </is>
      </c>
      <c r="Q35" s="35" t="n">
        <v>30</v>
      </c>
      <c r="R35" s="37" t="inlineStr">
        <is>
          <t>LC 871 Minimum Number of Refueling Stops</t>
        </is>
      </c>
      <c r="S35" s="37" t="inlineStr">
        <is>
          <t>Name the invariant each heap maintains in these problems and why two heaps are needed</t>
        </is>
      </c>
      <c r="T35" s="37" t="inlineStr">
        <is>
          <t>Simulation bugs count as F6, not F2  -  the pattern is correct, the implementation failed.</t>
        </is>
      </c>
      <c r="U35" s="37" t="inlineStr">
        <is>
          <t>This IS a real scheduler: ready-queue + busy-resource queue with release events</t>
        </is>
      </c>
      <c r="V35" s="37" t="inlineStr">
        <is>
          <t>Simulation discipline</t>
        </is>
      </c>
      <c r="W35" s="35" t="n"/>
      <c r="X35" s="35" t="n"/>
      <c r="Y35" s="37" t="n"/>
      <c r="Z35" s="37" t="n"/>
      <c r="AA35" s="35" t="n"/>
      <c r="AB35" s="40" t="inlineStr">
        <is>
          <t>—</t>
        </is>
      </c>
    </row>
    <row r="36" ht="56" customHeight="1">
      <c r="A36" s="35" t="n">
        <v>35</v>
      </c>
      <c r="B36" s="35" t="n">
        <v>5</v>
      </c>
      <c r="C36" s="36" t="n">
        <v>46330</v>
      </c>
      <c r="D36" s="37" t="inlineStr">
        <is>
          <t>Week 5 assessment: weakness-targeted retest</t>
        </is>
      </c>
      <c r="E36" s="37" t="inlineStr">
        <is>
          <t>Review/targeted repair</t>
        </is>
      </c>
      <c r="F36" s="37" t="inlineStr">
        <is>
          <t>Attack your dominant failure category directly</t>
        </is>
      </c>
      <c r="G36" s="37" t="inlineStr">
        <is>
          <t>NO</t>
        </is>
      </c>
      <c r="H36" s="37" t="inlineStr">
        <is>
          <t>-</t>
        </is>
      </c>
      <c r="I36" s="35" t="inlineStr"/>
      <c r="J36" s="37" t="inlineStr">
        <is>
          <t>Untimed</t>
        </is>
      </c>
      <c r="K36" s="37" t="inlineStr">
        <is>
          <t>Hints allowed</t>
        </is>
      </c>
      <c r="L36" s="37" t="inlineStr">
        <is>
          <t>3 problems from your most frequent failure category this week</t>
        </is>
      </c>
      <c r="M36" s="35" t="inlineStr">
        <is>
          <t>M</t>
        </is>
      </c>
      <c r="N36" s="35" t="n">
        <v>45</v>
      </c>
      <c r="O36" s="37" t="inlineStr">
        <is>
          <t>WeeklyAssessment + write preventive rules</t>
        </is>
      </c>
      <c r="P36" s="35" t="inlineStr">
        <is>
          <t>-</t>
        </is>
      </c>
      <c r="Q36" s="35" t="n">
        <v>20</v>
      </c>
      <c r="R36" s="37" t="inlineStr">
        <is>
          <t>ReviewQueue top 4</t>
        </is>
      </c>
      <c r="S36" s="37" t="inlineStr">
        <is>
          <t>Rebuild two-heap median and k-way merge from a blank file</t>
        </is>
      </c>
      <c r="T36" s="37" t="inlineStr">
        <is>
          <t>Is your top failure category shrinking week over week? If not, the plan changes.</t>
        </is>
      </c>
      <c r="U36" s="37" t="inlineStr">
        <is>
          <t>-</t>
        </is>
      </c>
      <c r="V36" s="37" t="inlineStr">
        <is>
          <t>Targeted repair</t>
        </is>
      </c>
      <c r="W36" s="35" t="n"/>
      <c r="X36" s="35" t="n"/>
      <c r="Y36" s="37" t="n"/>
      <c r="Z36" s="37" t="n"/>
      <c r="AA36" s="35" t="n"/>
      <c r="AB36" s="40" t="inlineStr">
        <is>
          <t>—</t>
        </is>
      </c>
    </row>
    <row r="37" ht="56" customHeight="1">
      <c r="A37" s="41" t="n">
        <v>36</v>
      </c>
      <c r="B37" s="41" t="n">
        <v>6</v>
      </c>
      <c r="C37" s="42" t="n">
        <v>46331</v>
      </c>
      <c r="D37" s="43" t="inlineStr">
        <is>
          <t>Pointer surgery: linked-list invariants  -  reason before running, no debugger</t>
        </is>
      </c>
      <c r="E37" s="43" t="inlineStr">
        <is>
          <t>Linked list pointers</t>
        </is>
      </c>
      <c r="F37" s="43" t="inlineStr">
        <is>
          <t>Dummy head; prev/curr discipline; draw state transitions before coding</t>
        </is>
      </c>
      <c r="G37" s="43" t="inlineStr">
        <is>
          <t>NO</t>
        </is>
      </c>
      <c r="H37" s="43" t="inlineStr">
        <is>
          <t>-</t>
        </is>
      </c>
      <c r="I37" s="41" t="inlineStr"/>
      <c r="J37" s="43" t="inlineStr">
        <is>
          <t>Untimed</t>
        </is>
      </c>
      <c r="K37" s="43" t="inlineStr">
        <is>
          <t>1 hint @20min</t>
        </is>
      </c>
      <c r="L37" s="43" t="inlineStr">
        <is>
          <t>LC 206 Reverse Linked List</t>
        </is>
      </c>
      <c r="M37" s="41" t="inlineStr">
        <is>
          <t>E</t>
        </is>
      </c>
      <c r="N37" s="41" t="n">
        <v>12</v>
      </c>
      <c r="O37" s="43" t="inlineStr">
        <is>
          <t>LC 143 Reorder List</t>
        </is>
      </c>
      <c r="P37" s="41" t="inlineStr">
        <is>
          <t>M</t>
        </is>
      </c>
      <c r="Q37" s="41" t="n">
        <v>25</v>
      </c>
      <c r="R37" s="43" t="inlineStr">
        <is>
          <t>LC 1834 Single-Threaded CPU</t>
        </is>
      </c>
      <c r="S37" s="43" t="inlineStr">
        <is>
          <t>Draw pointer states before/after EACH statement for LC 143  -  no debugger allowed</t>
        </is>
      </c>
      <c r="T37" s="43" t="inlineStr">
        <is>
          <t>Did you reason through it, or print-debug your way into a solution?</t>
        </is>
      </c>
      <c r="U37" s="43" t="inlineStr">
        <is>
          <t>Free lists and intrusive linked lists in memory allocators</t>
        </is>
      </c>
      <c r="V37" s="43" t="inlineStr">
        <is>
          <t>Precise state mutation</t>
        </is>
      </c>
      <c r="W37" s="41" t="n"/>
      <c r="X37" s="41" t="n"/>
      <c r="Y37" s="43" t="n"/>
      <c r="Z37" s="43" t="n"/>
      <c r="AA37" s="41" t="n"/>
      <c r="AB37" s="46" t="inlineStr">
        <is>
          <t>—</t>
        </is>
      </c>
    </row>
    <row r="38" ht="56" customHeight="1">
      <c r="A38" s="41" t="n">
        <v>37</v>
      </c>
      <c r="B38" s="41" t="n">
        <v>6</v>
      </c>
      <c r="C38" s="42" t="n">
        <v>46332</v>
      </c>
      <c r="D38" s="43" t="inlineStr">
        <is>
          <t>[2-SOL] O(1) cache design: compose hashmap + doubly linked list</t>
        </is>
      </c>
      <c r="E38" s="43" t="inlineStr">
        <is>
          <t>Design (LRU)</t>
        </is>
      </c>
      <c r="F38" s="43" t="inlineStr">
        <is>
          <t>Composing two structures for O(1) on all ops; API drives structure choice</t>
        </is>
      </c>
      <c r="G38" s="43" t="inlineStr">
        <is>
          <t>YES</t>
        </is>
      </c>
      <c r="H38" s="44">
        <f>HYPERLINK("https://www.youtube.com/watch?v=R_Mfw4ew-Vo", "LRU cache design: structure composition from requirements")</f>
        <v/>
      </c>
      <c r="I38" s="41" t="n">
        <v>20</v>
      </c>
      <c r="J38" s="43" t="inlineStr">
        <is>
          <t>Untimed</t>
        </is>
      </c>
      <c r="K38" s="43" t="inlineStr">
        <is>
          <t>Tutorial before</t>
        </is>
      </c>
      <c r="L38" s="43" t="inlineStr">
        <is>
          <t>LC 146 LRU Cache</t>
        </is>
      </c>
      <c r="M38" s="41" t="inlineStr">
        <is>
          <t>M</t>
        </is>
      </c>
      <c r="N38" s="41" t="n">
        <v>35</v>
      </c>
      <c r="O38" s="43" t="inlineStr">
        <is>
          <t>LC 142 Linked List Cycle II</t>
        </is>
      </c>
      <c r="P38" s="41" t="inlineStr">
        <is>
          <t>M</t>
        </is>
      </c>
      <c r="Q38" s="41" t="n">
        <v>25</v>
      </c>
      <c r="R38" s="43" t="inlineStr">
        <is>
          <t>LC 143 Reorder List</t>
        </is>
      </c>
      <c r="S38" s="43" t="inlineStr">
        <is>
          <t>Rebuild LRU from an empty file with no notes; then explain Floyd's cycle detection proof</t>
        </is>
      </c>
      <c r="T38" s="43" t="inlineStr">
        <is>
          <t>Can you write a clean LRU in under 20 minutes? This is a baseline infra expectation.</t>
        </is>
      </c>
      <c r="U38" s="43" t="inlineStr">
        <is>
          <t>Page cache eviction; KV-store eviction; embedding/feature cache in ML serving</t>
        </is>
      </c>
      <c r="V38" s="43" t="inlineStr">
        <is>
          <t>Structure composition from API requirements</t>
        </is>
      </c>
      <c r="W38" s="41" t="n"/>
      <c r="X38" s="41" t="n"/>
      <c r="Y38" s="43" t="n"/>
      <c r="Z38" s="43" t="n"/>
      <c r="AA38" s="41" t="n"/>
      <c r="AB38" s="45">
        <f>HYPERLINK("https://www.youtube.com/watch?v=R_Mfw4ew-Vo", "▶ Watch (Striver) ↗")</f>
        <v/>
      </c>
    </row>
    <row r="39" ht="56" customHeight="1">
      <c r="A39" s="41" t="n">
        <v>38</v>
      </c>
      <c r="B39" s="41" t="n">
        <v>6</v>
      </c>
      <c r="C39" s="42" t="n">
        <v>46333</v>
      </c>
      <c r="D39" s="43" t="inlineStr">
        <is>
          <t>Frequency-aware eviction: LFU  -  minFreq pointer invariant</t>
        </is>
      </c>
      <c r="E39" s="43" t="inlineStr">
        <is>
          <t>Design (LFU)</t>
        </is>
      </c>
      <c r="F39" s="43" t="inlineStr">
        <is>
          <t>Bucketing by frequency; minFreq can only increase by 1 on access</t>
        </is>
      </c>
      <c r="G39" s="43" t="inlineStr">
        <is>
          <t>NO</t>
        </is>
      </c>
      <c r="H39" s="43" t="inlineStr">
        <is>
          <t>-</t>
        </is>
      </c>
      <c r="I39" s="41" t="inlineStr"/>
      <c r="J39" s="43" t="inlineStr">
        <is>
          <t>Untimed</t>
        </is>
      </c>
      <c r="K39" s="43" t="inlineStr">
        <is>
          <t>1 hint @30min</t>
        </is>
      </c>
      <c r="L39" s="43" t="inlineStr">
        <is>
          <t>LC 460 LFU Cache</t>
        </is>
      </c>
      <c r="M39" s="41" t="inlineStr">
        <is>
          <t>H</t>
        </is>
      </c>
      <c r="N39" s="41" t="n">
        <v>45</v>
      </c>
      <c r="O39" s="43" t="inlineStr">
        <is>
          <t>LC 362 Design Hit Counter</t>
        </is>
      </c>
      <c r="P39" s="41" t="inlineStr">
        <is>
          <t>M</t>
        </is>
      </c>
      <c r="Q39" s="41" t="n">
        <v>20</v>
      </c>
      <c r="R39" s="43" t="inlineStr">
        <is>
          <t>LC 146 LRU Cache</t>
        </is>
      </c>
      <c r="S39" s="43" t="inlineStr">
        <is>
          <t>Explain the minFreq invariant and why it increases by at most 1 on any access</t>
        </is>
      </c>
      <c r="T39" s="43" t="inlineStr">
        <is>
          <t>For an ML feature cache: LRU or LFU? Defend with an access-pattern argument.</t>
        </is>
      </c>
      <c r="U39" s="43" t="inlineStr">
        <is>
          <t>Feature-store caching; embedding cache eviction; hot-shard detection in key-value systems</t>
        </is>
      </c>
      <c r="V39" s="43" t="inlineStr">
        <is>
          <t>Advanced structure design</t>
        </is>
      </c>
      <c r="W39" s="41" t="n"/>
      <c r="X39" s="41" t="n"/>
      <c r="Y39" s="43" t="n"/>
      <c r="Z39" s="43" t="n"/>
      <c r="AA39" s="41" t="n"/>
      <c r="AB39" s="46" t="inlineStr">
        <is>
          <t>—</t>
        </is>
      </c>
    </row>
    <row r="40" ht="56" customHeight="1">
      <c r="A40" s="41" t="n">
        <v>39</v>
      </c>
      <c r="B40" s="41" t="n">
        <v>6</v>
      </c>
      <c r="C40" s="42" t="n">
        <v>46334</v>
      </c>
      <c r="D40" s="43" t="inlineStr">
        <is>
          <t>Bit manipulation as set/state encoding</t>
        </is>
      </c>
      <c r="E40" s="43" t="inlineStr">
        <is>
          <t>Bit manipulation</t>
        </is>
      </c>
      <c r="F40" s="43" t="inlineStr">
        <is>
          <t>Masks as tiny sets; XOR invariants; popcount; iterate subsets</t>
        </is>
      </c>
      <c r="G40" s="43" t="inlineStr">
        <is>
          <t>YES</t>
        </is>
      </c>
      <c r="H40" s="44">
        <f>HYPERLINK("https://www.youtube.com/watch?v=xXKL9YBWgCY", "Bit tricks that actually recur in interviews")</f>
        <v/>
      </c>
      <c r="I40" s="41" t="n">
        <v>20</v>
      </c>
      <c r="J40" s="43" t="inlineStr">
        <is>
          <t>Untimed</t>
        </is>
      </c>
      <c r="K40" s="43" t="inlineStr">
        <is>
          <t>Tutorial before</t>
        </is>
      </c>
      <c r="L40" s="43" t="inlineStr">
        <is>
          <t>LC 137 Single Number II</t>
        </is>
      </c>
      <c r="M40" s="41" t="inlineStr">
        <is>
          <t>M</t>
        </is>
      </c>
      <c r="N40" s="41" t="n">
        <v>25</v>
      </c>
      <c r="O40" s="43" t="inlineStr">
        <is>
          <t>LC 371 Sum of Two Integers</t>
        </is>
      </c>
      <c r="P40" s="41" t="inlineStr">
        <is>
          <t>M</t>
        </is>
      </c>
      <c r="Q40" s="41" t="n">
        <v>20</v>
      </c>
      <c r="R40" s="43" t="inlineStr">
        <is>
          <t>LC 460 LFU Cache</t>
        </is>
      </c>
      <c r="S40" s="43" t="inlineStr">
        <is>
          <t>Explain XOR/counting-bits invariant; write mask ops for add/remove/test/iterate-all-subsets</t>
        </is>
      </c>
      <c r="T40" s="43" t="inlineStr">
        <is>
          <t>Do you now see bitmask=tiny-set automatically? You will need this in week 13.</t>
        </is>
      </c>
      <c r="U40" s="43" t="inlineStr">
        <is>
          <t>Bitmaps; feature flags; GPU lane masks; bloom-filter bit operations</t>
        </is>
      </c>
      <c r="V40" s="43" t="inlineStr">
        <is>
          <t>State compression</t>
        </is>
      </c>
      <c r="W40" s="41" t="n"/>
      <c r="X40" s="41" t="n"/>
      <c r="Y40" s="43" t="n"/>
      <c r="Z40" s="43" t="n"/>
      <c r="AA40" s="41" t="n"/>
      <c r="AB40" s="45">
        <f>HYPERLINK("https://www.youtube.com/watch?v=xXKL9YBWgCY", "▶ Watch (Errichto) ↗")</f>
        <v/>
      </c>
    </row>
    <row r="41" ht="56" customHeight="1">
      <c r="A41" s="41" t="n">
        <v>40</v>
      </c>
      <c r="B41" s="41" t="n">
        <v>6</v>
      </c>
      <c r="C41" s="42" t="n">
        <v>46335</v>
      </c>
      <c r="D41" s="43" t="inlineStr">
        <is>
          <t>Design under constraints: iterators, lazy evaluation, rate limits</t>
        </is>
      </c>
      <c r="E41" s="43" t="inlineStr">
        <is>
          <t>Design/simulation</t>
        </is>
      </c>
      <c r="F41" s="43" t="inlineStr">
        <is>
          <t>Amortized design; lazy vs eager work; iterator cost analysis</t>
        </is>
      </c>
      <c r="G41" s="43" t="inlineStr">
        <is>
          <t>NO</t>
        </is>
      </c>
      <c r="H41" s="43" t="inlineStr">
        <is>
          <t>-</t>
        </is>
      </c>
      <c r="I41" s="41" t="inlineStr"/>
      <c r="J41" s="43" t="inlineStr">
        <is>
          <t>Untimed</t>
        </is>
      </c>
      <c r="K41" s="43" t="inlineStr">
        <is>
          <t>1 hint @20min</t>
        </is>
      </c>
      <c r="L41" s="43" t="inlineStr">
        <is>
          <t>LC 341 Flatten Nested List Iterator</t>
        </is>
      </c>
      <c r="M41" s="41" t="inlineStr">
        <is>
          <t>M</t>
        </is>
      </c>
      <c r="N41" s="41" t="n">
        <v>25</v>
      </c>
      <c r="O41" s="43" t="inlineStr">
        <is>
          <t>LC 359 Logger Rate Limiter</t>
        </is>
      </c>
      <c r="P41" s="41" t="inlineStr">
        <is>
          <t>M</t>
        </is>
      </c>
      <c r="Q41" s="41" t="n">
        <v>20</v>
      </c>
      <c r="R41" s="43" t="inlineStr">
        <is>
          <t>LC 137 Single Number II</t>
        </is>
      </c>
      <c r="S41" s="43" t="inlineStr">
        <is>
          <t>State the amortized cost of your iterator and why worst-case next() is not O(1)</t>
        </is>
      </c>
      <c r="T41" s="43" t="inlineStr">
        <is>
          <t>Was amortized reasoning explicit and stated, or hand-waved?</t>
        </is>
      </c>
      <c r="U41" s="43" t="inlineStr">
        <is>
          <t>API rate limiting; streaming iterators; data-loader prefetch in ML training</t>
        </is>
      </c>
      <c r="V41" s="43" t="inlineStr">
        <is>
          <t>Amortized design</t>
        </is>
      </c>
      <c r="W41" s="41" t="n"/>
      <c r="X41" s="41" t="n"/>
      <c r="Y41" s="43" t="n"/>
      <c r="Z41" s="43" t="n"/>
      <c r="AA41" s="41" t="n"/>
      <c r="AB41" s="46" t="inlineStr">
        <is>
          <t>—</t>
        </is>
      </c>
    </row>
    <row r="42" ht="56" customHeight="1">
      <c r="A42" s="41" t="n">
        <v>41</v>
      </c>
      <c r="B42" s="41" t="n">
        <v>6</v>
      </c>
      <c r="C42" s="42" t="n">
        <v>46336</v>
      </c>
      <c r="D42" s="43" t="inlineStr">
        <is>
          <t>Blind mix: pick structures from API requirements, not from habit</t>
        </is>
      </c>
      <c r="E42" s="43" t="inlineStr">
        <is>
          <t>Blind (design)</t>
        </is>
      </c>
      <c r="F42" s="43" t="inlineStr">
        <is>
          <t>Requirement -&gt; structure mapping; API analysis</t>
        </is>
      </c>
      <c r="G42" s="43" t="inlineStr">
        <is>
          <t>NO</t>
        </is>
      </c>
      <c r="H42" s="43" t="inlineStr">
        <is>
          <t>-</t>
        </is>
      </c>
      <c r="I42" s="41" t="inlineStr"/>
      <c r="J42" s="43" t="inlineStr">
        <is>
          <t>Timed-60</t>
        </is>
      </c>
      <c r="K42" s="43" t="inlineStr">
        <is>
          <t>None</t>
        </is>
      </c>
      <c r="L42" s="43" t="inlineStr">
        <is>
          <t>LC 981 Time Based Key-Value Store</t>
        </is>
      </c>
      <c r="M42" s="41" t="inlineStr">
        <is>
          <t>M</t>
        </is>
      </c>
      <c r="N42" s="41" t="n">
        <v>25</v>
      </c>
      <c r="O42" s="43" t="inlineStr">
        <is>
          <t>LC 355 Design Twitter</t>
        </is>
      </c>
      <c r="P42" s="41" t="inlineStr">
        <is>
          <t>H</t>
        </is>
      </c>
      <c r="Q42" s="41" t="n">
        <v>40</v>
      </c>
      <c r="R42" s="43" t="inlineStr">
        <is>
          <t>LC 460 LFU Cache</t>
        </is>
      </c>
      <c r="S42" s="43" t="inlineStr">
        <is>
          <t>Write the requirement -&gt; structure -&gt; complexity table you used for each design</t>
        </is>
      </c>
      <c r="T42" s="43" t="inlineStr">
        <is>
          <t>Did each structure choice come from a stated API requirement? If not, that is F4.</t>
        </is>
      </c>
      <c r="U42" s="43" t="inlineStr">
        <is>
          <t>Versioned KV store = MVCC; social feed fanout = merge of k sorted streams</t>
        </is>
      </c>
      <c r="V42" s="43" t="inlineStr">
        <is>
          <t>API-driven design</t>
        </is>
      </c>
      <c r="W42" s="41" t="n"/>
      <c r="X42" s="41" t="n"/>
      <c r="Y42" s="43" t="n"/>
      <c r="Z42" s="43" t="n"/>
      <c r="AA42" s="41" t="n"/>
      <c r="AB42" s="46" t="inlineStr">
        <is>
          <t>—</t>
        </is>
      </c>
    </row>
    <row r="43" ht="56" customHeight="1">
      <c r="A43" s="41" t="n">
        <v>42</v>
      </c>
      <c r="B43" s="41" t="n">
        <v>6</v>
      </c>
      <c r="C43" s="42" t="n">
        <v>46337</v>
      </c>
      <c r="D43" s="43" t="inlineStr">
        <is>
          <t>Week 6 assessment + MOCK INTERVIEW #1 (2 hints allowed, narrate everything)</t>
        </is>
      </c>
      <c r="E43" s="43" t="inlineStr">
        <is>
          <t>Mock interview #1</t>
        </is>
      </c>
      <c r="F43" s="43" t="inlineStr">
        <is>
          <t>Verbal reasoning under observation; explanation quality</t>
        </is>
      </c>
      <c r="G43" s="43" t="inlineStr">
        <is>
          <t>NO</t>
        </is>
      </c>
      <c r="H43" s="43" t="inlineStr">
        <is>
          <t>-</t>
        </is>
      </c>
      <c r="I43" s="41" t="inlineStr"/>
      <c r="J43" s="43" t="inlineStr">
        <is>
          <t>Timed-45</t>
        </is>
      </c>
      <c r="K43" s="43" t="inlineStr">
        <is>
          <t>2 hints max</t>
        </is>
      </c>
      <c r="L43" s="43" t="inlineStr">
        <is>
          <t>Mock #1: 1 medium problem, narrate every decision aloud, state TC/SC unprompted</t>
        </is>
      </c>
      <c r="M43" s="41" t="inlineStr">
        <is>
          <t>M</t>
        </is>
      </c>
      <c r="N43" s="41" t="n">
        <v>45</v>
      </c>
      <c r="O43" s="43" t="inlineStr">
        <is>
          <t>WeeklyAssessment + MockInterviews row</t>
        </is>
      </c>
      <c r="P43" s="41" t="inlineStr">
        <is>
          <t>-</t>
        </is>
      </c>
      <c r="Q43" s="41" t="n">
        <v>20</v>
      </c>
      <c r="R43" s="43" t="inlineStr">
        <is>
          <t>ReviewQueue top 3</t>
        </is>
      </c>
      <c r="S43" s="43" t="inlineStr">
        <is>
          <t>Explain LRU aloud in 3 minutes with no notes; record yourself and listen back once</t>
        </is>
      </c>
      <c r="T43" s="43" t="inlineStr">
        <is>
          <t>Score explanation quality 1-5. Silent thinking during a mock is a failure mode.</t>
        </is>
      </c>
      <c r="U43" s="43" t="inlineStr">
        <is>
          <t>-</t>
        </is>
      </c>
      <c r="V43" s="43" t="inlineStr">
        <is>
          <t>Communication under pressure</t>
        </is>
      </c>
      <c r="W43" s="41" t="n"/>
      <c r="X43" s="41" t="n"/>
      <c r="Y43" s="43" t="n"/>
      <c r="Z43" s="43" t="n"/>
      <c r="AA43" s="41" t="n"/>
      <c r="AB43" s="46" t="inlineStr">
        <is>
          <t>—</t>
        </is>
      </c>
    </row>
    <row r="44" ht="56" customHeight="1">
      <c r="A44" s="35" t="n">
        <v>43</v>
      </c>
      <c r="B44" s="35" t="n">
        <v>7</v>
      </c>
      <c r="C44" s="36" t="n">
        <v>46338</v>
      </c>
      <c r="D44" s="37" t="inlineStr">
        <is>
          <t>Recursion contracts: write exactly what your function returns, before coding</t>
        </is>
      </c>
      <c r="E44" s="37" t="inlineStr">
        <is>
          <t>Tree recursion (contract)</t>
        </is>
      </c>
      <c r="F44" s="37" t="inlineStr">
        <is>
          <t>Write the contract; trust the recursion; call stack mental model</t>
        </is>
      </c>
      <c r="G44" s="37" t="inlineStr">
        <is>
          <t>YES</t>
        </is>
      </c>
      <c r="H44" s="38">
        <f>HYPERLINK("https://www.youtube.com/watch?v=jmy0LaGET1I", "Recursion as contract + call stack")</f>
        <v/>
      </c>
      <c r="I44" s="35" t="n">
        <v>25</v>
      </c>
      <c r="J44" s="37" t="inlineStr">
        <is>
          <t>Untimed</t>
        </is>
      </c>
      <c r="K44" s="37" t="inlineStr">
        <is>
          <t>Tutorial before</t>
        </is>
      </c>
      <c r="L44" s="37" t="inlineStr">
        <is>
          <t>LC 104 Maximum Depth of Binary Tree</t>
        </is>
      </c>
      <c r="M44" s="35" t="inlineStr">
        <is>
          <t>E</t>
        </is>
      </c>
      <c r="N44" s="35" t="n">
        <v>10</v>
      </c>
      <c r="O44" s="37" t="inlineStr">
        <is>
          <t>LC 110 Balanced Binary Tree</t>
        </is>
      </c>
      <c r="P44" s="35" t="inlineStr">
        <is>
          <t>E</t>
        </is>
      </c>
      <c r="Q44" s="35" t="n">
        <v>20</v>
      </c>
      <c r="R44" s="37" t="inlineStr">
        <is>
          <t>LC 981 Time Based Key-Value Store</t>
        </is>
      </c>
      <c r="S44" s="37" t="inlineStr">
        <is>
          <t>Write the exact return contract (in plain English) for every recursive function today</t>
        </is>
      </c>
      <c r="T44" s="37" t="inlineStr">
        <is>
          <t>Contract before code, or code until tests pass? Be honest.</t>
        </is>
      </c>
      <c r="U44" s="37" t="inlineStr">
        <is>
          <t>Recursive dependency evaluation; nested config resolution in ML pipeline systems</t>
        </is>
      </c>
      <c r="V44" s="37" t="inlineStr">
        <is>
          <t>Recursive decomposition</t>
        </is>
      </c>
      <c r="W44" s="35" t="n"/>
      <c r="X44" s="35" t="n"/>
      <c r="Y44" s="37" t="n"/>
      <c r="Z44" s="37" t="n"/>
      <c r="AA44" s="35" t="n"/>
      <c r="AB44" s="39">
        <f>HYPERLINK("https://www.youtube.com/watch?v=jmy0LaGET1I", "▶ Watch (Striver) ↗")</f>
        <v/>
      </c>
    </row>
    <row r="45" ht="56" customHeight="1">
      <c r="A45" s="35" t="n">
        <v>44</v>
      </c>
      <c r="B45" s="35" t="n">
        <v>7</v>
      </c>
      <c r="C45" s="36" t="n">
        <v>46339</v>
      </c>
      <c r="D45" s="37" t="inlineStr">
        <is>
          <t>The return-more-than-the-answer trick  -  post-order aggregation</t>
        </is>
      </c>
      <c r="E45" s="37" t="inlineStr">
        <is>
          <t>Tree DP (post-order)</t>
        </is>
      </c>
      <c r="F45" s="37" t="inlineStr">
        <is>
          <t>Return value upward vs answer updated AT the node  -  these are different</t>
        </is>
      </c>
      <c r="G45" s="37" t="inlineStr">
        <is>
          <t>NO</t>
        </is>
      </c>
      <c r="H45" s="37" t="inlineStr">
        <is>
          <t>-</t>
        </is>
      </c>
      <c r="I45" s="35" t="inlineStr"/>
      <c r="J45" s="37" t="inlineStr">
        <is>
          <t>Untimed</t>
        </is>
      </c>
      <c r="K45" s="37" t="inlineStr">
        <is>
          <t>1 hint @25min</t>
        </is>
      </c>
      <c r="L45" s="37" t="inlineStr">
        <is>
          <t>LC 543 Diameter of Binary Tree</t>
        </is>
      </c>
      <c r="M45" s="35" t="inlineStr">
        <is>
          <t>E</t>
        </is>
      </c>
      <c r="N45" s="35" t="n">
        <v>25</v>
      </c>
      <c r="O45" s="37" t="inlineStr">
        <is>
          <t>LC 124 Binary Tree Maximum Path Sum</t>
        </is>
      </c>
      <c r="P45" s="35" t="inlineStr">
        <is>
          <t>H</t>
        </is>
      </c>
      <c r="Q45" s="35" t="n">
        <v>35</v>
      </c>
      <c r="R45" s="37" t="inlineStr">
        <is>
          <t>LC 110 Balanced Binary Tree</t>
        </is>
      </c>
      <c r="S45" s="37" t="inlineStr">
        <is>
          <t>Explain the difference between 'best path through this node' and 'best downward path from this node'</t>
        </is>
      </c>
      <c r="T45" s="37" t="inlineStr">
        <is>
          <t>Did you separate the two quantities BEFORE coding?</t>
        </is>
      </c>
      <c r="U45" s="37" t="inlineStr">
        <is>
          <t>Aggregating metrics up a topology/ownership tree in a distributed system</t>
        </is>
      </c>
      <c r="V45" s="37" t="inlineStr">
        <is>
          <t>Post-order aggregation</t>
        </is>
      </c>
      <c r="W45" s="35" t="n"/>
      <c r="X45" s="35" t="n"/>
      <c r="Y45" s="37" t="n"/>
      <c r="Z45" s="37" t="n"/>
      <c r="AA45" s="35" t="n"/>
      <c r="AB45" s="40" t="inlineStr">
        <is>
          <t>—</t>
        </is>
      </c>
    </row>
    <row r="46" ht="56" customHeight="1">
      <c r="A46" s="35" t="n">
        <v>45</v>
      </c>
      <c r="B46" s="35" t="n">
        <v>7</v>
      </c>
      <c r="C46" s="36" t="n">
        <v>46340</v>
      </c>
      <c r="D46" s="37" t="inlineStr">
        <is>
          <t>BST invariant: the ordering IS the information</t>
        </is>
      </c>
      <c r="E46" s="37" t="inlineStr">
        <is>
          <t>BST/ordering</t>
        </is>
      </c>
      <c r="F46" s="37" t="inlineStr">
        <is>
          <t>Range constraints propagated top-down; in-order traversal is sorted</t>
        </is>
      </c>
      <c r="G46" s="37" t="inlineStr">
        <is>
          <t>NO</t>
        </is>
      </c>
      <c r="H46" s="37" t="inlineStr">
        <is>
          <t>-</t>
        </is>
      </c>
      <c r="I46" s="35" t="inlineStr"/>
      <c r="J46" s="37" t="inlineStr">
        <is>
          <t>Untimed</t>
        </is>
      </c>
      <c r="K46" s="37" t="inlineStr">
        <is>
          <t>1 hint</t>
        </is>
      </c>
      <c r="L46" s="37" t="inlineStr">
        <is>
          <t>LC 98 Validate Binary Search Tree</t>
        </is>
      </c>
      <c r="M46" s="35" t="inlineStr">
        <is>
          <t>M</t>
        </is>
      </c>
      <c r="N46" s="35" t="n">
        <v>25</v>
      </c>
      <c r="O46" s="37" t="inlineStr">
        <is>
          <t>LC 230 Kth Smallest Element in a BST</t>
        </is>
      </c>
      <c r="P46" s="35" t="inlineStr">
        <is>
          <t>M</t>
        </is>
      </c>
      <c r="Q46" s="35" t="n">
        <v>20</v>
      </c>
      <c r="R46" s="37" t="inlineStr">
        <is>
          <t>LC 124 Binary Tree Maximum Path Sum</t>
        </is>
      </c>
      <c r="S46" s="37" t="inlineStr">
        <is>
          <t>State the (low, high) range-invariant proof; construct the input that breaks parent-child comparison alone</t>
        </is>
      </c>
      <c r="T46" s="37" t="inlineStr">
        <is>
          <t>Did you exploit the ordering property, or brute-force with a set?</t>
        </is>
      </c>
      <c r="U46" s="37" t="inlineStr">
        <is>
          <t>Ordered indexes; range scans; B-tree node invariants</t>
        </is>
      </c>
      <c r="V46" s="37" t="inlineStr">
        <is>
          <t>Invariant exploitation</t>
        </is>
      </c>
      <c r="W46" s="35" t="n"/>
      <c r="X46" s="35" t="n"/>
      <c r="Y46" s="37" t="n"/>
      <c r="Z46" s="37" t="n"/>
      <c r="AA46" s="35" t="n"/>
      <c r="AB46" s="40" t="inlineStr">
        <is>
          <t>—</t>
        </is>
      </c>
    </row>
    <row r="47" ht="56" customHeight="1">
      <c r="A47" s="35" t="n">
        <v>46</v>
      </c>
      <c r="B47" s="35" t="n">
        <v>7</v>
      </c>
      <c r="C47" s="36" t="n">
        <v>46341</v>
      </c>
      <c r="D47" s="37" t="inlineStr">
        <is>
          <t>Tree construction and structural identity</t>
        </is>
      </c>
      <c r="E47" s="37" t="inlineStr">
        <is>
          <t>Tree recursion (construct)</t>
        </is>
      </c>
      <c r="F47" s="37" t="inlineStr">
        <is>
          <t>Split by root; index map removes linear search; O(n) construction</t>
        </is>
      </c>
      <c r="G47" s="37" t="inlineStr">
        <is>
          <t>NO</t>
        </is>
      </c>
      <c r="H47" s="37" t="inlineStr">
        <is>
          <t>-</t>
        </is>
      </c>
      <c r="I47" s="35" t="inlineStr"/>
      <c r="J47" s="37" t="inlineStr">
        <is>
          <t>Untimed</t>
        </is>
      </c>
      <c r="K47" s="37" t="inlineStr">
        <is>
          <t>1 hint @25min</t>
        </is>
      </c>
      <c r="L47" s="37" t="inlineStr">
        <is>
          <t>LC 105 Construct Tree from Preorder and Inorder</t>
        </is>
      </c>
      <c r="M47" s="35" t="inlineStr">
        <is>
          <t>M</t>
        </is>
      </c>
      <c r="N47" s="35" t="n">
        <v>35</v>
      </c>
      <c r="O47" s="37" t="inlineStr">
        <is>
          <t>LC 572 Subtree of Another Tree</t>
        </is>
      </c>
      <c r="P47" s="35" t="inlineStr">
        <is>
          <t>E</t>
        </is>
      </c>
      <c r="Q47" s="35" t="n">
        <v>20</v>
      </c>
      <c r="R47" s="37" t="inlineStr">
        <is>
          <t>LC 98 Validate BST</t>
        </is>
      </c>
      <c r="S47" s="37" t="inlineStr">
        <is>
          <t>State TC before and after adding the inorder index map; verify correctness on an example</t>
        </is>
      </c>
      <c r="T47" s="37" t="inlineStr">
        <is>
          <t>Did you find the O(n) version yourself, or need a hint?</t>
        </is>
      </c>
      <c r="U47" s="37" t="inlineStr">
        <is>
          <t>Serialization formats; tree/config diffing; AST construction in compilers</t>
        </is>
      </c>
      <c r="V47" s="37" t="inlineStr">
        <is>
          <t>Recursive construction</t>
        </is>
      </c>
      <c r="W47" s="35" t="n"/>
      <c r="X47" s="35" t="n"/>
      <c r="Y47" s="37" t="n"/>
      <c r="Z47" s="37" t="n"/>
      <c r="AA47" s="35" t="n"/>
      <c r="AB47" s="40" t="inlineStr">
        <is>
          <t>—</t>
        </is>
      </c>
    </row>
    <row r="48" ht="56" customHeight="1">
      <c r="A48" s="35" t="n">
        <v>47</v>
      </c>
      <c r="B48" s="35" t="n">
        <v>7</v>
      </c>
      <c r="C48" s="36" t="n">
        <v>46342</v>
      </c>
      <c r="D48" s="37" t="inlineStr">
        <is>
          <t>BFS on trees; designing an encoding for serialization</t>
        </is>
      </c>
      <c r="E48" s="37" t="inlineStr">
        <is>
          <t>BFS levels/serialization</t>
        </is>
      </c>
      <c r="F48" s="37" t="inlineStr">
        <is>
          <t>Level-order state; null markers as an encoding decision; grammar first</t>
        </is>
      </c>
      <c r="G48" s="37" t="inlineStr">
        <is>
          <t>NO</t>
        </is>
      </c>
      <c r="H48" s="37" t="inlineStr">
        <is>
          <t>-</t>
        </is>
      </c>
      <c r="I48" s="35" t="inlineStr"/>
      <c r="J48" s="37" t="inlineStr">
        <is>
          <t>Untimed</t>
        </is>
      </c>
      <c r="K48" s="37" t="inlineStr">
        <is>
          <t>1 hint @25min</t>
        </is>
      </c>
      <c r="L48" s="37" t="inlineStr">
        <is>
          <t>LC 199 Binary Tree Right Side View</t>
        </is>
      </c>
      <c r="M48" s="35" t="inlineStr">
        <is>
          <t>M</t>
        </is>
      </c>
      <c r="N48" s="35" t="n">
        <v>20</v>
      </c>
      <c r="O48" s="37" t="inlineStr">
        <is>
          <t>LC 297 Serialize and Deserialize Binary Tree</t>
        </is>
      </c>
      <c r="P48" s="35" t="inlineStr">
        <is>
          <t>H</t>
        </is>
      </c>
      <c r="Q48" s="35" t="n">
        <v>35</v>
      </c>
      <c r="R48" s="37" t="inlineStr">
        <is>
          <t>LC 105 Construct Tree from Preorder and Inorder</t>
        </is>
      </c>
      <c r="S48" s="37" t="inlineStr">
        <is>
          <t>Rebuild serialize/deserialize from memory; define the encoding grammar BEFORE coding</t>
        </is>
      </c>
      <c r="T48" s="37" t="inlineStr">
        <is>
          <t>Did you define the encoding format before writing any code, or improvise?</t>
        </is>
      </c>
      <c r="U48" s="37" t="inlineStr">
        <is>
          <t>Wire formats; checkpoint serialization; graph snapshotting in ML systems</t>
        </is>
      </c>
      <c r="V48" s="37" t="inlineStr">
        <is>
          <t>Encoding design</t>
        </is>
      </c>
      <c r="W48" s="35" t="n"/>
      <c r="X48" s="35" t="n"/>
      <c r="Y48" s="37" t="n"/>
      <c r="Z48" s="37" t="n"/>
      <c r="AA48" s="35" t="n"/>
      <c r="AB48" s="40" t="inlineStr">
        <is>
          <t>—</t>
        </is>
      </c>
    </row>
    <row r="49" ht="56" customHeight="1">
      <c r="A49" s="35" t="n">
        <v>48</v>
      </c>
      <c r="B49" s="35" t="n">
        <v>7</v>
      </c>
      <c r="C49" s="36" t="n">
        <v>46343</v>
      </c>
      <c r="D49" s="37" t="inlineStr">
        <is>
          <t>Blind tree mix: DFS or BFS, and why  -  state your reason before implementing</t>
        </is>
      </c>
      <c r="E49" s="37" t="inlineStr">
        <is>
          <t>Blind (trees)</t>
        </is>
      </c>
      <c r="F49" s="37" t="inlineStr">
        <is>
          <t>Traversal choice driven by what information you need</t>
        </is>
      </c>
      <c r="G49" s="37" t="inlineStr">
        <is>
          <t>NO</t>
        </is>
      </c>
      <c r="H49" s="37" t="inlineStr">
        <is>
          <t>-</t>
        </is>
      </c>
      <c r="I49" s="35" t="inlineStr"/>
      <c r="J49" s="37" t="inlineStr">
        <is>
          <t>Timed-50</t>
        </is>
      </c>
      <c r="K49" s="37" t="inlineStr">
        <is>
          <t>None</t>
        </is>
      </c>
      <c r="L49" s="37" t="inlineStr">
        <is>
          <t>LC 236 Lowest Common Ancestor</t>
        </is>
      </c>
      <c r="M49" s="35" t="inlineStr">
        <is>
          <t>M</t>
        </is>
      </c>
      <c r="N49" s="35" t="n">
        <v>25</v>
      </c>
      <c r="O49" s="37" t="inlineStr">
        <is>
          <t>LC 1448 Count Good Nodes in Binary Tree</t>
        </is>
      </c>
      <c r="P49" s="35" t="inlineStr">
        <is>
          <t>M</t>
        </is>
      </c>
      <c r="Q49" s="35" t="n">
        <v>20</v>
      </c>
      <c r="R49" s="37" t="inlineStr">
        <is>
          <t>LC 297 Serialize and Deserialize Binary Tree</t>
        </is>
      </c>
      <c r="S49" s="37" t="inlineStr">
        <is>
          <t>Write a 3-line DFS-vs-BFS decision rule you will actually use from today</t>
        </is>
      </c>
      <c r="T49" s="37" t="inlineStr">
        <is>
          <t>First-try correctness on both? Log time-to-pattern.</t>
        </is>
      </c>
      <c r="U49" s="37" t="inlineStr">
        <is>
          <t>Ancestor/ownership queries in dependency trees; LCA in job-graph analysis</t>
        </is>
      </c>
      <c r="V49" s="37" t="inlineStr">
        <is>
          <t>Traversal selection</t>
        </is>
      </c>
      <c r="W49" s="35" t="n"/>
      <c r="X49" s="35" t="n"/>
      <c r="Y49" s="37" t="n"/>
      <c r="Z49" s="37" t="n"/>
      <c r="AA49" s="35" t="n"/>
      <c r="AB49" s="40" t="inlineStr">
        <is>
          <t>—</t>
        </is>
      </c>
    </row>
    <row r="50" ht="56" customHeight="1">
      <c r="A50" s="35" t="n">
        <v>49</v>
      </c>
      <c r="B50" s="35" t="n">
        <v>7</v>
      </c>
      <c r="C50" s="36" t="n">
        <v>46344</v>
      </c>
      <c r="D50" s="37" t="inlineStr">
        <is>
          <t>Week 7 assessment  -  tree retention with zero notes</t>
        </is>
      </c>
      <c r="E50" s="37" t="inlineStr">
        <is>
          <t>Review/audit</t>
        </is>
      </c>
      <c r="F50" s="37" t="inlineStr">
        <is>
          <t>Deep tree retention check</t>
        </is>
      </c>
      <c r="G50" s="37" t="inlineStr">
        <is>
          <t>NO</t>
        </is>
      </c>
      <c r="H50" s="37" t="inlineStr">
        <is>
          <t>-</t>
        </is>
      </c>
      <c r="I50" s="35" t="inlineStr"/>
      <c r="J50" s="37" t="inlineStr">
        <is>
          <t>Untimed</t>
        </is>
      </c>
      <c r="K50" s="37" t="inlineStr">
        <is>
          <t>None</t>
        </is>
      </c>
      <c r="L50" s="37" t="inlineStr">
        <is>
          <t>Retest 3 tree problems from W7, no notes</t>
        </is>
      </c>
      <c r="M50" s="35" t="inlineStr">
        <is>
          <t>M</t>
        </is>
      </c>
      <c r="N50" s="35" t="n">
        <v>45</v>
      </c>
      <c r="O50" s="37" t="inlineStr">
        <is>
          <t>WeeklyAssessment</t>
        </is>
      </c>
      <c r="P50" s="35" t="inlineStr">
        <is>
          <t>-</t>
        </is>
      </c>
      <c r="Q50" s="35" t="n">
        <v>20</v>
      </c>
      <c r="R50" s="37" t="inlineStr">
        <is>
          <t>ReviewQueue top 3</t>
        </is>
      </c>
      <c r="S50" s="37" t="inlineStr">
        <is>
          <t>Rederive diameter (LC 543) and max-path-sum (LC 124) from scratch; write both contracts first</t>
        </is>
      </c>
      <c r="T50" s="37" t="inlineStr">
        <is>
          <t>Has the 'write the contract first' habit actually formed? Show evidence.</t>
        </is>
      </c>
      <c r="U50" s="37" t="inlineStr">
        <is>
          <t>-</t>
        </is>
      </c>
      <c r="V50" s="37" t="inlineStr">
        <is>
          <t>Retention</t>
        </is>
      </c>
      <c r="W50" s="35" t="n"/>
      <c r="X50" s="35" t="n"/>
      <c r="Y50" s="37" t="n"/>
      <c r="Z50" s="37" t="n"/>
      <c r="AA50" s="35" t="n"/>
      <c r="AB50" s="40" t="inlineStr">
        <is>
          <t>—</t>
        </is>
      </c>
    </row>
    <row r="51" ht="56" customHeight="1">
      <c r="A51" s="41" t="n">
        <v>50</v>
      </c>
      <c r="B51" s="41" t="n">
        <v>8</v>
      </c>
      <c r="C51" s="42" t="n">
        <v>46345</v>
      </c>
      <c r="D51" s="43" t="inlineStr">
        <is>
          <t>Tries: exploit shared prefixes; know when a trie is NOT worth it</t>
        </is>
      </c>
      <c r="E51" s="43" t="inlineStr">
        <is>
          <t>Trie</t>
        </is>
      </c>
      <c r="F51" s="43" t="inlineStr">
        <is>
          <t>Character-indexed tree; memory vs lookup trade-off vs hashset</t>
        </is>
      </c>
      <c r="G51" s="43" t="inlineStr">
        <is>
          <t>YES</t>
        </is>
      </c>
      <c r="H51" s="44">
        <f>HYPERLINK("https://www.youtube.com/watch?v=p7-9UvDQZ3w", "Trie construction and use")</f>
        <v/>
      </c>
      <c r="I51" s="41" t="n">
        <v>20</v>
      </c>
      <c r="J51" s="43" t="inlineStr">
        <is>
          <t>Untimed</t>
        </is>
      </c>
      <c r="K51" s="43" t="inlineStr">
        <is>
          <t>Tutorial before</t>
        </is>
      </c>
      <c r="L51" s="43" t="inlineStr">
        <is>
          <t>LC 208 Implement Trie (Prefix Tree)</t>
        </is>
      </c>
      <c r="M51" s="41" t="inlineStr">
        <is>
          <t>M</t>
        </is>
      </c>
      <c r="N51" s="41" t="n">
        <v>25</v>
      </c>
      <c r="O51" s="43" t="inlineStr">
        <is>
          <t>LC 139 Word Break</t>
        </is>
      </c>
      <c r="P51" s="41" t="inlineStr">
        <is>
          <t>M</t>
        </is>
      </c>
      <c r="Q51" s="41" t="n">
        <v>30</v>
      </c>
      <c r="R51" s="43" t="inlineStr">
        <is>
          <t>LC 236 Lowest Common Ancestor</t>
        </is>
      </c>
      <c r="S51" s="43" t="inlineStr">
        <is>
          <t>Compare trie vs hashset on memory and lookup TC; name a concrete case where hashset wins</t>
        </is>
      </c>
      <c r="T51" s="43" t="inlineStr">
        <is>
          <t>Do you know the TRADE-OFF, or just that tries exist?</t>
        </is>
      </c>
      <c r="U51" s="43" t="inlineStr">
        <is>
          <t>Autocomplete; tokenizer vocabularies; longest-prefix-match routing in networking</t>
        </is>
      </c>
      <c r="V51" s="43" t="inlineStr">
        <is>
          <t>Structure trade-offs</t>
        </is>
      </c>
      <c r="W51" s="41" t="n"/>
      <c r="X51" s="41" t="n"/>
      <c r="Y51" s="43" t="n"/>
      <c r="Z51" s="43" t="n"/>
      <c r="AA51" s="41" t="n"/>
      <c r="AB51" s="45">
        <f>HYPERLINK("https://www.youtube.com/watch?v=p7-9UvDQZ3w", "▶ Watch (Striver) ↗")</f>
        <v/>
      </c>
    </row>
    <row r="52" ht="56" customHeight="1">
      <c r="A52" s="41" t="n">
        <v>51</v>
      </c>
      <c r="B52" s="41" t="n">
        <v>8</v>
      </c>
      <c r="C52" s="42" t="n">
        <v>46346</v>
      </c>
      <c r="D52" s="43" t="inlineStr">
        <is>
          <t>Trie + DFS: pruning is the entire point</t>
        </is>
      </c>
      <c r="E52" s="43" t="inlineStr">
        <is>
          <t>Trie + backtracking</t>
        </is>
      </c>
      <c r="F52" s="43" t="inlineStr">
        <is>
          <t>Prune the search space using shared prefix structure</t>
        </is>
      </c>
      <c r="G52" s="43" t="inlineStr">
        <is>
          <t>NO</t>
        </is>
      </c>
      <c r="H52" s="43" t="inlineStr">
        <is>
          <t>-</t>
        </is>
      </c>
      <c r="I52" s="41" t="inlineStr"/>
      <c r="J52" s="43" t="inlineStr">
        <is>
          <t>Untimed</t>
        </is>
      </c>
      <c r="K52" s="43" t="inlineStr">
        <is>
          <t>1 hint @30min</t>
        </is>
      </c>
      <c r="L52" s="43" t="inlineStr">
        <is>
          <t>LC 212 Word Search II</t>
        </is>
      </c>
      <c r="M52" s="41" t="inlineStr">
        <is>
          <t>H</t>
        </is>
      </c>
      <c r="N52" s="41" t="n">
        <v>45</v>
      </c>
      <c r="O52" s="43" t="inlineStr">
        <is>
          <t>LC 211 Design Add and Search Words Data Structure</t>
        </is>
      </c>
      <c r="P52" s="41" t="inlineStr">
        <is>
          <t>M</t>
        </is>
      </c>
      <c r="Q52" s="41" t="n">
        <v>25</v>
      </c>
      <c r="R52" s="43" t="inlineStr">
        <is>
          <t>LC 208 Implement Trie</t>
        </is>
      </c>
      <c r="S52" s="43" t="inlineStr">
        <is>
          <t>Explain precisely how the trie prunes DFS branches and what the TC bound becomes with pruning</t>
        </is>
      </c>
      <c r="T52" s="43" t="inlineStr">
        <is>
          <t>Did you see pruning as the PURPOSE of the trie, or bolt it on afterwards?</t>
        </is>
      </c>
      <c r="U52" s="43" t="inlineStr">
        <is>
          <t>Prefix routing tables; vocabulary matching in tokenizers and NLP pipelines</t>
        </is>
      </c>
      <c r="V52" s="43" t="inlineStr">
        <is>
          <t>Search pruning</t>
        </is>
      </c>
      <c r="W52" s="41" t="n"/>
      <c r="X52" s="41" t="n"/>
      <c r="Y52" s="43" t="n"/>
      <c r="Z52" s="43" t="n"/>
      <c r="AA52" s="41" t="n"/>
      <c r="AB52" s="46" t="inlineStr">
        <is>
          <t>—</t>
        </is>
      </c>
    </row>
    <row r="53" ht="56" customHeight="1">
      <c r="A53" s="41" t="n">
        <v>52</v>
      </c>
      <c r="B53" s="41" t="n">
        <v>8</v>
      </c>
      <c r="C53" s="42" t="n">
        <v>46347</v>
      </c>
      <c r="D53" s="43" t="inlineStr">
        <is>
          <t>Cross-pattern fusion: trees + prefix hashing (week-1 reappears in trees)</t>
        </is>
      </c>
      <c r="E53" s="43" t="inlineStr">
        <is>
          <t>Tree recursion + prefix-hash</t>
        </is>
      </c>
      <c r="F53" s="43" t="inlineStr">
        <is>
          <t>Prefix sums along root-to-node path; undo the count on backtrack</t>
        </is>
      </c>
      <c r="G53" s="43" t="inlineStr">
        <is>
          <t>NO</t>
        </is>
      </c>
      <c r="H53" s="43" t="inlineStr">
        <is>
          <t>-</t>
        </is>
      </c>
      <c r="I53" s="41" t="inlineStr"/>
      <c r="J53" s="43" t="inlineStr">
        <is>
          <t>Untimed</t>
        </is>
      </c>
      <c r="K53" s="43" t="inlineStr">
        <is>
          <t>1 hint @25min</t>
        </is>
      </c>
      <c r="L53" s="43" t="inlineStr">
        <is>
          <t>LC 437 Path Sum III</t>
        </is>
      </c>
      <c r="M53" s="41" t="inlineStr">
        <is>
          <t>M</t>
        </is>
      </c>
      <c r="N53" s="41" t="n">
        <v>35</v>
      </c>
      <c r="O53" s="43" t="inlineStr">
        <is>
          <t>LC 337 House Robber III</t>
        </is>
      </c>
      <c r="P53" s="41" t="inlineStr">
        <is>
          <t>M</t>
        </is>
      </c>
      <c r="Q53" s="41" t="n">
        <v>30</v>
      </c>
      <c r="R53" s="43" t="inlineStr">
        <is>
          <t>LC 212 Word Search II</t>
        </is>
      </c>
      <c r="S53" s="43" t="inlineStr">
        <is>
          <t>Explain the path-prefix map and why you must DECREMENT on the way back up the recursion</t>
        </is>
      </c>
      <c r="T53" s="43" t="inlineStr">
        <is>
          <t>Did you connect week-1 prefix hashing to trees ON YOUR OWN?</t>
        </is>
      </c>
      <c r="U53" s="43" t="inlineStr">
        <is>
          <t>Hierarchical cost accounting; per-path aggregation in distributed tracing</t>
        </is>
      </c>
      <c r="V53" s="43" t="inlineStr">
        <is>
          <t>Cross-pattern fusion</t>
        </is>
      </c>
      <c r="W53" s="41" t="n"/>
      <c r="X53" s="41" t="n"/>
      <c r="Y53" s="43" t="n"/>
      <c r="Z53" s="43" t="n"/>
      <c r="AA53" s="41" t="n"/>
      <c r="AB53" s="46" t="inlineStr">
        <is>
          <t>—</t>
        </is>
      </c>
    </row>
    <row r="54" ht="56" customHeight="1">
      <c r="A54" s="41" t="n">
        <v>53</v>
      </c>
      <c r="B54" s="41" t="n">
        <v>8</v>
      </c>
      <c r="C54" s="42" t="n">
        <v>46348</v>
      </c>
      <c r="D54" s="43" t="inlineStr">
        <is>
          <t>Interleaving weeks 1-7, hard-leaning, unlabelled, timed</t>
        </is>
      </c>
      <c r="E54" s="43" t="inlineStr">
        <is>
          <t>Blind (W1-W7 cross)</t>
        </is>
      </c>
      <c r="F54" s="43" t="inlineStr">
        <is>
          <t>Full-range transfer recognition; unfamiliar problem structure</t>
        </is>
      </c>
      <c r="G54" s="43" t="inlineStr">
        <is>
          <t>NO</t>
        </is>
      </c>
      <c r="H54" s="43" t="inlineStr">
        <is>
          <t>-</t>
        </is>
      </c>
      <c r="I54" s="41" t="inlineStr"/>
      <c r="J54" s="43" t="inlineStr">
        <is>
          <t>Timed-60</t>
        </is>
      </c>
      <c r="K54" s="43" t="inlineStr">
        <is>
          <t>None</t>
        </is>
      </c>
      <c r="L54" s="43" t="inlineStr">
        <is>
          <t>LC 549 Binary Tree Longest Consecutive Sequence II</t>
        </is>
      </c>
      <c r="M54" s="41" t="inlineStr">
        <is>
          <t>M</t>
        </is>
      </c>
      <c r="N54" s="41" t="n">
        <v>30</v>
      </c>
      <c r="O54" s="43" t="inlineStr">
        <is>
          <t>LC 987 Vertical Order Traversal of a Binary Tree</t>
        </is>
      </c>
      <c r="P54" s="41" t="inlineStr">
        <is>
          <t>H</t>
        </is>
      </c>
      <c r="Q54" s="41" t="n">
        <v>35</v>
      </c>
      <c r="R54" s="43" t="inlineStr">
        <is>
          <t>LC 437 Path Sum III</t>
        </is>
      </c>
      <c r="S54" s="43" t="inlineStr">
        <is>
          <t>For each: which EARLIER pattern did it reuse? Name it explicitly.</t>
        </is>
      </c>
      <c r="T54" s="43" t="inlineStr">
        <is>
          <t>Cross-week transfer is the real test of retention vs surface memorisation.</t>
        </is>
      </c>
      <c r="U54" s="43" t="inlineStr">
        <is>
          <t>-</t>
        </is>
      </c>
      <c r="V54" s="43" t="inlineStr">
        <is>
          <t>Transfer</t>
        </is>
      </c>
      <c r="W54" s="41" t="n"/>
      <c r="X54" s="41" t="n"/>
      <c r="Y54" s="43" t="n"/>
      <c r="Z54" s="43" t="n"/>
      <c r="AA54" s="41" t="n"/>
      <c r="AB54" s="46" t="inlineStr">
        <is>
          <t>—</t>
        </is>
      </c>
    </row>
    <row r="55" ht="56" customHeight="1">
      <c r="A55" s="41" t="n">
        <v>54</v>
      </c>
      <c r="B55" s="41" t="n">
        <v>8</v>
      </c>
      <c r="C55" s="42" t="n">
        <v>46349</v>
      </c>
      <c r="D55" s="43" t="inlineStr">
        <is>
          <t>Explanation training: compress 5 patterns to 90 seconds each  -  verbal clarity</t>
        </is>
      </c>
      <c r="E55" s="43" t="inlineStr">
        <is>
          <t>Communication</t>
        </is>
      </c>
      <c r="F55" s="43" t="inlineStr">
        <is>
          <t>Compression forces genuine understanding; verbal explanation tests mastery</t>
        </is>
      </c>
      <c r="G55" s="43" t="inlineStr">
        <is>
          <t>NO</t>
        </is>
      </c>
      <c r="H55" s="43" t="inlineStr">
        <is>
          <t>-</t>
        </is>
      </c>
      <c r="I55" s="41" t="inlineStr"/>
      <c r="J55" s="43" t="inlineStr">
        <is>
          <t>Timed-40</t>
        </is>
      </c>
      <c r="K55" s="43" t="inlineStr">
        <is>
          <t>None</t>
        </is>
      </c>
      <c r="L55" s="43" t="inlineStr">
        <is>
          <t>Explain 5 patterns aloud, recorded, 90s each (trigger, insight, invariant, TC)</t>
        </is>
      </c>
      <c r="M55" s="41" t="inlineStr">
        <is>
          <t>-</t>
        </is>
      </c>
      <c r="N55" s="41" t="n">
        <v>30</v>
      </c>
      <c r="O55" s="43" t="inlineStr">
        <is>
          <t>Retest 1 hard problem while narrating continuously</t>
        </is>
      </c>
      <c r="P55" s="41" t="inlineStr">
        <is>
          <t>H</t>
        </is>
      </c>
      <c r="Q55" s="41" t="n">
        <v>40</v>
      </c>
      <c r="R55" s="43" t="inlineStr">
        <is>
          <t>ReviewQueue top 3</t>
        </is>
      </c>
      <c r="S55" s="43" t="inlineStr">
        <is>
          <t>No-notes verbal explanation of monotonic-stack amortization and BS-on-answer validity</t>
        </is>
      </c>
      <c r="T55" s="43" t="inlineStr">
        <is>
          <t>Would a sceptical interviewer follow your explanation? Listen to the recording once.</t>
        </is>
      </c>
      <c r="U55" s="43" t="inlineStr">
        <is>
          <t>Design reviews; RFC defence; on-call handover documentation</t>
        </is>
      </c>
      <c r="V55" s="43" t="inlineStr">
        <is>
          <t>Verbal clarity</t>
        </is>
      </c>
      <c r="W55" s="41" t="n"/>
      <c r="X55" s="41" t="n"/>
      <c r="Y55" s="43" t="n"/>
      <c r="Z55" s="43" t="n"/>
      <c r="AA55" s="41" t="n"/>
      <c r="AB55" s="46" t="inlineStr">
        <is>
          <t>—</t>
        </is>
      </c>
    </row>
    <row r="56" ht="56" customHeight="1">
      <c r="A56" s="41" t="n">
        <v>55</v>
      </c>
      <c r="B56" s="41" t="n">
        <v>8</v>
      </c>
      <c r="C56" s="42" t="n">
        <v>46350</v>
      </c>
      <c r="D56" s="43" t="inlineStr">
        <is>
          <t>Failure-driven repair day  -  repair, do not explore new territory</t>
        </is>
      </c>
      <c r="E56" s="43" t="inlineStr">
        <is>
          <t>Targeted repair</t>
        </is>
      </c>
      <c r="F56" s="43" t="inlineStr">
        <is>
          <t>Fix the failure category, not a new pattern</t>
        </is>
      </c>
      <c r="G56" s="43" t="inlineStr">
        <is>
          <t>NO</t>
        </is>
      </c>
      <c r="H56" s="43" t="inlineStr">
        <is>
          <t>-</t>
        </is>
      </c>
      <c r="I56" s="41" t="inlineStr"/>
      <c r="J56" s="43" t="inlineStr">
        <is>
          <t>Untimed</t>
        </is>
      </c>
      <c r="K56" s="43" t="inlineStr">
        <is>
          <t>Hints allowed</t>
        </is>
      </c>
      <c r="L56" s="43" t="inlineStr">
        <is>
          <t>3 problems from your worst 2 failure categories</t>
        </is>
      </c>
      <c r="M56" s="41" t="inlineStr">
        <is>
          <t>M</t>
        </is>
      </c>
      <c r="N56" s="41" t="n">
        <v>50</v>
      </c>
      <c r="O56" s="43" t="inlineStr">
        <is>
          <t>Write/refresh preventive rules in FailureLog</t>
        </is>
      </c>
      <c r="P56" s="41" t="inlineStr">
        <is>
          <t>-</t>
        </is>
      </c>
      <c r="Q56" s="41" t="n">
        <v>20</v>
      </c>
      <c r="R56" s="43" t="inlineStr">
        <is>
          <t>All Mastered=No from W5-W7</t>
        </is>
      </c>
      <c r="S56" s="43" t="inlineStr">
        <is>
          <t>Restate your 5 preventive rules from memory; verify they fired during today's solving</t>
        </is>
      </c>
      <c r="T56" s="43" t="inlineStr">
        <is>
          <t>Did the rules actually prevent the mistake? Rules that never fire are decoration.</t>
        </is>
      </c>
      <c r="U56" s="43" t="inlineStr">
        <is>
          <t>-</t>
        </is>
      </c>
      <c r="V56" s="43" t="inlineStr">
        <is>
          <t>Error correction</t>
        </is>
      </c>
      <c r="W56" s="41" t="n"/>
      <c r="X56" s="41" t="n"/>
      <c r="Y56" s="43" t="n"/>
      <c r="Z56" s="43" t="n"/>
      <c r="AA56" s="41" t="n"/>
      <c r="AB56" s="46" t="inlineStr">
        <is>
          <t>—</t>
        </is>
      </c>
    </row>
    <row r="57" ht="56" customHeight="1">
      <c r="A57" s="41" t="n">
        <v>56</v>
      </c>
      <c r="B57" s="41" t="n">
        <v>8</v>
      </c>
      <c r="C57" s="42" t="n">
        <v>46351</v>
      </c>
      <c r="D57" s="43" t="inlineStr">
        <is>
          <t>MONTH 2 DIAGNOSTIC  -  3 unlabelled, 100 min, verbal + complexity required</t>
        </is>
      </c>
      <c r="E57" s="43" t="inlineStr">
        <is>
          <t>Diagnostic</t>
        </is>
      </c>
      <c r="F57" s="43" t="inlineStr">
        <is>
          <t>Measure against Month 1. No pattern labels. No hints.</t>
        </is>
      </c>
      <c r="G57" s="43" t="inlineStr">
        <is>
          <t>NO</t>
        </is>
      </c>
      <c r="H57" s="43" t="inlineStr">
        <is>
          <t>-</t>
        </is>
      </c>
      <c r="I57" s="41" t="inlineStr"/>
      <c r="J57" s="43" t="inlineStr">
        <is>
          <t>Diagnostic</t>
        </is>
      </c>
      <c r="K57" s="43" t="inlineStr">
        <is>
          <t>None</t>
        </is>
      </c>
      <c r="L57" s="43" t="inlineStr">
        <is>
          <t>LC 315 Count of Smaller Numbers After Self</t>
        </is>
      </c>
      <c r="M57" s="41" t="inlineStr">
        <is>
          <t>H</t>
        </is>
      </c>
      <c r="N57" s="41" t="n">
        <v>34</v>
      </c>
      <c r="O57" s="43" t="inlineStr">
        <is>
          <t>LC 1110 Delete Nodes and Return Forest + LC 1396 Design Underground System (unlabelled)</t>
        </is>
      </c>
      <c r="P57" s="41" t="inlineStr">
        <is>
          <t>M</t>
        </is>
      </c>
      <c r="Q57" s="41" t="n">
        <v>66</v>
      </c>
      <c r="R57" s="43" t="inlineStr">
        <is>
          <t>-</t>
        </is>
      </c>
      <c r="S57" s="43" t="inlineStr">
        <is>
          <t>Log time-to-pattern, TC/SC, hints used, explanation quality for each</t>
        </is>
      </c>
      <c r="T57" s="43" t="inlineStr">
        <is>
          <t>Compare ALL numbers to Month 1. Time-to-pattern must be dropping. If not, recognition training increases.</t>
        </is>
      </c>
      <c r="U57" s="43" t="inlineStr">
        <is>
          <t>-</t>
        </is>
      </c>
      <c r="V57" s="43" t="inlineStr">
        <is>
          <t>Progress measurement</t>
        </is>
      </c>
      <c r="W57" s="41" t="n"/>
      <c r="X57" s="41" t="n"/>
      <c r="Y57" s="43" t="n"/>
      <c r="Z57" s="43" t="n"/>
      <c r="AA57" s="41" t="n"/>
      <c r="AB57" s="46" t="inlineStr">
        <is>
          <t>—</t>
        </is>
      </c>
    </row>
    <row r="58" ht="56" customHeight="1">
      <c r="A58" s="35" t="n">
        <v>57</v>
      </c>
      <c r="B58" s="35" t="n">
        <v>9</v>
      </c>
      <c r="C58" s="36" t="n">
        <v>46352</v>
      </c>
      <c r="D58" s="37" t="inlineStr">
        <is>
          <t>Graph modelling: what are the nodes and edges  -  model FIRST, algorithm second</t>
        </is>
      </c>
      <c r="E58" s="37" t="inlineStr">
        <is>
          <t>Graph traversal</t>
        </is>
      </c>
      <c r="F58" s="37" t="inlineStr">
        <is>
          <t>Grid-as-graph; visited discipline  -  mark on PUSH, not on pop</t>
        </is>
      </c>
      <c r="G58" s="37" t="inlineStr">
        <is>
          <t>YES</t>
        </is>
      </c>
      <c r="H58" s="38">
        <f>HYPERLINK("https://www.youtube.com/watch?v=13m9ZCB8gjw", "Graph representations + BFS/DFS; visited discipline")</f>
        <v/>
      </c>
      <c r="I58" s="35" t="n">
        <v>25</v>
      </c>
      <c r="J58" s="37" t="inlineStr">
        <is>
          <t>Untimed</t>
        </is>
      </c>
      <c r="K58" s="37" t="inlineStr">
        <is>
          <t>Tutorial before</t>
        </is>
      </c>
      <c r="L58" s="37" t="inlineStr">
        <is>
          <t>LC 200 Number of Islands</t>
        </is>
      </c>
      <c r="M58" s="35" t="inlineStr">
        <is>
          <t>M</t>
        </is>
      </c>
      <c r="N58" s="35" t="n">
        <v>25</v>
      </c>
      <c r="O58" s="37" t="inlineStr">
        <is>
          <t>LC 133 Clone Graph</t>
        </is>
      </c>
      <c r="P58" s="35" t="inlineStr">
        <is>
          <t>M</t>
        </is>
      </c>
      <c r="Q58" s="35" t="n">
        <v>25</v>
      </c>
      <c r="R58" s="37" t="inlineStr">
        <is>
          <t>LC 437 Path Sum III</t>
        </is>
      </c>
      <c r="S58" s="37" t="inlineStr">
        <is>
          <t>State when to mark visited (push vs pop); construct the input that causes exponential blowup if wrong</t>
        </is>
      </c>
      <c r="T58" s="37" t="inlineStr">
        <is>
          <t>Did you avoid revisit bugs by design, or by luck?</t>
        </is>
      </c>
      <c r="U58" s="37" t="inlineStr">
        <is>
          <t>Topology discovery; cluster membership; service-graph crawling in MLOps</t>
        </is>
      </c>
      <c r="V58" s="37" t="inlineStr">
        <is>
          <t>Graph modelling</t>
        </is>
      </c>
      <c r="W58" s="35" t="n"/>
      <c r="X58" s="35" t="n"/>
      <c r="Y58" s="37" t="n"/>
      <c r="Z58" s="37" t="n"/>
      <c r="AA58" s="35" t="n"/>
      <c r="AB58" s="39">
        <f>HYPERLINK("https://www.youtube.com/watch?v=13m9ZCB8gjw", "▶ Watch (Padho with Pratyush) ↗")</f>
        <v/>
      </c>
    </row>
    <row r="59" ht="56" customHeight="1">
      <c r="A59" s="35" t="n">
        <v>58</v>
      </c>
      <c r="B59" s="35" t="n">
        <v>9</v>
      </c>
      <c r="C59" s="36" t="n">
        <v>46353</v>
      </c>
      <c r="D59" s="37" t="inlineStr">
        <is>
          <t>Multi-source BFS and reversing the direction of thought</t>
        </is>
      </c>
      <c r="E59" s="37" t="inlineStr">
        <is>
          <t>BFS (multi-source/reverse)</t>
        </is>
      </c>
      <c r="F59" s="37" t="inlineStr">
        <is>
          <t>Seed all sources at level 0; think from the boundary inward</t>
        </is>
      </c>
      <c r="G59" s="37" t="inlineStr">
        <is>
          <t>NO</t>
        </is>
      </c>
      <c r="H59" s="37" t="inlineStr">
        <is>
          <t>-</t>
        </is>
      </c>
      <c r="I59" s="35" t="inlineStr"/>
      <c r="J59" s="37" t="inlineStr">
        <is>
          <t>Untimed</t>
        </is>
      </c>
      <c r="K59" s="37" t="inlineStr">
        <is>
          <t>1 hint @20min</t>
        </is>
      </c>
      <c r="L59" s="37" t="inlineStr">
        <is>
          <t>LC 994 Rotting Oranges</t>
        </is>
      </c>
      <c r="M59" s="35" t="inlineStr">
        <is>
          <t>M</t>
        </is>
      </c>
      <c r="N59" s="35" t="n">
        <v>25</v>
      </c>
      <c r="O59" s="37" t="inlineStr">
        <is>
          <t>LC 417 Pacific Atlantic Water Flow</t>
        </is>
      </c>
      <c r="P59" s="35" t="inlineStr">
        <is>
          <t>M</t>
        </is>
      </c>
      <c r="Q59" s="35" t="n">
        <v>30</v>
      </c>
      <c r="R59" s="37" t="inlineStr">
        <is>
          <t>LC 200 Number of Islands</t>
        </is>
      </c>
      <c r="S59" s="37" t="inlineStr">
        <is>
          <t>Explain why multi-source BFS is still O(V+E); why reverse traversal simplifies LC 417</t>
        </is>
      </c>
      <c r="T59" s="37" t="inlineStr">
        <is>
          <t>Did you reverse the direction yourself, or brute-force per cell?</t>
        </is>
      </c>
      <c r="U59" s="37" t="inlineStr">
        <is>
          <t>Failure propagation / blast-radius analysis in a distributed cluster</t>
        </is>
      </c>
      <c r="V59" s="37" t="inlineStr">
        <is>
          <t>Direction inversion</t>
        </is>
      </c>
      <c r="W59" s="35" t="n"/>
      <c r="X59" s="35" t="n"/>
      <c r="Y59" s="37" t="n"/>
      <c r="Z59" s="37" t="n"/>
      <c r="AA59" s="35" t="n"/>
      <c r="AB59" s="40" t="inlineStr">
        <is>
          <t>—</t>
        </is>
      </c>
    </row>
    <row r="60" ht="56" customHeight="1">
      <c r="A60" s="35" t="n">
        <v>59</v>
      </c>
      <c r="B60" s="35" t="n">
        <v>9</v>
      </c>
      <c r="C60" s="36" t="n">
        <v>46354</v>
      </c>
      <c r="D60" s="37" t="inlineStr">
        <is>
          <t>Union-Find: connectivity without full traversal  -  write it cold in 5 minutes</t>
        </is>
      </c>
      <c r="E60" s="37" t="inlineStr">
        <is>
          <t>Union Find</t>
        </is>
      </c>
      <c r="F60" s="37" t="inlineStr">
        <is>
          <t>Path compression + union by size; near-O(1) amortized; write it from memory</t>
        </is>
      </c>
      <c r="G60" s="37" t="inlineStr">
        <is>
          <t>YES</t>
        </is>
      </c>
      <c r="H60" s="38">
        <f>HYPERLINK("https://www.youtube.com/watch?v=dBGUmUQhjaM", "DSU with both optimizations (path compression + union by size)")</f>
        <v/>
      </c>
      <c r="I60" s="35" t="n">
        <v>25</v>
      </c>
      <c r="J60" s="37" t="inlineStr">
        <is>
          <t>Untimed</t>
        </is>
      </c>
      <c r="K60" s="37" t="inlineStr">
        <is>
          <t>Tutorial before</t>
        </is>
      </c>
      <c r="L60" s="37" t="inlineStr">
        <is>
          <t>LC 547 Number of Provinces</t>
        </is>
      </c>
      <c r="M60" s="35" t="inlineStr">
        <is>
          <t>M</t>
        </is>
      </c>
      <c r="N60" s="35" t="n">
        <v>20</v>
      </c>
      <c r="O60" s="37" t="inlineStr">
        <is>
          <t>LC 684 Redundant Connection</t>
        </is>
      </c>
      <c r="P60" s="35" t="inlineStr">
        <is>
          <t>M</t>
        </is>
      </c>
      <c r="Q60" s="35" t="n">
        <v>25</v>
      </c>
      <c r="R60" s="37" t="inlineStr">
        <is>
          <t>LC 994 Rotting Oranges</t>
        </is>
      </c>
      <c r="S60" s="37" t="inlineStr">
        <is>
          <t>Write DSU from memory in under 5 minutes; state amortized complexity; why compression alone is insufficient</t>
        </is>
      </c>
      <c r="T60" s="37" t="inlineStr">
        <is>
          <t>Can you write DSU cold? It reappears in weeks 10 and 13.</t>
        </is>
      </c>
      <c r="U60" s="37" t="inlineStr">
        <is>
          <t>Cluster membership; shard grouping; entity dedup; dynamic connectivity under edge streams</t>
        </is>
      </c>
      <c r="V60" s="37" t="inlineStr">
        <is>
          <t>Near-O(1) connectivity</t>
        </is>
      </c>
      <c r="W60" s="35" t="n"/>
      <c r="X60" s="35" t="n"/>
      <c r="Y60" s="37" t="n"/>
      <c r="Z60" s="37" t="n"/>
      <c r="AA60" s="35" t="n"/>
      <c r="AB60" s="39">
        <f>HYPERLINK("https://www.youtube.com/watch?v=dBGUmUQhjaM", "▶ Watch (Striver) ↗")</f>
        <v/>
      </c>
    </row>
    <row r="61" ht="56" customHeight="1">
      <c r="A61" s="35" t="n">
        <v>60</v>
      </c>
      <c r="B61" s="35" t="n">
        <v>9</v>
      </c>
      <c r="C61" s="36" t="n">
        <v>46355</v>
      </c>
      <c r="D61" s="37" t="inlineStr">
        <is>
          <t>DSU for grouping and incremental connectivity  -  when DSU beats repeated BFS</t>
        </is>
      </c>
      <c r="E61" s="37" t="inlineStr">
        <is>
          <t>Union Find (advanced)</t>
        </is>
      </c>
      <c r="F61" s="37" t="inlineStr">
        <is>
          <t>DSU with labels; offline/incremental processing; streaming edge sets</t>
        </is>
      </c>
      <c r="G61" s="37" t="inlineStr">
        <is>
          <t>NO</t>
        </is>
      </c>
      <c r="H61" s="37" t="inlineStr">
        <is>
          <t>-</t>
        </is>
      </c>
      <c r="I61" s="35" t="inlineStr"/>
      <c r="J61" s="37" t="inlineStr">
        <is>
          <t>Untimed</t>
        </is>
      </c>
      <c r="K61" s="37" t="inlineStr">
        <is>
          <t>1 hint @30min</t>
        </is>
      </c>
      <c r="L61" s="37" t="inlineStr">
        <is>
          <t>LC 721 Accounts Merge</t>
        </is>
      </c>
      <c r="M61" s="35" t="inlineStr">
        <is>
          <t>M</t>
        </is>
      </c>
      <c r="N61" s="35" t="n">
        <v>35</v>
      </c>
      <c r="O61" s="37" t="inlineStr">
        <is>
          <t>LC 827 Making a Large Island</t>
        </is>
      </c>
      <c r="P61" s="35" t="inlineStr">
        <is>
          <t>H</t>
        </is>
      </c>
      <c r="Q61" s="35" t="n">
        <v>40</v>
      </c>
      <c r="R61" s="37" t="inlineStr">
        <is>
          <t>LC 547 Number of Provinces</t>
        </is>
      </c>
      <c r="S61" s="37" t="inlineStr">
        <is>
          <t>Explain why DSU beats repeated BFS when edges ARRIVE over time</t>
        </is>
      </c>
      <c r="T61" s="37" t="inlineStr">
        <is>
          <t>Right structure for a streaming edge set? Distinguish this from F4.</t>
        </is>
      </c>
      <c r="U61" s="37" t="inlineStr">
        <is>
          <t>Incremental cluster formation; dynamic membership in ML job schedulers</t>
        </is>
      </c>
      <c r="V61" s="37" t="inlineStr">
        <is>
          <t>Incremental algorithms</t>
        </is>
      </c>
      <c r="W61" s="35" t="n"/>
      <c r="X61" s="35" t="n"/>
      <c r="Y61" s="37" t="n"/>
      <c r="Z61" s="37" t="n"/>
      <c r="AA61" s="35" t="n"/>
      <c r="AB61" s="40" t="inlineStr">
        <is>
          <t>—</t>
        </is>
      </c>
    </row>
    <row r="62" ht="56" customHeight="1">
      <c r="A62" s="35" t="n">
        <v>61</v>
      </c>
      <c r="B62" s="35" t="n">
        <v>9</v>
      </c>
      <c r="C62" s="36" t="n">
        <v>46356</v>
      </c>
      <c r="D62" s="37" t="inlineStr">
        <is>
          <t>Topological order: dependency resolution  -  know TWO implementations</t>
        </is>
      </c>
      <c r="E62" s="37" t="inlineStr">
        <is>
          <t>Topological sort</t>
        </is>
      </c>
      <c r="F62" s="37" t="inlineStr">
        <is>
          <t>Kahn's in-degree invariant; DFS colours for cycle detection</t>
        </is>
      </c>
      <c r="G62" s="37" t="inlineStr">
        <is>
          <t>YES</t>
        </is>
      </c>
      <c r="H62" s="38">
        <f>HYPERLINK("https://www.youtube.com/watch?v=asbcE9mZz_U", "Topo sort: Kahn + DFS colours; cycle detection in both")</f>
        <v/>
      </c>
      <c r="I62" s="35" t="n">
        <v>20</v>
      </c>
      <c r="J62" s="37" t="inlineStr">
        <is>
          <t>Untimed</t>
        </is>
      </c>
      <c r="K62" s="37" t="inlineStr">
        <is>
          <t>Tutorial before</t>
        </is>
      </c>
      <c r="L62" s="37" t="inlineStr">
        <is>
          <t>LC 207 Course Schedule</t>
        </is>
      </c>
      <c r="M62" s="35" t="inlineStr">
        <is>
          <t>M</t>
        </is>
      </c>
      <c r="N62" s="35" t="n">
        <v>25</v>
      </c>
      <c r="O62" s="37" t="inlineStr">
        <is>
          <t>LC 210 Course Schedule II</t>
        </is>
      </c>
      <c r="P62" s="35" t="inlineStr">
        <is>
          <t>M</t>
        </is>
      </c>
      <c r="Q62" s="35" t="n">
        <v>25</v>
      </c>
      <c r="R62" s="37" t="inlineStr">
        <is>
          <t>LC 721 Accounts Merge</t>
        </is>
      </c>
      <c r="S62" s="37" t="inlineStr">
        <is>
          <t>State the in-degree invariant; explain cycle detection in BOTH Kahn and DFS-colours</t>
        </is>
      </c>
      <c r="T62" s="37" t="inlineStr">
        <is>
          <t>Do you know two implementations, or one memorised loop?</t>
        </is>
      </c>
      <c r="U62" s="37" t="inlineStr">
        <is>
          <t>DAG job scheduling; build systems; ML pipeline orchestration (Airflow-style DAGs)</t>
        </is>
      </c>
      <c r="V62" s="37" t="inlineStr">
        <is>
          <t>Dependency reasoning</t>
        </is>
      </c>
      <c r="W62" s="35" t="n"/>
      <c r="X62" s="35" t="n"/>
      <c r="Y62" s="37" t="n"/>
      <c r="Z62" s="37" t="n"/>
      <c r="AA62" s="35" t="n"/>
      <c r="AB62" s="39">
        <f>HYPERLINK("https://www.youtube.com/watch?v=asbcE9mZz_U", "▶ Watch (Padho with Pratyush) ↗")</f>
        <v/>
      </c>
    </row>
    <row r="63" ht="56" customHeight="1">
      <c r="A63" s="35" t="n">
        <v>62</v>
      </c>
      <c r="B63" s="35" t="n">
        <v>9</v>
      </c>
      <c r="C63" s="36" t="n">
        <v>46357</v>
      </c>
      <c r="D63" s="37" t="inlineStr">
        <is>
          <t>Blind graph mix: traversal vs DSU vs topological  -  from problem shape only</t>
        </is>
      </c>
      <c r="E63" s="37" t="inlineStr">
        <is>
          <t>Blind (graphs)</t>
        </is>
      </c>
      <c r="F63" s="37" t="inlineStr">
        <is>
          <t>Selecting the graph tool from the structure of the question</t>
        </is>
      </c>
      <c r="G63" s="37" t="inlineStr">
        <is>
          <t>NO</t>
        </is>
      </c>
      <c r="H63" s="37" t="inlineStr">
        <is>
          <t>-</t>
        </is>
      </c>
      <c r="I63" s="35" t="inlineStr"/>
      <c r="J63" s="37" t="inlineStr">
        <is>
          <t>Timed-60</t>
        </is>
      </c>
      <c r="K63" s="37" t="inlineStr">
        <is>
          <t>None</t>
        </is>
      </c>
      <c r="L63" s="37" t="inlineStr">
        <is>
          <t>LC 269 Alien Dictionary</t>
        </is>
      </c>
      <c r="M63" s="35" t="inlineStr">
        <is>
          <t>H</t>
        </is>
      </c>
      <c r="N63" s="35" t="n">
        <v>45</v>
      </c>
      <c r="O63" s="37" t="inlineStr">
        <is>
          <t>LC 310 Minimum Height Trees</t>
        </is>
      </c>
      <c r="P63" s="35" t="inlineStr">
        <is>
          <t>M</t>
        </is>
      </c>
      <c r="Q63" s="35" t="n">
        <v>30</v>
      </c>
      <c r="R63" s="37" t="inlineStr">
        <is>
          <t>LC 210 Course Schedule II</t>
        </is>
      </c>
      <c r="S63" s="37" t="inlineStr">
        <is>
          <t>Which exact signal told you 'topological'? Which told you 'peel leaves layer by layer'?</t>
        </is>
      </c>
      <c r="T63" s="37" t="inlineStr">
        <is>
          <t>Recognition speed on graphs  -  log both times.</t>
        </is>
      </c>
      <c r="U63" s="37" t="inlineStr">
        <is>
          <t>Version-ordering inference; dependency inference from build observations</t>
        </is>
      </c>
      <c r="V63" s="37" t="inlineStr">
        <is>
          <t>Recognition</t>
        </is>
      </c>
      <c r="W63" s="35" t="n"/>
      <c r="X63" s="35" t="n"/>
      <c r="Y63" s="37" t="n"/>
      <c r="Z63" s="37" t="n"/>
      <c r="AA63" s="35" t="n"/>
      <c r="AB63" s="40" t="inlineStr">
        <is>
          <t>—</t>
        </is>
      </c>
    </row>
    <row r="64" ht="56" customHeight="1">
      <c r="A64" s="35" t="n">
        <v>63</v>
      </c>
      <c r="B64" s="35" t="n">
        <v>9</v>
      </c>
      <c r="C64" s="36" t="n">
        <v>46358</v>
      </c>
      <c r="D64" s="37" t="inlineStr">
        <is>
          <t>Week 9 assessment  -  graph retention</t>
        </is>
      </c>
      <c r="E64" s="37" t="inlineStr">
        <is>
          <t>Review/audit</t>
        </is>
      </c>
      <c r="F64" s="37" t="inlineStr">
        <is>
          <t>Graph retention without notes</t>
        </is>
      </c>
      <c r="G64" s="37" t="inlineStr">
        <is>
          <t>NO</t>
        </is>
      </c>
      <c r="H64" s="37" t="inlineStr">
        <is>
          <t>-</t>
        </is>
      </c>
      <c r="I64" s="35" t="inlineStr"/>
      <c r="J64" s="37" t="inlineStr">
        <is>
          <t>Untimed</t>
        </is>
      </c>
      <c r="K64" s="37" t="inlineStr">
        <is>
          <t>None</t>
        </is>
      </c>
      <c r="L64" s="37" t="inlineStr">
        <is>
          <t>Retest 3 graph problems, no notes</t>
        </is>
      </c>
      <c r="M64" s="35" t="inlineStr">
        <is>
          <t>M</t>
        </is>
      </c>
      <c r="N64" s="35" t="n">
        <v>45</v>
      </c>
      <c r="O64" s="37" t="inlineStr">
        <is>
          <t>WeeklyAssessment</t>
        </is>
      </c>
      <c r="P64" s="35" t="inlineStr">
        <is>
          <t>-</t>
        </is>
      </c>
      <c r="Q64" s="35" t="n">
        <v>20</v>
      </c>
      <c r="R64" s="37" t="inlineStr">
        <is>
          <t>ReviewQueue top 3</t>
        </is>
      </c>
      <c r="S64" s="37" t="inlineStr">
        <is>
          <t>Rebuild Kahn's algorithm and DSU from a blank file; both under 10 minutes total</t>
        </is>
      </c>
      <c r="T64" s="37" t="inlineStr">
        <is>
          <t>Score graph modelling 1-5. Modelling errors cause more graph failures than algorithm errors.</t>
        </is>
      </c>
      <c r="U64" s="37" t="inlineStr">
        <is>
          <t>-</t>
        </is>
      </c>
      <c r="V64" s="37" t="inlineStr">
        <is>
          <t>Retention</t>
        </is>
      </c>
      <c r="W64" s="35" t="n"/>
      <c r="X64" s="35" t="n"/>
      <c r="Y64" s="37" t="n"/>
      <c r="Z64" s="37" t="n"/>
      <c r="AA64" s="35" t="n"/>
      <c r="AB64" s="40" t="inlineStr">
        <is>
          <t>—</t>
        </is>
      </c>
    </row>
    <row r="65" ht="56" customHeight="1">
      <c r="A65" s="41" t="n">
        <v>64</v>
      </c>
      <c r="B65" s="41" t="n">
        <v>10</v>
      </c>
      <c r="C65" s="42" t="n">
        <v>46359</v>
      </c>
      <c r="D65" s="43" t="inlineStr">
        <is>
          <t>Unweighted shortest path = BFS  -  prove why first-visit is final</t>
        </is>
      </c>
      <c r="E65" s="43" t="inlineStr">
        <is>
          <t>BFS shortest path</t>
        </is>
      </c>
      <c r="F65" s="43" t="inlineStr">
        <is>
          <t>Layered distances; first-visit optimality argument; state-graph edge count</t>
        </is>
      </c>
      <c r="G65" s="43" t="inlineStr">
        <is>
          <t>NO</t>
        </is>
      </c>
      <c r="H65" s="43" t="inlineStr">
        <is>
          <t>-</t>
        </is>
      </c>
      <c r="I65" s="41" t="inlineStr"/>
      <c r="J65" s="43" t="inlineStr">
        <is>
          <t>Untimed</t>
        </is>
      </c>
      <c r="K65" s="43" t="inlineStr">
        <is>
          <t>1 hint @25min</t>
        </is>
      </c>
      <c r="L65" s="43" t="inlineStr">
        <is>
          <t>LC 127 Word Ladder</t>
        </is>
      </c>
      <c r="M65" s="41" t="inlineStr">
        <is>
          <t>H</t>
        </is>
      </c>
      <c r="N65" s="41" t="n">
        <v>40</v>
      </c>
      <c r="O65" s="43" t="inlineStr">
        <is>
          <t>LC 752 Open the Lock</t>
        </is>
      </c>
      <c r="P65" s="41" t="inlineStr">
        <is>
          <t>M</t>
        </is>
      </c>
      <c r="Q65" s="41" t="n">
        <v>30</v>
      </c>
      <c r="R65" s="43" t="inlineStr">
        <is>
          <t>LC 269 Alien Dictionary</t>
        </is>
      </c>
      <c r="S65" s="43" t="inlineStr">
        <is>
          <t>Explain why the first time BFS reaches a node the distance is final; state the implicit-graph edge count</t>
        </is>
      </c>
      <c r="T65" s="43" t="inlineStr">
        <is>
          <t>Was your bottleneck the modelling (edges) or the search algorithm?</t>
        </is>
      </c>
      <c r="U65" s="43" t="inlineStr">
        <is>
          <t>Network hop counts; dependency depth; minimum transformation steps in config migration</t>
        </is>
      </c>
      <c r="V65" s="43" t="inlineStr">
        <is>
          <t>State-graph modelling</t>
        </is>
      </c>
      <c r="W65" s="41" t="n"/>
      <c r="X65" s="41" t="n"/>
      <c r="Y65" s="43" t="n"/>
      <c r="Z65" s="43" t="n"/>
      <c r="AA65" s="41" t="n"/>
      <c r="AB65" s="46" t="inlineStr">
        <is>
          <t>—</t>
        </is>
      </c>
    </row>
    <row r="66" ht="56" customHeight="1">
      <c r="A66" s="41" t="n">
        <v>65</v>
      </c>
      <c r="B66" s="41" t="n">
        <v>10</v>
      </c>
      <c r="C66" s="42" t="n">
        <v>46360</v>
      </c>
      <c r="D66" s="43" t="inlineStr">
        <is>
          <t>State-space search: state is more than position</t>
        </is>
      </c>
      <c r="E66" s="43" t="inlineStr">
        <is>
          <t>State-space BFS</t>
        </is>
      </c>
      <c r="F66" s="43" t="inlineStr">
        <is>
          <t>Compound state encoding; visited MUST be keyed on the FULL state</t>
        </is>
      </c>
      <c r="G66" s="43" t="inlineStr">
        <is>
          <t>YES</t>
        </is>
      </c>
      <c r="H66" s="44">
        <f>HYPERLINK("https://www.youtube.com/watch?v=iTBaI90lpDQ", "State-space search and encoding")</f>
        <v/>
      </c>
      <c r="I66" s="41" t="n">
        <v>20</v>
      </c>
      <c r="J66" s="43" t="inlineStr">
        <is>
          <t>Untimed</t>
        </is>
      </c>
      <c r="K66" s="43" t="inlineStr">
        <is>
          <t>Tutorial before</t>
        </is>
      </c>
      <c r="L66" s="43" t="inlineStr">
        <is>
          <t>LC 1293 Shortest Path in Grid with Obstacles Elimination</t>
        </is>
      </c>
      <c r="M66" s="41" t="inlineStr">
        <is>
          <t>H</t>
        </is>
      </c>
      <c r="N66" s="41" t="n">
        <v>40</v>
      </c>
      <c r="O66" s="43" t="inlineStr">
        <is>
          <t>LC 433 Minimum Genetic Mutation</t>
        </is>
      </c>
      <c r="P66" s="41" t="inlineStr">
        <is>
          <t>M</t>
        </is>
      </c>
      <c r="Q66" s="41" t="n">
        <v>25</v>
      </c>
      <c r="R66" s="43" t="inlineStr">
        <is>
          <t>LC 127 Word Ladder</t>
        </is>
      </c>
      <c r="S66" s="43" t="inlineStr">
        <is>
          <t>Write your state tuple, count the state space size, and derive TC from the count</t>
        </is>
      </c>
      <c r="T66" s="43" t="inlineStr">
        <is>
          <t>Was visited keyed on the FULL state? This single mistake invalidates most attempts.</t>
        </is>
      </c>
      <c r="U66" s="43" t="inlineStr">
        <is>
          <t>Scheduler/config state exploration; rollout planning in deployment systems</t>
        </is>
      </c>
      <c r="V66" s="43" t="inlineStr">
        <is>
          <t>State design</t>
        </is>
      </c>
      <c r="W66" s="41" t="n"/>
      <c r="X66" s="41" t="n"/>
      <c r="Y66" s="43" t="n"/>
      <c r="Z66" s="43" t="n"/>
      <c r="AA66" s="41" t="n"/>
      <c r="AB66" s="45">
        <f>HYPERLINK("https://www.youtube.com/watch?v=iTBaI90lpDQ", "▶ Watch (take U forward) ↗")</f>
        <v/>
      </c>
    </row>
    <row r="67" ht="56" customHeight="1">
      <c r="A67" s="41" t="n">
        <v>66</v>
      </c>
      <c r="B67" s="41" t="n">
        <v>10</v>
      </c>
      <c r="C67" s="42" t="n">
        <v>46361</v>
      </c>
      <c r="D67" s="43" t="inlineStr">
        <is>
          <t>Dijkstra: greedy + priority queue  -  know the correctness proof</t>
        </is>
      </c>
      <c r="E67" s="43" t="inlineStr">
        <is>
          <t>Dijkstra</t>
        </is>
      </c>
      <c r="F67" s="43" t="inlineStr">
        <is>
          <t>Relaxation; popped distance is final (requires non-negative weights)</t>
        </is>
      </c>
      <c r="G67" s="43" t="inlineStr">
        <is>
          <t>YES</t>
        </is>
      </c>
      <c r="H67" s="44">
        <f>HYPERLINK("https://www.youtube.com/watch?v=EgI5nU9etnU", "Dijkstra: correctness proof and implementation")</f>
        <v/>
      </c>
      <c r="I67" s="41" t="n">
        <v>25</v>
      </c>
      <c r="J67" s="43" t="inlineStr">
        <is>
          <t>Untimed</t>
        </is>
      </c>
      <c r="K67" s="43" t="inlineStr">
        <is>
          <t>Tutorial before</t>
        </is>
      </c>
      <c r="L67" s="43" t="inlineStr">
        <is>
          <t>LC 743 Network Delay Time</t>
        </is>
      </c>
      <c r="M67" s="41" t="inlineStr">
        <is>
          <t>M</t>
        </is>
      </c>
      <c r="N67" s="41" t="n">
        <v>30</v>
      </c>
      <c r="O67" s="43" t="inlineStr">
        <is>
          <t>LC 1514 Path with Maximum Probability</t>
        </is>
      </c>
      <c r="P67" s="41" t="inlineStr">
        <is>
          <t>M</t>
        </is>
      </c>
      <c r="Q67" s="41" t="n">
        <v>25</v>
      </c>
      <c r="R67" s="43" t="inlineStr">
        <is>
          <t>LC 752 Open the Lock</t>
        </is>
      </c>
      <c r="S67" s="43" t="inlineStr">
        <is>
          <t>Prove the popped-node invariant; construct a negative-weight counterexample</t>
        </is>
      </c>
      <c r="T67" s="43" t="inlineStr">
        <is>
          <t>Do you know WHY negative edges break Dijkstra? If not, you memorised an implementation.</t>
        </is>
      </c>
      <c r="U67" s="43" t="inlineStr">
        <is>
          <t>Latency-aware routing; cost-based placement; weighted service-dependency graphs</t>
        </is>
      </c>
      <c r="V67" s="43" t="inlineStr">
        <is>
          <t>Weighted shortest path</t>
        </is>
      </c>
      <c r="W67" s="41" t="n"/>
      <c r="X67" s="41" t="n"/>
      <c r="Y67" s="43" t="n"/>
      <c r="Z67" s="43" t="n"/>
      <c r="AA67" s="41" t="n"/>
      <c r="AB67" s="45">
        <f>HYPERLINK("https://www.youtube.com/watch?v=EgI5nU9etnU", "▶ Watch (NeetCode) ↗")</f>
        <v/>
      </c>
    </row>
    <row r="68" ht="56" customHeight="1">
      <c r="A68" s="41" t="n">
        <v>67</v>
      </c>
      <c r="B68" s="41" t="n">
        <v>10</v>
      </c>
      <c r="C68" s="42" t="n">
        <v>46362</v>
      </c>
      <c r="D68" s="43" t="inlineStr">
        <is>
          <t>[2-SOL] Dijkstra variants: change the objective  -  min-max, 0-1 BFS</t>
        </is>
      </c>
      <c r="E68" s="43" t="inlineStr">
        <is>
          <t>Dijkstra variants/0-1 BFS</t>
        </is>
      </c>
      <c r="F68" s="43" t="inlineStr">
        <is>
          <t>Min-max objectives; deque BFS for 0/1 weights; binary-search + BFS alternative</t>
        </is>
      </c>
      <c r="G68" s="43" t="inlineStr">
        <is>
          <t>NO</t>
        </is>
      </c>
      <c r="H68" s="43" t="inlineStr">
        <is>
          <t>-</t>
        </is>
      </c>
      <c r="I68" s="41" t="inlineStr"/>
      <c r="J68" s="43" t="inlineStr">
        <is>
          <t>Untimed</t>
        </is>
      </c>
      <c r="K68" s="43" t="inlineStr">
        <is>
          <t>1 hint @30min</t>
        </is>
      </c>
      <c r="L68" s="43" t="inlineStr">
        <is>
          <t>LC 778 Swim in Rising Water</t>
        </is>
      </c>
      <c r="M68" s="41" t="inlineStr">
        <is>
          <t>H</t>
        </is>
      </c>
      <c r="N68" s="41" t="n">
        <v>40</v>
      </c>
      <c r="O68" s="43" t="inlineStr">
        <is>
          <t>LC 1631 Path with Minimum Effort</t>
        </is>
      </c>
      <c r="P68" s="41" t="inlineStr">
        <is>
          <t>M</t>
        </is>
      </c>
      <c r="Q68" s="41" t="n">
        <v>30</v>
      </c>
      <c r="R68" s="43" t="inlineStr">
        <is>
          <t>LC 743 Network Delay Time</t>
        </is>
      </c>
      <c r="S68" s="43" t="inlineStr">
        <is>
          <t>Contrast sum-objective vs min-max objective; give binary-search+BFS alternative and its TC</t>
        </is>
      </c>
      <c r="T68" s="43" t="inlineStr">
        <is>
          <t>Did you find the second solution (BS + BFS) as well?</t>
        </is>
      </c>
      <c r="U68" s="43" t="inlineStr">
        <is>
          <t>Bottleneck-bandwidth routing; worst-link-aware placement in distributed ML clusters</t>
        </is>
      </c>
      <c r="V68" s="43" t="inlineStr">
        <is>
          <t>Objective transformation</t>
        </is>
      </c>
      <c r="W68" s="41" t="n"/>
      <c r="X68" s="41" t="n"/>
      <c r="Y68" s="43" t="n"/>
      <c r="Z68" s="43" t="n"/>
      <c r="AA68" s="41" t="n"/>
      <c r="AB68" s="46" t="inlineStr">
        <is>
          <t>—</t>
        </is>
      </c>
    </row>
    <row r="69" ht="56" customHeight="1">
      <c r="A69" s="41" t="n">
        <v>68</v>
      </c>
      <c r="B69" s="41" t="n">
        <v>10</v>
      </c>
      <c r="C69" s="42" t="n">
        <v>46363</v>
      </c>
      <c r="D69" s="43" t="inlineStr">
        <is>
          <t>Constrained shortest paths: layers = DP over rounds</t>
        </is>
      </c>
      <c r="E69" s="43" t="inlineStr">
        <is>
          <t>Shortest path (constrained)</t>
        </is>
      </c>
      <c r="F69" s="43" t="inlineStr">
        <is>
          <t>Bellman-Ford rounds; k-stop constraint as a DP dimension</t>
        </is>
      </c>
      <c r="G69" s="43" t="inlineStr">
        <is>
          <t>NO</t>
        </is>
      </c>
      <c r="H69" s="43" t="inlineStr">
        <is>
          <t>-</t>
        </is>
      </c>
      <c r="I69" s="41" t="inlineStr"/>
      <c r="J69" s="43" t="inlineStr">
        <is>
          <t>Untimed</t>
        </is>
      </c>
      <c r="K69" s="43" t="inlineStr">
        <is>
          <t>1 hint @25min</t>
        </is>
      </c>
      <c r="L69" s="43" t="inlineStr">
        <is>
          <t>LC 787 Cheapest Flights Within K Stops</t>
        </is>
      </c>
      <c r="M69" s="41" t="inlineStr">
        <is>
          <t>M</t>
        </is>
      </c>
      <c r="N69" s="41" t="n">
        <v>35</v>
      </c>
      <c r="O69" s="43" t="inlineStr">
        <is>
          <t>LC 332 Reconstruct Itinerary</t>
        </is>
      </c>
      <c r="P69" s="41" t="inlineStr">
        <is>
          <t>H</t>
        </is>
      </c>
      <c r="Q69" s="41" t="n">
        <v>35</v>
      </c>
      <c r="R69" s="43" t="inlineStr">
        <is>
          <t>LC 778 Swim in Rising Water</t>
        </is>
      </c>
      <c r="S69" s="43" t="inlineStr">
        <is>
          <t>Explain why exactly k+1 relaxation rounds solve the k-stop constraint; state the full DP state</t>
        </is>
      </c>
      <c r="T69" s="43" t="inlineStr">
        <is>
          <t>Did you see it as DP over layers rather than 'Dijkstra with a hack'?</t>
        </is>
      </c>
      <c r="U69" s="43" t="inlineStr">
        <is>
          <t>Multi-hop routing under hop limits; bounded-retry path planning</t>
        </is>
      </c>
      <c r="V69" s="43" t="inlineStr">
        <is>
          <t>DP-graph bridge</t>
        </is>
      </c>
      <c r="W69" s="41" t="n"/>
      <c r="X69" s="41" t="n"/>
      <c r="Y69" s="43" t="n"/>
      <c r="Z69" s="43" t="n"/>
      <c r="AA69" s="41" t="n"/>
      <c r="AB69" s="46" t="inlineStr">
        <is>
          <t>—</t>
        </is>
      </c>
    </row>
    <row r="70" ht="56" customHeight="1">
      <c r="A70" s="41" t="n">
        <v>69</v>
      </c>
      <c r="B70" s="41" t="n">
        <v>10</v>
      </c>
      <c r="C70" s="42" t="n">
        <v>46364</v>
      </c>
      <c r="D70" s="43" t="inlineStr">
        <is>
          <t>Blind hard mix: graphs + earlier patterns, hard-leaning</t>
        </is>
      </c>
      <c r="E70" s="43" t="inlineStr">
        <is>
          <t>Blind (hard W1-W10)</t>
        </is>
      </c>
      <c r="F70" s="43" t="inlineStr">
        <is>
          <t>Full-range recognition under time; composure on hards</t>
        </is>
      </c>
      <c r="G70" s="43" t="inlineStr">
        <is>
          <t>NO</t>
        </is>
      </c>
      <c r="H70" s="43" t="inlineStr">
        <is>
          <t>-</t>
        </is>
      </c>
      <c r="I70" s="41" t="inlineStr"/>
      <c r="J70" s="43" t="inlineStr">
        <is>
          <t>Timed-60</t>
        </is>
      </c>
      <c r="K70" s="43" t="inlineStr">
        <is>
          <t>None</t>
        </is>
      </c>
      <c r="L70" s="43" t="inlineStr">
        <is>
          <t>LC 773 Sliding Puzzle</t>
        </is>
      </c>
      <c r="M70" s="41" t="inlineStr">
        <is>
          <t>H</t>
        </is>
      </c>
      <c r="N70" s="41" t="n">
        <v>45</v>
      </c>
      <c r="O70" s="43" t="inlineStr">
        <is>
          <t>LC 802 Find Eventual Safe States</t>
        </is>
      </c>
      <c r="P70" s="41" t="inlineStr">
        <is>
          <t>M</t>
        </is>
      </c>
      <c r="Q70" s="41" t="n">
        <v>25</v>
      </c>
      <c r="R70" s="43" t="inlineStr">
        <is>
          <t>LC 787 Cheapest Flights Within K Stops</t>
        </is>
      </c>
      <c r="S70" s="43" t="inlineStr">
        <is>
          <t>For each: name the invariant the solution depends on, in one sentence</t>
        </is>
      </c>
      <c r="T70" s="43" t="inlineStr">
        <is>
          <t>Independent solve rate on hard problems  -  this is now tracked.</t>
        </is>
      </c>
      <c r="U70" s="43" t="inlineStr">
        <is>
          <t>-</t>
        </is>
      </c>
      <c r="V70" s="43" t="inlineStr">
        <is>
          <t>Hard-problem composure</t>
        </is>
      </c>
      <c r="W70" s="41" t="n"/>
      <c r="X70" s="41" t="n"/>
      <c r="Y70" s="43" t="n"/>
      <c r="Z70" s="43" t="n"/>
      <c r="AA70" s="41" t="n"/>
      <c r="AB70" s="46" t="inlineStr">
        <is>
          <t>—</t>
        </is>
      </c>
    </row>
    <row r="71" ht="56" customHeight="1">
      <c r="A71" s="41" t="n">
        <v>70</v>
      </c>
      <c r="B71" s="41" t="n">
        <v>10</v>
      </c>
      <c r="C71" s="42" t="n">
        <v>46365</v>
      </c>
      <c r="D71" s="43" t="inlineStr">
        <is>
          <t>Week 10 assessment + MOCK INTERVIEW #2 (1 hint, 45 min)</t>
        </is>
      </c>
      <c r="E71" s="43" t="inlineStr">
        <is>
          <t>Mock interview #2</t>
        </is>
      </c>
      <c r="F71" s="43" t="inlineStr">
        <is>
          <t>Medium-hard under pressure with narration</t>
        </is>
      </c>
      <c r="G71" s="43" t="inlineStr">
        <is>
          <t>NO</t>
        </is>
      </c>
      <c r="H71" s="43" t="inlineStr">
        <is>
          <t>-</t>
        </is>
      </c>
      <c r="I71" s="41" t="inlineStr"/>
      <c r="J71" s="43" t="inlineStr">
        <is>
          <t>Timed-45</t>
        </is>
      </c>
      <c r="K71" s="43" t="inlineStr">
        <is>
          <t>1 hint max</t>
        </is>
      </c>
      <c r="L71" s="43" t="inlineStr">
        <is>
          <t>Mock #2: 1 medium-hard problem, narrate everything, state TC/SC, answer 1 follow-up</t>
        </is>
      </c>
      <c r="M71" s="41" t="inlineStr">
        <is>
          <t>H</t>
        </is>
      </c>
      <c r="N71" s="41" t="n">
        <v>45</v>
      </c>
      <c r="O71" s="43" t="inlineStr">
        <is>
          <t>WeeklyAssessment + failure clustering</t>
        </is>
      </c>
      <c r="P71" s="41" t="inlineStr">
        <is>
          <t>-</t>
        </is>
      </c>
      <c r="Q71" s="41" t="n">
        <v>25</v>
      </c>
      <c r="R71" s="43" t="inlineStr">
        <is>
          <t>ReviewQueue top 3</t>
        </is>
      </c>
      <c r="S71" s="43" t="inlineStr">
        <is>
          <t>Explain Dijkstra in 2 minutes including why a priority queue is required</t>
        </is>
      </c>
      <c r="T71" s="43" t="inlineStr">
        <is>
          <t>Score TC/SC accuracy under pressure. Pressure-only errors are F10  -  they need mock reps, not theory.</t>
        </is>
      </c>
      <c r="U71" s="43" t="inlineStr">
        <is>
          <t>-</t>
        </is>
      </c>
      <c r="V71" s="43" t="inlineStr">
        <is>
          <t>Pressure performance</t>
        </is>
      </c>
      <c r="W71" s="41" t="n"/>
      <c r="X71" s="41" t="n"/>
      <c r="Y71" s="43" t="n"/>
      <c r="Z71" s="43" t="n"/>
      <c r="AA71" s="41" t="n"/>
      <c r="AB71" s="46" t="inlineStr">
        <is>
          <t>—</t>
        </is>
      </c>
    </row>
    <row r="72" ht="56" customHeight="1">
      <c r="A72" s="35" t="n">
        <v>71</v>
      </c>
      <c r="B72" s="35" t="n">
        <v>11</v>
      </c>
      <c r="C72" s="36" t="n">
        <v>46366</v>
      </c>
      <c r="D72" s="37" t="inlineStr">
        <is>
          <t>Backtracking skeleton: choose/explore/unchoose  -  count the leaves for TC</t>
        </is>
      </c>
      <c r="E72" s="37" t="inlineStr">
        <is>
          <t>Backtracking</t>
        </is>
      </c>
      <c r="F72" s="37" t="inlineStr">
        <is>
          <t>Decision tree; state restoration; count tree leaves to derive TC</t>
        </is>
      </c>
      <c r="G72" s="37" t="inlineStr">
        <is>
          <t>YES</t>
        </is>
      </c>
      <c r="H72" s="38">
        <f>HYPERLINK("https://www.youtube.com/watch?v=pcKY4hjDrxk", "Backtracking template + complexity counting")</f>
        <v/>
      </c>
      <c r="I72" s="35" t="n">
        <v>25</v>
      </c>
      <c r="J72" s="37" t="inlineStr">
        <is>
          <t>Untimed</t>
        </is>
      </c>
      <c r="K72" s="37" t="inlineStr">
        <is>
          <t>Tutorial before</t>
        </is>
      </c>
      <c r="L72" s="37" t="inlineStr">
        <is>
          <t>LC 78 Subsets</t>
        </is>
      </c>
      <c r="M72" s="35" t="inlineStr">
        <is>
          <t>M</t>
        </is>
      </c>
      <c r="N72" s="35" t="n">
        <v>20</v>
      </c>
      <c r="O72" s="37" t="inlineStr">
        <is>
          <t>LC 39 Combination Sum</t>
        </is>
      </c>
      <c r="P72" s="35" t="inlineStr">
        <is>
          <t>M</t>
        </is>
      </c>
      <c r="Q72" s="35" t="n">
        <v>25</v>
      </c>
      <c r="R72" s="37" t="inlineStr">
        <is>
          <t>LC 802 Find Eventual Safe States</t>
        </is>
      </c>
      <c r="S72" s="37" t="inlineStr">
        <is>
          <t>Draw the recursion tree for a small input; count nodes/leaves; derive TC from the count</t>
        </is>
      </c>
      <c r="T72" s="37" t="inlineStr">
        <is>
          <t>Can you compute backtracking complexity? Writing 'exponential' and hoping is not enough.</t>
        </is>
      </c>
      <c r="U72" s="37" t="inlineStr">
        <is>
          <t>Config/hyperparameter enumeration; feasible-placement search in resource allocators</t>
        </is>
      </c>
      <c r="V72" s="37" t="inlineStr">
        <is>
          <t>Enumeration control</t>
        </is>
      </c>
      <c r="W72" s="35" t="n"/>
      <c r="X72" s="35" t="n"/>
      <c r="Y72" s="37" t="n"/>
      <c r="Z72" s="37" t="n"/>
      <c r="AA72" s="35" t="n"/>
      <c r="AB72" s="39">
        <f>HYPERLINK("https://www.youtube.com/watch?v=pcKY4hjDrxk", "▶ Watch (Abdul Bari) ↗")</f>
        <v/>
      </c>
    </row>
    <row r="73" ht="56" customHeight="1">
      <c r="A73" s="35" t="n">
        <v>72</v>
      </c>
      <c r="B73" s="35" t="n">
        <v>11</v>
      </c>
      <c r="C73" s="36" t="n">
        <v>46367</v>
      </c>
      <c r="D73" s="37" t="inlineStr">
        <is>
          <t>Duplicate handling and canonical order in backtracking</t>
        </is>
      </c>
      <c r="E73" s="37" t="inlineStr">
        <is>
          <t>Backtracking (dedup)</t>
        </is>
      </c>
      <c r="F73" s="37" t="inlineStr">
        <is>
          <t>Sort + skip-equal-at-same-depth rule; prove no distinct result is lost</t>
        </is>
      </c>
      <c r="G73" s="37" t="inlineStr">
        <is>
          <t>NO</t>
        </is>
      </c>
      <c r="H73" s="37" t="inlineStr">
        <is>
          <t>-</t>
        </is>
      </c>
      <c r="I73" s="35" t="inlineStr"/>
      <c r="J73" s="37" t="inlineStr">
        <is>
          <t>Untimed</t>
        </is>
      </c>
      <c r="K73" s="37" t="inlineStr">
        <is>
          <t>1 hint</t>
        </is>
      </c>
      <c r="L73" s="37" t="inlineStr">
        <is>
          <t>LC 90 Subsets II</t>
        </is>
      </c>
      <c r="M73" s="35" t="inlineStr">
        <is>
          <t>M</t>
        </is>
      </c>
      <c r="N73" s="35" t="n">
        <v>25</v>
      </c>
      <c r="O73" s="37" t="inlineStr">
        <is>
          <t>LC 47 Permutations II</t>
        </is>
      </c>
      <c r="P73" s="35" t="inlineStr">
        <is>
          <t>M</t>
        </is>
      </c>
      <c r="Q73" s="35" t="n">
        <v>25</v>
      </c>
      <c r="R73" s="37" t="inlineStr">
        <is>
          <t>LC 39 Combination Sum</t>
        </is>
      </c>
      <c r="S73" s="37" t="inlineStr">
        <is>
          <t>State the dedup rule precisely and argue no distinct result is lost</t>
        </is>
      </c>
      <c r="T73" s="37" t="inlineStr">
        <is>
          <t>Did you DERIVE the skip rule, or copy it from memory? Copied rules fail on variants.</t>
        </is>
      </c>
      <c r="U73" s="37" t="inlineStr">
        <is>
          <t>Deduplicating equivalent job configs; canonical representation of equivalent placements</t>
        </is>
      </c>
      <c r="V73" s="37" t="inlineStr">
        <is>
          <t>Canonical enumeration</t>
        </is>
      </c>
      <c r="W73" s="35" t="n"/>
      <c r="X73" s="35" t="n"/>
      <c r="Y73" s="37" t="n"/>
      <c r="Z73" s="37" t="n"/>
      <c r="AA73" s="35" t="n"/>
      <c r="AB73" s="40" t="inlineStr">
        <is>
          <t>—</t>
        </is>
      </c>
    </row>
    <row r="74" ht="56" customHeight="1">
      <c r="A74" s="35" t="n">
        <v>73</v>
      </c>
      <c r="B74" s="35" t="n">
        <v>11</v>
      </c>
      <c r="C74" s="36" t="n">
        <v>46368</v>
      </c>
      <c r="D74" s="37" t="inlineStr">
        <is>
          <t>Pruning: the actual skill in backtracking  -  design it up front</t>
        </is>
      </c>
      <c r="E74" s="37" t="inlineStr">
        <is>
          <t>Backtracking (pruning)</t>
        </is>
      </c>
      <c r="F74" s="37" t="inlineStr">
        <is>
          <t>Constraint propagation; ordering heuristics; early exit conditions</t>
        </is>
      </c>
      <c r="G74" s="37" t="inlineStr">
        <is>
          <t>NO</t>
        </is>
      </c>
      <c r="H74" s="37" t="inlineStr">
        <is>
          <t>-</t>
        </is>
      </c>
      <c r="I74" s="35" t="inlineStr"/>
      <c r="J74" s="37" t="inlineStr">
        <is>
          <t>Untimed</t>
        </is>
      </c>
      <c r="K74" s="37" t="inlineStr">
        <is>
          <t>1 hint @25min</t>
        </is>
      </c>
      <c r="L74" s="37" t="inlineStr">
        <is>
          <t>LC 51 N-Queens</t>
        </is>
      </c>
      <c r="M74" s="35" t="inlineStr">
        <is>
          <t>H</t>
        </is>
      </c>
      <c r="N74" s="35" t="n">
        <v>35</v>
      </c>
      <c r="O74" s="37" t="inlineStr">
        <is>
          <t>LC 131 Palindrome Partitioning</t>
        </is>
      </c>
      <c r="P74" s="35" t="inlineStr">
        <is>
          <t>M</t>
        </is>
      </c>
      <c r="Q74" s="35" t="n">
        <v>30</v>
      </c>
      <c r="R74" s="37" t="inlineStr">
        <is>
          <t>LC 90 Subsets II</t>
        </is>
      </c>
      <c r="S74" s="37" t="inlineStr">
        <is>
          <t>List every pruning rule and estimate its effect on the search-tree size</t>
        </is>
      </c>
      <c r="T74" s="37" t="inlineStr">
        <is>
          <t>Was pruning designed up front, or added reactively after a timeout?</t>
        </is>
      </c>
      <c r="U74" s="37" t="inlineStr">
        <is>
          <t>Constraint solvers; packing/placement with conflict constraints in cluster schedulers</t>
        </is>
      </c>
      <c r="V74" s="37" t="inlineStr">
        <is>
          <t>Pruning design</t>
        </is>
      </c>
      <c r="W74" s="35" t="n"/>
      <c r="X74" s="35" t="n"/>
      <c r="Y74" s="37" t="n"/>
      <c r="Z74" s="37" t="n"/>
      <c r="AA74" s="35" t="n"/>
      <c r="AB74" s="40" t="inlineStr">
        <is>
          <t>—</t>
        </is>
      </c>
    </row>
    <row r="75" ht="56" customHeight="1">
      <c r="A75" s="35" t="n">
        <v>74</v>
      </c>
      <c r="B75" s="35" t="n">
        <v>11</v>
      </c>
      <c r="C75" s="36" t="n">
        <v>46369</v>
      </c>
      <c r="D75" s="37" t="inlineStr">
        <is>
          <t>Grid backtracking + bitmask constraint tracking</t>
        </is>
      </c>
      <c r="E75" s="37" t="inlineStr">
        <is>
          <t>Backtracking (grid)</t>
        </is>
      </c>
      <c r="F75" s="37" t="inlineStr">
        <is>
          <t>Row/col/box bitmasks for O(1) legality checks; TC bound estimation</t>
        </is>
      </c>
      <c r="G75" s="37" t="inlineStr">
        <is>
          <t>NO</t>
        </is>
      </c>
      <c r="H75" s="37" t="inlineStr">
        <is>
          <t>-</t>
        </is>
      </c>
      <c r="I75" s="35" t="inlineStr"/>
      <c r="J75" s="37" t="inlineStr">
        <is>
          <t>Untimed</t>
        </is>
      </c>
      <c r="K75" s="37" t="inlineStr">
        <is>
          <t>1 hint @30min</t>
        </is>
      </c>
      <c r="L75" s="37" t="inlineStr">
        <is>
          <t>LC 37 Sudoku Solver</t>
        </is>
      </c>
      <c r="M75" s="35" t="inlineStr">
        <is>
          <t>H</t>
        </is>
      </c>
      <c r="N75" s="35" t="n">
        <v>45</v>
      </c>
      <c r="O75" s="37" t="inlineStr">
        <is>
          <t>LC 79 Word Search</t>
        </is>
      </c>
      <c r="P75" s="35" t="inlineStr">
        <is>
          <t>M</t>
        </is>
      </c>
      <c r="Q75" s="35" t="n">
        <v>25</v>
      </c>
      <c r="R75" s="37" t="inlineStr">
        <is>
          <t>LC 51 N-Queens</t>
        </is>
      </c>
      <c r="S75" s="37" t="inlineStr">
        <is>
          <t>Explain bitmask constraint tracking; give a defensible TC bound with pruning factored in</t>
        </is>
      </c>
      <c r="T75" s="37" t="inlineStr">
        <is>
          <t>Did you reuse week-6 bitmask thinking here WITHOUT being told to?</t>
        </is>
      </c>
      <c r="U75" s="37" t="inlineStr">
        <is>
          <t>Resource placement under conflict constraints; topology-aware scheduling in ML clusters</t>
        </is>
      </c>
      <c r="V75" s="37" t="inlineStr">
        <is>
          <t>Constraint encoding</t>
        </is>
      </c>
      <c r="W75" s="35" t="n"/>
      <c r="X75" s="35" t="n"/>
      <c r="Y75" s="37" t="n"/>
      <c r="Z75" s="37" t="n"/>
      <c r="AA75" s="35" t="n"/>
      <c r="AB75" s="40" t="inlineStr">
        <is>
          <t>—</t>
        </is>
      </c>
    </row>
    <row r="76" ht="56" customHeight="1">
      <c r="A76" s="35" t="n">
        <v>75</v>
      </c>
      <c r="B76" s="35" t="n">
        <v>11</v>
      </c>
      <c r="C76" s="36" t="n">
        <v>46370</v>
      </c>
      <c r="D76" s="37" t="inlineStr">
        <is>
          <t>Blind mix: exponential backtracking vs polynomial DP vs greedy</t>
        </is>
      </c>
      <c r="E76" s="37" t="inlineStr">
        <is>
          <t>Blind (paradigm choice)</t>
        </is>
      </c>
      <c r="F76" s="37" t="inlineStr">
        <is>
          <t>Deciding the PARADIGM before the algorithm; recognise when memo helps</t>
        </is>
      </c>
      <c r="G76" s="37" t="inlineStr">
        <is>
          <t>NO</t>
        </is>
      </c>
      <c r="H76" s="37" t="inlineStr">
        <is>
          <t>-</t>
        </is>
      </c>
      <c r="I76" s="35" t="inlineStr"/>
      <c r="J76" s="37" t="inlineStr">
        <is>
          <t>Timed-60</t>
        </is>
      </c>
      <c r="K76" s="37" t="inlineStr">
        <is>
          <t>None</t>
        </is>
      </c>
      <c r="L76" s="37" t="inlineStr">
        <is>
          <t>LC 698 Partition to K Equal Sum Subsets</t>
        </is>
      </c>
      <c r="M76" s="35" t="inlineStr">
        <is>
          <t>M</t>
        </is>
      </c>
      <c r="N76" s="35" t="n">
        <v>40</v>
      </c>
      <c r="O76" s="37" t="inlineStr">
        <is>
          <t>LC 17 Letter Combinations of a Phone Number</t>
        </is>
      </c>
      <c r="P76" s="35" t="inlineStr">
        <is>
          <t>M</t>
        </is>
      </c>
      <c r="Q76" s="35" t="n">
        <v>20</v>
      </c>
      <c r="R76" s="37" t="inlineStr">
        <is>
          <t>LC 37 Sudoku Solver</t>
        </is>
      </c>
      <c r="S76" s="37" t="inlineStr">
        <is>
          <t>Explain why memoization helps one of these problems and not the other</t>
        </is>
      </c>
      <c r="T76" s="37" t="inlineStr">
        <is>
          <t>Correct paradigm chosen FIRST, or did you thrash between two options?</t>
        </is>
      </c>
      <c r="U76" s="37" t="inlineStr">
        <is>
          <t>Bin packing for GPU/memory allocation; NP-hard scheduling approximations</t>
        </is>
      </c>
      <c r="V76" s="37" t="inlineStr">
        <is>
          <t>Paradigm selection</t>
        </is>
      </c>
      <c r="W76" s="35" t="n"/>
      <c r="X76" s="35" t="n"/>
      <c r="Y76" s="37" t="n"/>
      <c r="Z76" s="37" t="n"/>
      <c r="AA76" s="35" t="n"/>
      <c r="AB76" s="40" t="inlineStr">
        <is>
          <t>—</t>
        </is>
      </c>
    </row>
    <row r="77" ht="56" customHeight="1">
      <c r="A77" s="35" t="n">
        <v>76</v>
      </c>
      <c r="B77" s="35" t="n">
        <v>11</v>
      </c>
      <c r="C77" s="36" t="n">
        <v>46371</v>
      </c>
      <c r="D77" s="37" t="inlineStr">
        <is>
          <t>The recursion -&gt; memoization bridge: overlapping subproblems + state identification</t>
        </is>
      </c>
      <c r="E77" s="37" t="inlineStr">
        <is>
          <t>Memoization/state identification</t>
        </is>
      </c>
      <c r="F77" s="37" t="inlineStr">
        <is>
          <t>Spot overlapping subproblems; name the state; count distinct states</t>
        </is>
      </c>
      <c r="G77" s="37" t="inlineStr">
        <is>
          <t>YES</t>
        </is>
      </c>
      <c r="H77" s="38">
        <f>HYPERLINK("https://www.youtube.com/watch?v=XB4MIexjvY0", "From recursion to memo: state identification (the entry gate to all DP)")</f>
        <v/>
      </c>
      <c r="I77" s="35" t="n">
        <v>20</v>
      </c>
      <c r="J77" s="37" t="inlineStr">
        <is>
          <t>Untimed</t>
        </is>
      </c>
      <c r="K77" s="37" t="inlineStr">
        <is>
          <t>Tutorial before</t>
        </is>
      </c>
      <c r="L77" s="37" t="inlineStr">
        <is>
          <t>LC 140 Word Break II</t>
        </is>
      </c>
      <c r="M77" s="35" t="inlineStr">
        <is>
          <t>H</t>
        </is>
      </c>
      <c r="N77" s="35" t="n">
        <v>35</v>
      </c>
      <c r="O77" s="37" t="inlineStr">
        <is>
          <t>LC 494 Target Sum</t>
        </is>
      </c>
      <c r="P77" s="35" t="inlineStr">
        <is>
          <t>M</t>
        </is>
      </c>
      <c r="Q77" s="35" t="n">
        <v>25</v>
      </c>
      <c r="R77" s="37" t="inlineStr">
        <is>
          <t>LC 698 Partition to K Equal Sum Subsets</t>
        </is>
      </c>
      <c r="S77" s="37" t="inlineStr">
        <is>
          <t>For each: write the state, count distinct states, derive memoized TC</t>
        </is>
      </c>
      <c r="T77" s="37" t="inlineStr">
        <is>
          <t>How quickly do you spot overlapping subproblems? This skill gates all of DP.</t>
        </is>
      </c>
      <c r="U77" s="37" t="inlineStr">
        <is>
          <t>Compilation/plan caches; memoizing expensive model inferences</t>
        </is>
      </c>
      <c r="V77" s="37" t="inlineStr">
        <is>
          <t>State identification</t>
        </is>
      </c>
      <c r="W77" s="35" t="n"/>
      <c r="X77" s="35" t="n"/>
      <c r="Y77" s="37" t="n"/>
      <c r="Z77" s="37" t="n"/>
      <c r="AA77" s="35" t="n"/>
      <c r="AB77" s="39">
        <f>HYPERLINK("https://www.youtube.com/watch?v=XB4MIexjvY0", "▶ Watch (Abdul Bari) ↗")</f>
        <v/>
      </c>
    </row>
    <row r="78" ht="56" customHeight="1">
      <c r="A78" s="35" t="n">
        <v>77</v>
      </c>
      <c r="B78" s="35" t="n">
        <v>11</v>
      </c>
      <c r="C78" s="36" t="n">
        <v>46372</v>
      </c>
      <c r="D78" s="37" t="inlineStr">
        <is>
          <t>Week 11 assessment  -  backtracking retention</t>
        </is>
      </c>
      <c r="E78" s="37" t="inlineStr">
        <is>
          <t>Review/audit</t>
        </is>
      </c>
      <c r="F78" s="37" t="inlineStr">
        <is>
          <t>Backtracking retention check</t>
        </is>
      </c>
      <c r="G78" s="37" t="inlineStr">
        <is>
          <t>NO</t>
        </is>
      </c>
      <c r="H78" s="37" t="inlineStr">
        <is>
          <t>-</t>
        </is>
      </c>
      <c r="I78" s="35" t="inlineStr"/>
      <c r="J78" s="37" t="inlineStr">
        <is>
          <t>Untimed</t>
        </is>
      </c>
      <c r="K78" s="37" t="inlineStr">
        <is>
          <t>None</t>
        </is>
      </c>
      <c r="L78" s="37" t="inlineStr">
        <is>
          <t>Retest N-Queens + 2 others from W11, no notes</t>
        </is>
      </c>
      <c r="M78" s="35" t="inlineStr">
        <is>
          <t>H</t>
        </is>
      </c>
      <c r="N78" s="35" t="n">
        <v>50</v>
      </c>
      <c r="O78" s="37" t="inlineStr">
        <is>
          <t>WeeklyAssessment</t>
        </is>
      </c>
      <c r="P78" s="35" t="inlineStr">
        <is>
          <t>-</t>
        </is>
      </c>
      <c r="Q78" s="35" t="n">
        <v>20</v>
      </c>
      <c r="R78" s="37" t="inlineStr">
        <is>
          <t>ReviewQueue top 3</t>
        </is>
      </c>
      <c r="S78" s="37" t="inlineStr">
        <is>
          <t>Rebuild the backtracking skeleton and the dedup rule from memory</t>
        </is>
      </c>
      <c r="T78" s="37" t="inlineStr">
        <is>
          <t>Is pruning reasoning present in your retests, or did you regress to brute enumeration?</t>
        </is>
      </c>
      <c r="U78" s="37" t="inlineStr">
        <is>
          <t>-</t>
        </is>
      </c>
      <c r="V78" s="37" t="inlineStr">
        <is>
          <t>Retention</t>
        </is>
      </c>
      <c r="W78" s="35" t="n"/>
      <c r="X78" s="35" t="n"/>
      <c r="Y78" s="37" t="n"/>
      <c r="Z78" s="37" t="n"/>
      <c r="AA78" s="35" t="n"/>
      <c r="AB78" s="40" t="inlineStr">
        <is>
          <t>—</t>
        </is>
      </c>
    </row>
    <row r="79" ht="56" customHeight="1">
      <c r="A79" s="41" t="n">
        <v>78</v>
      </c>
      <c r="B79" s="41" t="n">
        <v>12</v>
      </c>
      <c r="C79" s="42" t="n">
        <v>46373</v>
      </c>
      <c r="D79" s="43" t="inlineStr">
        <is>
          <t>DP as a graph of states: the 5-step method before any code</t>
        </is>
      </c>
      <c r="E79" s="43" t="inlineStr">
        <is>
          <t>DP (1D)</t>
        </is>
      </c>
      <c r="F79" s="43" t="inlineStr">
        <is>
          <t>State, transition, base case, evaluation order, answer location  -  in that ORDER</t>
        </is>
      </c>
      <c r="G79" s="43" t="inlineStr">
        <is>
          <t>YES</t>
        </is>
      </c>
      <c r="H79" s="44">
        <f>HYPERLINK("https://www.youtube.com/watch?v=ibjEGG7ylHk", "DP state design (5-step method, not templates)")</f>
        <v/>
      </c>
      <c r="I79" s="41" t="n">
        <v>30</v>
      </c>
      <c r="J79" s="43" t="inlineStr">
        <is>
          <t>Untimed</t>
        </is>
      </c>
      <c r="K79" s="43" t="inlineStr">
        <is>
          <t>Tutorial before</t>
        </is>
      </c>
      <c r="L79" s="43" t="inlineStr">
        <is>
          <t>LC 70 Climbing Stairs + LC 198 House Robber</t>
        </is>
      </c>
      <c r="M79" s="41" t="inlineStr">
        <is>
          <t>E</t>
        </is>
      </c>
      <c r="N79" s="41" t="n">
        <v>25</v>
      </c>
      <c r="O79" s="43" t="inlineStr">
        <is>
          <t>LC 91 Decode Ways</t>
        </is>
      </c>
      <c r="P79" s="41" t="inlineStr">
        <is>
          <t>M</t>
        </is>
      </c>
      <c r="Q79" s="41" t="n">
        <v>30</v>
      </c>
      <c r="R79" s="43" t="inlineStr">
        <is>
          <t>LC 494 Target Sum</t>
        </is>
      </c>
      <c r="S79" s="43" t="inlineStr">
        <is>
          <t>Write the 5-step form for ALL THREE problems before coding any of them</t>
        </is>
      </c>
      <c r="T79" s="43" t="inlineStr">
        <is>
          <t>Did you define the STATE before the transition? Reversing causes most DP failures.</t>
        </is>
      </c>
      <c r="U79" s="43" t="inlineStr">
        <is>
          <t>Cost-optimal pipeline/config selection over stages; stage-wise optimisation</t>
        </is>
      </c>
      <c r="V79" s="43" t="inlineStr">
        <is>
          <t>DP formalism</t>
        </is>
      </c>
      <c r="W79" s="41" t="n"/>
      <c r="X79" s="41" t="n"/>
      <c r="Y79" s="43" t="n"/>
      <c r="Z79" s="43" t="n"/>
      <c r="AA79" s="41" t="n"/>
      <c r="AB79" s="45">
        <f>HYPERLINK("https://www.youtube.com/watch?v=ibjEGG7ylHk", "▶ Watch (WilliamFiset) ↗")</f>
        <v/>
      </c>
    </row>
    <row r="80" ht="56" customHeight="1">
      <c r="A80" s="41" t="n">
        <v>79</v>
      </c>
      <c r="B80" s="41" t="n">
        <v>12</v>
      </c>
      <c r="C80" s="42" t="n">
        <v>46374</v>
      </c>
      <c r="D80" s="43" t="inlineStr">
        <is>
          <t>Subsequence DP and the O(n log n) upgrade  -  two solutions required</t>
        </is>
      </c>
      <c r="E80" s="43" t="inlineStr">
        <is>
          <t>DP (LIS family)</t>
        </is>
      </c>
      <c r="F80" s="43" t="inlineStr">
        <is>
          <t>O(n^2) DP  -&gt;  patience/tails + binary search; what tails[i] means</t>
        </is>
      </c>
      <c r="G80" s="43" t="inlineStr">
        <is>
          <t>NO</t>
        </is>
      </c>
      <c r="H80" s="43" t="inlineStr">
        <is>
          <t>-</t>
        </is>
      </c>
      <c r="I80" s="41" t="inlineStr"/>
      <c r="J80" s="43" t="inlineStr">
        <is>
          <t>Untimed</t>
        </is>
      </c>
      <c r="K80" s="43" t="inlineStr">
        <is>
          <t>1 hint @30min</t>
        </is>
      </c>
      <c r="L80" s="43" t="inlineStr">
        <is>
          <t>LC 300 Longest Increasing Subsequence</t>
        </is>
      </c>
      <c r="M80" s="41" t="inlineStr">
        <is>
          <t>M</t>
        </is>
      </c>
      <c r="N80" s="41" t="n">
        <v>35</v>
      </c>
      <c r="O80" s="43" t="inlineStr">
        <is>
          <t>LC 354 Russian Doll Envelopes</t>
        </is>
      </c>
      <c r="P80" s="41" t="inlineStr">
        <is>
          <t>H</t>
        </is>
      </c>
      <c r="Q80" s="41" t="n">
        <v>40</v>
      </c>
      <c r="R80" s="43" t="inlineStr">
        <is>
          <t>LC 91 Decode Ways</t>
        </is>
      </c>
      <c r="S80" s="43" t="inlineStr">
        <is>
          <t>Explain the tails array, what tails[i] MEANS, and why binary search is valid</t>
        </is>
      </c>
      <c r="T80" s="43" t="inlineStr">
        <is>
          <t>Two solutions with different complexities? Both must be explainable.</t>
        </is>
      </c>
      <c r="U80" s="43" t="inlineStr">
        <is>
          <t>Version/compatibility chains; monotone scheduling sequences</t>
        </is>
      </c>
      <c r="V80" s="43" t="inlineStr">
        <is>
          <t>DP optimization</t>
        </is>
      </c>
      <c r="W80" s="41" t="n"/>
      <c r="X80" s="41" t="n"/>
      <c r="Y80" s="43" t="n"/>
      <c r="Z80" s="43" t="n"/>
      <c r="AA80" s="41" t="n"/>
      <c r="AB80" s="46" t="inlineStr">
        <is>
          <t>—</t>
        </is>
      </c>
    </row>
    <row r="81" ht="56" customHeight="1">
      <c r="A81" s="41" t="n">
        <v>80</v>
      </c>
      <c r="B81" s="41" t="n">
        <v>12</v>
      </c>
      <c r="C81" s="42" t="n">
        <v>46375</v>
      </c>
      <c r="D81" s="43" t="inlineStr">
        <is>
          <t>Knapsack family: capacity as a dimension  -  understand loop order</t>
        </is>
      </c>
      <c r="E81" s="43" t="inlineStr">
        <is>
          <t>DP (knapsack)</t>
        </is>
      </c>
      <c r="F81" s="43" t="inlineStr">
        <is>
          <t>0/1 vs unbounded; what iteration direction MEANS; 1D rolling array</t>
        </is>
      </c>
      <c r="G81" s="43" t="inlineStr">
        <is>
          <t>YES</t>
        </is>
      </c>
      <c r="H81" s="44">
        <f>HYPERLINK("https://www.youtube.com/watch?v=4ZlRH0eK-qQ", "Knapsack variants and loop order (not the formula  -  the reasoning)")</f>
        <v/>
      </c>
      <c r="I81" s="41" t="n">
        <v>25</v>
      </c>
      <c r="J81" s="43" t="inlineStr">
        <is>
          <t>Untimed</t>
        </is>
      </c>
      <c r="K81" s="43" t="inlineStr">
        <is>
          <t>Tutorial before</t>
        </is>
      </c>
      <c r="L81" s="43" t="inlineStr">
        <is>
          <t>LC 416 Partition Equal Subset Sum</t>
        </is>
      </c>
      <c r="M81" s="41" t="inlineStr">
        <is>
          <t>M</t>
        </is>
      </c>
      <c r="N81" s="41" t="n">
        <v>30</v>
      </c>
      <c r="O81" s="43" t="inlineStr">
        <is>
          <t>LC 322 Coin Change</t>
        </is>
      </c>
      <c r="P81" s="41" t="inlineStr">
        <is>
          <t>M</t>
        </is>
      </c>
      <c r="Q81" s="41" t="n">
        <v>25</v>
      </c>
      <c r="R81" s="43" t="inlineStr">
        <is>
          <t>LC 300 Longest Increasing Subsequence</t>
        </is>
      </c>
      <c r="S81" s="43" t="inlineStr">
        <is>
          <t>Explain why 1D 0/1 knapsack iterates capacity DESCENDING, using a concrete failing example</t>
        </is>
      </c>
      <c r="T81" s="43" t="inlineStr">
        <is>
          <t>Understanding of loop order, or memorised direction? Construct the failing test.</t>
        </is>
      </c>
      <c r="U81" s="43" t="inlineStr">
        <is>
          <t>Memory/GPU packing; budget and quota allocation across multiple dimensions</t>
        </is>
      </c>
      <c r="V81" s="43" t="inlineStr">
        <is>
          <t>Dimension design</t>
        </is>
      </c>
      <c r="W81" s="41" t="n"/>
      <c r="X81" s="41" t="n"/>
      <c r="Y81" s="43" t="n"/>
      <c r="Z81" s="43" t="n"/>
      <c r="AA81" s="41" t="n"/>
      <c r="AB81" s="45">
        <f>HYPERLINK("https://www.youtube.com/watch?v=4ZlRH0eK-qQ", "▶ Watch (Abdul Bari) ↗")</f>
        <v/>
      </c>
    </row>
    <row r="82" ht="56" customHeight="1">
      <c r="A82" s="41" t="n">
        <v>81</v>
      </c>
      <c r="B82" s="41" t="n">
        <v>12</v>
      </c>
      <c r="C82" s="42" t="n">
        <v>46376</v>
      </c>
      <c r="D82" s="43" t="inlineStr">
        <is>
          <t>Knapsack in disguise: reduction practice</t>
        </is>
      </c>
      <c r="E82" s="43" t="inlineStr">
        <is>
          <t>DP (knapsack variants)</t>
        </is>
      </c>
      <c r="F82" s="43" t="inlineStr">
        <is>
          <t>Rewrite the problem as: items, weights, capacity, value, objective</t>
        </is>
      </c>
      <c r="G82" s="43" t="inlineStr">
        <is>
          <t>NO</t>
        </is>
      </c>
      <c r="H82" s="43" t="inlineStr">
        <is>
          <t>-</t>
        </is>
      </c>
      <c r="I82" s="41" t="inlineStr"/>
      <c r="J82" s="43" t="inlineStr">
        <is>
          <t>Untimed</t>
        </is>
      </c>
      <c r="K82" s="43" t="inlineStr">
        <is>
          <t>1 hint @25min</t>
        </is>
      </c>
      <c r="L82" s="43" t="inlineStr">
        <is>
          <t>LC 518 Coin Change II</t>
        </is>
      </c>
      <c r="M82" s="41" t="inlineStr">
        <is>
          <t>M</t>
        </is>
      </c>
      <c r="N82" s="41" t="n">
        <v>25</v>
      </c>
      <c r="O82" s="43" t="inlineStr">
        <is>
          <t>LC 474 Ones and Zeroes</t>
        </is>
      </c>
      <c r="P82" s="41" t="inlineStr">
        <is>
          <t>M</t>
        </is>
      </c>
      <c r="Q82" s="41" t="n">
        <v>30</v>
      </c>
      <c r="R82" s="43" t="inlineStr">
        <is>
          <t>LC 322 Coin Change</t>
        </is>
      </c>
      <c r="S82" s="43" t="inlineStr">
        <is>
          <t>Write the explicit mapping for BOTH problems: items / weights / capacity / value / objective</t>
        </is>
      </c>
      <c r="T82" s="43" t="inlineStr">
        <is>
          <t>Did you spot the disguise independently, or start from scratch?</t>
        </is>
      </c>
      <c r="U82" s="43" t="inlineStr">
        <is>
          <t>Multi-resource quota allocation (CPU+RAM+GPU as two capacity dimensions)</t>
        </is>
      </c>
      <c r="V82" s="43" t="inlineStr">
        <is>
          <t>Problem reduction</t>
        </is>
      </c>
      <c r="W82" s="41" t="n"/>
      <c r="X82" s="41" t="n"/>
      <c r="Y82" s="43" t="n"/>
      <c r="Z82" s="43" t="n"/>
      <c r="AA82" s="41" t="n"/>
      <c r="AB82" s="46" t="inlineStr">
        <is>
          <t>—</t>
        </is>
      </c>
    </row>
    <row r="83" ht="56" customHeight="1">
      <c r="A83" s="41" t="n">
        <v>82</v>
      </c>
      <c r="B83" s="41" t="n">
        <v>12</v>
      </c>
      <c r="C83" s="42" t="n">
        <v>46377</v>
      </c>
      <c r="D83" s="43" t="inlineStr">
        <is>
          <t>Two-sequence DP: alignment states over prefixes of both inputs</t>
        </is>
      </c>
      <c r="E83" s="43" t="inlineStr">
        <is>
          <t>DP (2 sequences)</t>
        </is>
      </c>
      <c r="F83" s="43" t="inlineStr">
        <is>
          <t>dp[i][j] over prefixes of both sequences; derive transitions from the definition</t>
        </is>
      </c>
      <c r="G83" s="43" t="inlineStr">
        <is>
          <t>NO</t>
        </is>
      </c>
      <c r="H83" s="43" t="inlineStr">
        <is>
          <t>-</t>
        </is>
      </c>
      <c r="I83" s="41" t="inlineStr"/>
      <c r="J83" s="43" t="inlineStr">
        <is>
          <t>Untimed</t>
        </is>
      </c>
      <c r="K83" s="43" t="inlineStr">
        <is>
          <t>1 hint @25min</t>
        </is>
      </c>
      <c r="L83" s="43" t="inlineStr">
        <is>
          <t>LC 1143 Longest Common Subsequence</t>
        </is>
      </c>
      <c r="M83" s="41" t="inlineStr">
        <is>
          <t>M</t>
        </is>
      </c>
      <c r="N83" s="41" t="n">
        <v>25</v>
      </c>
      <c r="O83" s="43" t="inlineStr">
        <is>
          <t>LC 72 Edit Distance</t>
        </is>
      </c>
      <c r="P83" s="41" t="inlineStr">
        <is>
          <t>M</t>
        </is>
      </c>
      <c r="Q83" s="41" t="n">
        <v>35</v>
      </c>
      <c r="R83" s="43" t="inlineStr">
        <is>
          <t>LC 518 Coin Change II</t>
        </is>
      </c>
      <c r="S83" s="43" t="inlineStr">
        <is>
          <t>Explain each Edit Distance transition in words; DERIVE them from the definition, do not recall them</t>
        </is>
      </c>
      <c r="T83" s="43" t="inlineStr">
        <is>
          <t>Could you rebuild the transitions from the problem definition alone?</t>
        </is>
      </c>
      <c r="U83" s="43" t="inlineStr">
        <is>
          <t>Diffing; log alignment; tokenizer/sequence alignment in NLP systems</t>
        </is>
      </c>
      <c r="V83" s="43" t="inlineStr">
        <is>
          <t>2D state design</t>
        </is>
      </c>
      <c r="W83" s="41" t="n"/>
      <c r="X83" s="41" t="n"/>
      <c r="Y83" s="43" t="n"/>
      <c r="Z83" s="43" t="n"/>
      <c r="AA83" s="41" t="n"/>
      <c r="AB83" s="46" t="inlineStr">
        <is>
          <t>—</t>
        </is>
      </c>
    </row>
    <row r="84" ht="56" customHeight="1">
      <c r="A84" s="41" t="n">
        <v>83</v>
      </c>
      <c r="B84" s="41" t="n">
        <v>12</v>
      </c>
      <c r="C84" s="42" t="n">
        <v>46378</v>
      </c>
      <c r="D84" s="43" t="inlineStr">
        <is>
          <t>Space optimization in DP  -  which previous states does the transition need?</t>
        </is>
      </c>
      <c r="E84" s="43" t="inlineStr">
        <is>
          <t>DP (space optimization)</t>
        </is>
      </c>
      <c r="F84" s="43" t="inlineStr">
        <is>
          <t>Rolling arrays; dependency direction determines what rows you can drop</t>
        </is>
      </c>
      <c r="G84" s="43" t="inlineStr">
        <is>
          <t>NO</t>
        </is>
      </c>
      <c r="H84" s="43" t="inlineStr">
        <is>
          <t>-</t>
        </is>
      </c>
      <c r="I84" s="41" t="inlineStr"/>
      <c r="J84" s="43" t="inlineStr">
        <is>
          <t>Untimed</t>
        </is>
      </c>
      <c r="K84" s="43" t="inlineStr">
        <is>
          <t>1 hint</t>
        </is>
      </c>
      <c r="L84" s="43" t="inlineStr">
        <is>
          <t>Rewrite LC 72 Edit Distance in O(min(m,n)) space</t>
        </is>
      </c>
      <c r="M84" s="41" t="inlineStr">
        <is>
          <t>M</t>
        </is>
      </c>
      <c r="N84" s="41" t="n">
        <v>25</v>
      </c>
      <c r="O84" s="43" t="inlineStr">
        <is>
          <t>LC 63 Unique Paths II + LC 64 Minimum Path Sum</t>
        </is>
      </c>
      <c r="P84" s="41" t="inlineStr">
        <is>
          <t>M</t>
        </is>
      </c>
      <c r="Q84" s="41" t="n">
        <v>25</v>
      </c>
      <c r="R84" s="43" t="inlineStr">
        <is>
          <t>LC 72 Edit Distance</t>
        </is>
      </c>
      <c r="S84" s="43" t="inlineStr">
        <is>
          <t>State exactly which previous states each transition needs; then justify the rolling array</t>
        </is>
      </c>
      <c r="T84" s="43" t="inlineStr">
        <is>
          <t>SC reduced without breaking correctness? Verify on the maximum-size test case.</t>
        </is>
      </c>
      <c r="U84" s="43" t="inlineStr">
        <is>
          <t>Memory-bound kernels; buffer reuse; activation checkpointing intuition in training</t>
        </is>
      </c>
      <c r="V84" s="43" t="inlineStr">
        <is>
          <t>Space optimization</t>
        </is>
      </c>
      <c r="W84" s="41" t="n"/>
      <c r="X84" s="41" t="n"/>
      <c r="Y84" s="43" t="n"/>
      <c r="Z84" s="43" t="n"/>
      <c r="AA84" s="41" t="n"/>
      <c r="AB84" s="46" t="inlineStr">
        <is>
          <t>—</t>
        </is>
      </c>
    </row>
    <row r="85" ht="56" customHeight="1">
      <c r="A85" s="41" t="n">
        <v>84</v>
      </c>
      <c r="B85" s="41" t="n">
        <v>12</v>
      </c>
      <c r="C85" s="42" t="n">
        <v>46379</v>
      </c>
      <c r="D85" s="43" t="inlineStr">
        <is>
          <t>MONTH 3 DIAGNOSTIC  -  3 unlabelled, 110 min, full interview conditions</t>
        </is>
      </c>
      <c r="E85" s="43" t="inlineStr">
        <is>
          <t>Diagnostic</t>
        </is>
      </c>
      <c r="F85" s="43" t="inlineStr">
        <is>
          <t>Full interview conditions. No labels. No hints. Verbal + TC/SC required.</t>
        </is>
      </c>
      <c r="G85" s="43" t="inlineStr">
        <is>
          <t>NO</t>
        </is>
      </c>
      <c r="H85" s="43" t="inlineStr">
        <is>
          <t>-</t>
        </is>
      </c>
      <c r="I85" s="41" t="inlineStr"/>
      <c r="J85" s="43" t="inlineStr">
        <is>
          <t>Diagnostic</t>
        </is>
      </c>
      <c r="K85" s="43" t="inlineStr">
        <is>
          <t>None</t>
        </is>
      </c>
      <c r="L85" s="43" t="inlineStr">
        <is>
          <t>LC 1383 Maximum Performance of a Team</t>
        </is>
      </c>
      <c r="M85" s="41" t="inlineStr">
        <is>
          <t>H</t>
        </is>
      </c>
      <c r="N85" s="41" t="n">
        <v>37</v>
      </c>
      <c r="O85" s="43" t="inlineStr">
        <is>
          <t>LC 1326 Minimum Taps to Water a Garden + LC 2092 Find All People With Secret (unlabelled)</t>
        </is>
      </c>
      <c r="P85" s="41" t="inlineStr">
        <is>
          <t>H</t>
        </is>
      </c>
      <c r="Q85" s="41" t="n">
        <v>73</v>
      </c>
      <c r="R85" s="43" t="inlineStr">
        <is>
          <t>-</t>
        </is>
      </c>
      <c r="S85" s="43" t="inlineStr">
        <is>
          <t>Log every metric; compare Months 1, 2, 3 side by side in MockInterviews</t>
        </is>
      </c>
      <c r="T85" s="43" t="inlineStr">
        <is>
          <t>Use results to choose weak-pattern targets for weeks 13-14. Follow the data, not the plan blindly.</t>
        </is>
      </c>
      <c r="U85" s="43" t="inlineStr">
        <is>
          <t>-</t>
        </is>
      </c>
      <c r="V85" s="43" t="inlineStr">
        <is>
          <t>Measurement</t>
        </is>
      </c>
      <c r="W85" s="41" t="n"/>
      <c r="X85" s="41" t="n"/>
      <c r="Y85" s="43" t="n"/>
      <c r="Z85" s="43" t="n"/>
      <c r="AA85" s="41" t="n"/>
      <c r="AB85" s="46" t="inlineStr">
        <is>
          <t>—</t>
        </is>
      </c>
    </row>
    <row r="86" ht="56" customHeight="1">
      <c r="A86" s="35" t="n">
        <v>85</v>
      </c>
      <c r="B86" s="35" t="n">
        <v>13</v>
      </c>
      <c r="C86" s="36" t="n">
        <v>46380</v>
      </c>
      <c r="D86" s="37" t="inlineStr">
        <is>
          <t>Interval DP: build answers from small ranges  -  choose the LAST operation</t>
        </is>
      </c>
      <c r="E86" s="37" t="inlineStr">
        <is>
          <t>DP (interval)</t>
        </is>
      </c>
      <c r="F86" s="37" t="inlineStr">
        <is>
          <t>Iterate by LENGTH; pick the LAST operation to keep subproblems independent</t>
        </is>
      </c>
      <c r="G86" s="37" t="inlineStr">
        <is>
          <t>YES</t>
        </is>
      </c>
      <c r="H86" s="38">
        <f>HYPERLINK("https://www.youtube.com/watch?v=tyB0ztf0DNY", "Interval DP: why last operation, not first")</f>
        <v/>
      </c>
      <c r="I86" s="35" t="n">
        <v>20</v>
      </c>
      <c r="J86" s="37" t="inlineStr">
        <is>
          <t>Untimed</t>
        </is>
      </c>
      <c r="K86" s="37" t="inlineStr">
        <is>
          <t>1 hint @30min</t>
        </is>
      </c>
      <c r="L86" s="37" t="inlineStr">
        <is>
          <t>LC 312 Burst Balloons</t>
        </is>
      </c>
      <c r="M86" s="35" t="inlineStr">
        <is>
          <t>H</t>
        </is>
      </c>
      <c r="N86" s="35" t="n">
        <v>45</v>
      </c>
      <c r="O86" s="37" t="inlineStr">
        <is>
          <t>LC 516 Longest Palindromic Subsequence</t>
        </is>
      </c>
      <c r="P86" s="35" t="inlineStr">
        <is>
          <t>M</t>
        </is>
      </c>
      <c r="Q86" s="35" t="n">
        <v>25</v>
      </c>
      <c r="R86" s="37" t="inlineStr">
        <is>
          <t>LC 63 Unique Paths II</t>
        </is>
      </c>
      <c r="S86" s="37" t="inlineStr">
        <is>
          <t>Explain why we iterate by length AND why 'last balloon burst' makes subproblems independent</t>
        </is>
      </c>
      <c r="T86" s="37" t="inlineStr">
        <is>
          <t>Did you find the reversal insight yourself? That insight IS the entire problem.</t>
        </is>
      </c>
      <c r="U86" s="37" t="inlineStr">
        <is>
          <t>Optimal chunking / merge ordering; compaction cost minimisation in storage systems</t>
        </is>
      </c>
      <c r="V86" s="37" t="inlineStr">
        <is>
          <t>Interval reasoning</t>
        </is>
      </c>
      <c r="W86" s="35" t="n"/>
      <c r="X86" s="35" t="n"/>
      <c r="Y86" s="37" t="n"/>
      <c r="Z86" s="37" t="n"/>
      <c r="AA86" s="35" t="n"/>
      <c r="AB86" s="39">
        <f>HYPERLINK("https://www.youtube.com/watch?v=tyB0ztf0DNY", "▶ Watch (Striver) ↗")</f>
        <v/>
      </c>
    </row>
    <row r="87" ht="56" customHeight="1">
      <c r="A87" s="35" t="n">
        <v>86</v>
      </c>
      <c r="B87" s="35" t="n">
        <v>13</v>
      </c>
      <c r="C87" s="36" t="n">
        <v>46381</v>
      </c>
      <c r="D87" s="37" t="inlineStr">
        <is>
          <t>DP on trees and DAGs  -  memoisation is valid exactly when the state graph is acyclic</t>
        </is>
      </c>
      <c r="E87" s="37" t="inlineStr">
        <is>
          <t>DP (tree/DAG)</t>
        </is>
      </c>
      <c r="F87" s="37" t="inlineStr">
        <is>
          <t>Memoisation valid on DAGs; acyclicity must be verified, not assumed</t>
        </is>
      </c>
      <c r="G87" s="37" t="inlineStr">
        <is>
          <t>NO</t>
        </is>
      </c>
      <c r="H87" s="37" t="inlineStr">
        <is>
          <t>-</t>
        </is>
      </c>
      <c r="I87" s="35" t="inlineStr"/>
      <c r="J87" s="37" t="inlineStr">
        <is>
          <t>Untimed</t>
        </is>
      </c>
      <c r="K87" s="37" t="inlineStr">
        <is>
          <t>1 hint @25min</t>
        </is>
      </c>
      <c r="L87" s="37" t="inlineStr">
        <is>
          <t>LC 329 Longest Increasing Path in a Matrix</t>
        </is>
      </c>
      <c r="M87" s="35" t="inlineStr">
        <is>
          <t>H</t>
        </is>
      </c>
      <c r="N87" s="35" t="n">
        <v>35</v>
      </c>
      <c r="O87" s="37" t="inlineStr">
        <is>
          <t>LC 979 Distribute Coins in Binary Tree</t>
        </is>
      </c>
      <c r="P87" s="35" t="inlineStr">
        <is>
          <t>H</t>
        </is>
      </c>
      <c r="Q87" s="35" t="n">
        <v>35</v>
      </c>
      <c r="R87" s="37" t="inlineStr">
        <is>
          <t>LC 312 Burst Balloons</t>
        </is>
      </c>
      <c r="S87" s="37" t="inlineStr">
        <is>
          <t>Explain why memoisation works on a DAG but not on a general graph; verify acyclicity in LC 329</t>
        </is>
      </c>
      <c r="T87" s="37" t="inlineStr">
        <is>
          <t>Did you CHECK acyclicity, or assume it?</t>
        </is>
      </c>
      <c r="U87" s="37" t="inlineStr">
        <is>
          <t>Critical-path computation in ML pipeline DAGs; longest-path scheduling</t>
        </is>
      </c>
      <c r="V87" s="37" t="inlineStr">
        <is>
          <t>DP-graph fusion</t>
        </is>
      </c>
      <c r="W87" s="35" t="n"/>
      <c r="X87" s="35" t="n"/>
      <c r="Y87" s="37" t="n"/>
      <c r="Z87" s="37" t="n"/>
      <c r="AA87" s="35" t="n"/>
      <c r="AB87" s="40" t="inlineStr">
        <is>
          <t>—</t>
        </is>
      </c>
    </row>
    <row r="88" ht="56" customHeight="1">
      <c r="A88" s="35" t="n">
        <v>87</v>
      </c>
      <c r="B88" s="35" t="n">
        <v>13</v>
      </c>
      <c r="C88" s="36" t="n">
        <v>46382</v>
      </c>
      <c r="D88" s="37" t="inlineStr">
        <is>
          <t>Bitmask DP: subsets as states  -  n&lt;=20 is the signal</t>
        </is>
      </c>
      <c r="E88" s="37" t="inlineStr">
        <is>
          <t>DP (bitmask)</t>
        </is>
      </c>
      <c r="F88" s="37" t="inlineStr">
        <is>
          <t>2^n states; (mask, position) state; transition over bits</t>
        </is>
      </c>
      <c r="G88" s="37" t="inlineStr">
        <is>
          <t>YES</t>
        </is>
      </c>
      <c r="H88" s="38">
        <f>HYPERLINK("https://www.youtube.com/watch?v=kvyShbFVaY8", "Bitmask DP: state design and TC derivation")</f>
        <v/>
      </c>
      <c r="I88" s="35" t="n">
        <v>20</v>
      </c>
      <c r="J88" s="37" t="inlineStr">
        <is>
          <t>Untimed</t>
        </is>
      </c>
      <c r="K88" s="37" t="inlineStr">
        <is>
          <t>1 hint @30min</t>
        </is>
      </c>
      <c r="L88" s="37" t="inlineStr">
        <is>
          <t>LC 847 Shortest Path Visiting All Nodes</t>
        </is>
      </c>
      <c r="M88" s="35" t="inlineStr">
        <is>
          <t>H</t>
        </is>
      </c>
      <c r="N88" s="35" t="n">
        <v>45</v>
      </c>
      <c r="O88" s="37" t="inlineStr">
        <is>
          <t>LC 473 Matchsticks to Square</t>
        </is>
      </c>
      <c r="P88" s="35" t="inlineStr">
        <is>
          <t>M</t>
        </is>
      </c>
      <c r="Q88" s="35" t="n">
        <v>30</v>
      </c>
      <c r="R88" s="37" t="inlineStr">
        <is>
          <t>LC 329 Longest Increasing Path in Matrix</t>
        </is>
      </c>
      <c r="S88" s="37" t="inlineStr">
        <is>
          <t>Compute the exact state count and TC; explain the (mask, position) state for LC 847</t>
        </is>
      </c>
      <c r="T88" s="37" t="inlineStr">
        <is>
          <t>Did n&lt;=20 immediately suggest bitmask? Constraint-reading is the entire skill here.</t>
        </is>
      </c>
      <c r="U88" s="37" t="inlineStr">
        <is>
          <t>Job-to-machine assignment; small-scale optimal placement in resource schedulers</t>
        </is>
      </c>
      <c r="V88" s="37" t="inlineStr">
        <is>
          <t>Constraint-driven recognition</t>
        </is>
      </c>
      <c r="W88" s="35" t="n"/>
      <c r="X88" s="35" t="n"/>
      <c r="Y88" s="37" t="n"/>
      <c r="Z88" s="37" t="n"/>
      <c r="AA88" s="35" t="n"/>
      <c r="AB88" s="39">
        <f>HYPERLINK("https://www.youtube.com/watch?v=kvyShbFVaY8", "▶ Watch (Aditya Verma) ↗")</f>
        <v/>
      </c>
    </row>
    <row r="89" ht="56" customHeight="1">
      <c r="A89" s="35" t="n">
        <v>88</v>
      </c>
      <c r="B89" s="35" t="n">
        <v>13</v>
      </c>
      <c r="C89" s="36" t="n">
        <v>46383</v>
      </c>
      <c r="D89" s="37" t="inlineStr">
        <is>
          <t>DP optimization: monotonic deque inside a DP transition  -  week-2 reappears</t>
        </is>
      </c>
      <c r="E89" s="37" t="inlineStr">
        <is>
          <t>DP + monotonic deque</t>
        </is>
      </c>
      <c r="F89" s="37" t="inlineStr">
        <is>
          <t>Sliding-window maximum hidden inside a DP recurrence; O(nk) -&gt; O(n)</t>
        </is>
      </c>
      <c r="G89" s="37" t="inlineStr">
        <is>
          <t>NO</t>
        </is>
      </c>
      <c r="H89" s="37" t="inlineStr">
        <is>
          <t>-</t>
        </is>
      </c>
      <c r="I89" s="35" t="inlineStr"/>
      <c r="J89" s="37" t="inlineStr">
        <is>
          <t>Untimed</t>
        </is>
      </c>
      <c r="K89" s="37" t="inlineStr">
        <is>
          <t>1 hint @30min</t>
        </is>
      </c>
      <c r="L89" s="37" t="inlineStr">
        <is>
          <t>LC 1696 Jump Game VI</t>
        </is>
      </c>
      <c r="M89" s="35" t="inlineStr">
        <is>
          <t>M</t>
        </is>
      </c>
      <c r="N89" s="35" t="n">
        <v>30</v>
      </c>
      <c r="O89" s="37" t="inlineStr">
        <is>
          <t>LC 1425 Constrained Subsequence Sum</t>
        </is>
      </c>
      <c r="P89" s="35" t="inlineStr">
        <is>
          <t>H</t>
        </is>
      </c>
      <c r="Q89" s="35" t="n">
        <v>40</v>
      </c>
      <c r="R89" s="37" t="inlineStr">
        <is>
          <t>LC 847 Shortest Path Visiting All Nodes</t>
        </is>
      </c>
      <c r="S89" s="37" t="inlineStr">
        <is>
          <t>Write naive O(nk) transition first, then deque-optimised O(n) version; prove equivalence</t>
        </is>
      </c>
      <c r="T89" s="37" t="inlineStr">
        <is>
          <t>Did you see the sliding window HIDDEN inside the DP? That is week-2 reappearing in week-13.</t>
        </is>
      </c>
      <c r="U89" s="37" t="inlineStr">
        <is>
          <t>Streaming DP with bounded lookback; windowed online decisions in scheduling</t>
        </is>
      </c>
      <c r="V89" s="37" t="inlineStr">
        <is>
          <t>Transition optimization</t>
        </is>
      </c>
      <c r="W89" s="35" t="n"/>
      <c r="X89" s="35" t="n"/>
      <c r="Y89" s="37" t="n"/>
      <c r="Z89" s="37" t="n"/>
      <c r="AA89" s="35" t="n"/>
      <c r="AB89" s="40" t="inlineStr">
        <is>
          <t>—</t>
        </is>
      </c>
    </row>
    <row r="90" ht="56" customHeight="1">
      <c r="A90" s="35" t="n">
        <v>89</v>
      </c>
      <c r="B90" s="35" t="n">
        <v>13</v>
      </c>
      <c r="C90" s="36" t="n">
        <v>46384</v>
      </c>
      <c r="D90" s="37" t="inlineStr">
        <is>
          <t>Counting DP and bounding the state space</t>
        </is>
      </c>
      <c r="E90" s="37" t="inlineStr">
        <is>
          <t>DP (counting)</t>
        </is>
      </c>
      <c r="F90" s="37" t="inlineStr">
        <is>
          <t>Count configurations; prune impossible states; modular arithmetic</t>
        </is>
      </c>
      <c r="G90" s="37" t="inlineStr">
        <is>
          <t>NO</t>
        </is>
      </c>
      <c r="H90" s="37" t="inlineStr">
        <is>
          <t>-</t>
        </is>
      </c>
      <c r="I90" s="35" t="inlineStr"/>
      <c r="J90" s="37" t="inlineStr">
        <is>
          <t>Untimed</t>
        </is>
      </c>
      <c r="K90" s="37" t="inlineStr">
        <is>
          <t>1 hint @25min</t>
        </is>
      </c>
      <c r="L90" s="37" t="inlineStr">
        <is>
          <t>LC 1269 Number of Ways to Stay in Same Place</t>
        </is>
      </c>
      <c r="M90" s="35" t="inlineStr">
        <is>
          <t>H</t>
        </is>
      </c>
      <c r="N90" s="35" t="n">
        <v>35</v>
      </c>
      <c r="O90" s="37" t="inlineStr">
        <is>
          <t>LC 1220 Count Vowels Permutation</t>
        </is>
      </c>
      <c r="P90" s="35" t="inlineStr">
        <is>
          <t>H</t>
        </is>
      </c>
      <c r="Q90" s="35" t="n">
        <v>30</v>
      </c>
      <c r="R90" s="37" t="inlineStr">
        <is>
          <t>LC 1425 Constrained Subsequence Sum</t>
        </is>
      </c>
      <c r="S90" s="37" t="inlineStr">
        <is>
          <t>Explain the state bound (why positions beyond steps/2 are unreachable) and the modular arithmetic</t>
        </is>
      </c>
      <c r="T90" s="37" t="inlineStr">
        <is>
          <t>Did you bound the state space, or allocate a giant table and hope?</t>
        </is>
      </c>
      <c r="U90" s="37" t="inlineStr">
        <is>
          <t>Counting valid configurations / reachable states in a job scheduler or planner</t>
        </is>
      </c>
      <c r="V90" s="37" t="inlineStr">
        <is>
          <t>State bounding</t>
        </is>
      </c>
      <c r="W90" s="35" t="n"/>
      <c r="X90" s="35" t="n"/>
      <c r="Y90" s="37" t="n"/>
      <c r="Z90" s="37" t="n"/>
      <c r="AA90" s="35" t="n"/>
      <c r="AB90" s="40" t="inlineStr">
        <is>
          <t>—</t>
        </is>
      </c>
    </row>
    <row r="91" ht="56" customHeight="1">
      <c r="A91" s="35" t="n">
        <v>90</v>
      </c>
      <c r="B91" s="35" t="n">
        <v>13</v>
      </c>
      <c r="C91" s="36" t="n">
        <v>46385</v>
      </c>
      <c r="D91" s="37" t="inlineStr">
        <is>
          <t>Blind HARD mix: full range, 90 minutes  -  peak capability test</t>
        </is>
      </c>
      <c r="E91" s="37" t="inlineStr">
        <is>
          <t>Blind (hard W1-W13)</t>
        </is>
      </c>
      <c r="F91" s="37" t="inlineStr">
        <is>
          <t>Maximum capability test; no labels; no hints</t>
        </is>
      </c>
      <c r="G91" s="37" t="inlineStr">
        <is>
          <t>NO</t>
        </is>
      </c>
      <c r="H91" s="37" t="inlineStr">
        <is>
          <t>-</t>
        </is>
      </c>
      <c r="I91" s="35" t="inlineStr"/>
      <c r="J91" s="37" t="inlineStr">
        <is>
          <t>Timed-90</t>
        </is>
      </c>
      <c r="K91" s="37" t="inlineStr">
        <is>
          <t>None</t>
        </is>
      </c>
      <c r="L91" s="37" t="inlineStr">
        <is>
          <t>LC 1235 Maximum Profit in Job Scheduling (unlabelled)</t>
        </is>
      </c>
      <c r="M91" s="35" t="inlineStr">
        <is>
          <t>H</t>
        </is>
      </c>
      <c r="N91" s="35" t="n">
        <v>45</v>
      </c>
      <c r="O91" s="37" t="inlineStr">
        <is>
          <t>LC 862 Shortest Subarray with Sum at Least K (unlabelled)</t>
        </is>
      </c>
      <c r="P91" s="35" t="inlineStr">
        <is>
          <t>H</t>
        </is>
      </c>
      <c r="Q91" s="35" t="n">
        <v>45</v>
      </c>
      <c r="R91" s="37" t="inlineStr">
        <is>
          <t>LC 312 Burst Balloons</t>
        </is>
      </c>
      <c r="S91" s="37" t="inlineStr">
        <is>
          <t>Time-to-pattern for both; write PatternCards entries for any pattern you failed to recognise</t>
        </is>
      </c>
      <c r="T91" s="37" t="inlineStr">
        <is>
          <t>Independent solve on a hard, unlabelled, timed problem  -  the actual target behaviour.</t>
        </is>
      </c>
      <c r="U91" s="37" t="inlineStr">
        <is>
          <t>-</t>
        </is>
      </c>
      <c r="V91" s="37" t="inlineStr">
        <is>
          <t>Peak capability</t>
        </is>
      </c>
      <c r="W91" s="35" t="n"/>
      <c r="X91" s="35" t="n"/>
      <c r="Y91" s="37" t="n"/>
      <c r="Z91" s="37" t="n"/>
      <c r="AA91" s="35" t="n"/>
      <c r="AB91" s="40" t="inlineStr">
        <is>
          <t>—</t>
        </is>
      </c>
    </row>
    <row r="92" ht="56" customHeight="1">
      <c r="A92" s="35" t="n">
        <v>91</v>
      </c>
      <c r="B92" s="35" t="n">
        <v>13</v>
      </c>
      <c r="C92" s="36" t="n">
        <v>46386</v>
      </c>
      <c r="D92" s="37" t="inlineStr">
        <is>
          <t>Week 13 assessment + reconstruction marathon  -  consolidation</t>
        </is>
      </c>
      <c r="E92" s="37" t="inlineStr">
        <is>
          <t>Review/consolidation</t>
        </is>
      </c>
      <c r="F92" s="37" t="inlineStr">
        <is>
          <t>Deep retention audit across all 13 weeks</t>
        </is>
      </c>
      <c r="G92" s="37" t="inlineStr">
        <is>
          <t>NO</t>
        </is>
      </c>
      <c r="H92" s="37" t="inlineStr">
        <is>
          <t>-</t>
        </is>
      </c>
      <c r="I92" s="35" t="inlineStr"/>
      <c r="J92" s="37" t="inlineStr">
        <is>
          <t>Untimed</t>
        </is>
      </c>
      <c r="K92" s="37" t="inlineStr">
        <is>
          <t>None</t>
        </is>
      </c>
      <c r="L92" s="37" t="inlineStr">
        <is>
          <t>Reconstruct 6 anchor problems from memory  -  code, no notes</t>
        </is>
      </c>
      <c r="M92" s="35" t="inlineStr">
        <is>
          <t>H</t>
        </is>
      </c>
      <c r="N92" s="35" t="n">
        <v>60</v>
      </c>
      <c r="O92" s="37" t="inlineStr">
        <is>
          <t>WeeklyAssessment + update PatternLibrary mastery honestly</t>
        </is>
      </c>
      <c r="P92" s="35" t="inlineStr">
        <is>
          <t>-</t>
        </is>
      </c>
      <c r="Q92" s="35" t="n">
        <v>25</v>
      </c>
      <c r="R92" s="37" t="inlineStr">
        <is>
          <t>ReviewQueue top 5</t>
        </is>
      </c>
      <c r="S92" s="37" t="inlineStr">
        <is>
          <t>Fill PatternCards for every pattern rated below mastery 4</t>
        </is>
      </c>
      <c r="T92" s="37" t="inlineStr">
        <is>
          <t>Which patterns are still fragile? Those, and ONLY those, get week-14 repair time.</t>
        </is>
      </c>
      <c r="U92" s="37" t="inlineStr">
        <is>
          <t>-</t>
        </is>
      </c>
      <c r="V92" s="37" t="inlineStr">
        <is>
          <t>Consolidation</t>
        </is>
      </c>
      <c r="W92" s="35" t="n"/>
      <c r="X92" s="35" t="n"/>
      <c r="Y92" s="37" t="n"/>
      <c r="Z92" s="37" t="n"/>
      <c r="AA92" s="35" t="n"/>
      <c r="AB92" s="40" t="inlineStr">
        <is>
          <t>—</t>
        </is>
      </c>
    </row>
    <row r="93" ht="56" customHeight="1">
      <c r="A93" s="41" t="n">
        <v>92</v>
      </c>
      <c r="B93" s="41" t="n">
        <v>14</v>
      </c>
      <c r="C93" s="42" t="n">
        <v>46387</v>
      </c>
      <c r="D93" s="43" t="inlineStr">
        <is>
          <t>MOCK INTERVIEW #3  -  no hints, verbal reasoning required throughout</t>
        </is>
      </c>
      <c r="E93" s="43" t="inlineStr">
        <is>
          <t>Mock interview #3</t>
        </is>
      </c>
      <c r="F93" s="43" t="inlineStr">
        <is>
          <t>Full simulation with follow-up; narrate every decision</t>
        </is>
      </c>
      <c r="G93" s="43" t="inlineStr">
        <is>
          <t>NO</t>
        </is>
      </c>
      <c r="H93" s="43" t="inlineStr">
        <is>
          <t>-</t>
        </is>
      </c>
      <c r="I93" s="41" t="inlineStr"/>
      <c r="J93" s="43" t="inlineStr">
        <is>
          <t>Timed-50</t>
        </is>
      </c>
      <c r="K93" s="43" t="inlineStr">
        <is>
          <t>None</t>
        </is>
      </c>
      <c r="L93" s="43" t="inlineStr">
        <is>
          <t>Mock #3: 1 medium + 1 hard follow-up question, narrated</t>
        </is>
      </c>
      <c r="M93" s="41" t="inlineStr">
        <is>
          <t>H</t>
        </is>
      </c>
      <c r="N93" s="41" t="n">
        <v>50</v>
      </c>
      <c r="O93" s="43" t="inlineStr">
        <is>
          <t>Self-review the recording against a rubric</t>
        </is>
      </c>
      <c r="P93" s="41" t="inlineStr">
        <is>
          <t>-</t>
        </is>
      </c>
      <c r="Q93" s="41" t="n">
        <v>20</v>
      </c>
      <c r="R93" s="43" t="inlineStr">
        <is>
          <t>ReviewQueue top 3</t>
        </is>
      </c>
      <c r="S93" s="43" t="inlineStr">
        <is>
          <t>Rewrite the solution cleanly after the mock; note every place you stalled verbally</t>
        </is>
      </c>
      <c r="T93" s="43" t="inlineStr">
        <is>
          <t>Where did communication break down: restatement, approach pitch, or complexity explanation?</t>
        </is>
      </c>
      <c r="U93" s="43" t="inlineStr">
        <is>
          <t>-</t>
        </is>
      </c>
      <c r="V93" s="43" t="inlineStr">
        <is>
          <t>Interview execution</t>
        </is>
      </c>
      <c r="W93" s="41" t="n"/>
      <c r="X93" s="41" t="n"/>
      <c r="Y93" s="43" t="n"/>
      <c r="Z93" s="43" t="n"/>
      <c r="AA93" s="41" t="n"/>
      <c r="AB93" s="46" t="inlineStr">
        <is>
          <t>—</t>
        </is>
      </c>
    </row>
    <row r="94" ht="56" customHeight="1">
      <c r="A94" s="41" t="n">
        <v>93</v>
      </c>
      <c r="B94" s="41" t="n">
        <v>14</v>
      </c>
      <c r="C94" s="42" t="n">
        <v>46388</v>
      </c>
      <c r="D94" s="43" t="inlineStr">
        <is>
          <t>Weak-pattern repair using mock + diagnostic data  -  repair, not exploration</t>
        </is>
      </c>
      <c r="E94" s="43" t="inlineStr">
        <is>
          <t>Targeted repair (W14)</t>
        </is>
      </c>
      <c r="F94" s="43" t="inlineStr">
        <is>
          <t>Repair the weakest pattern; evidence-driven, not intuition-driven</t>
        </is>
      </c>
      <c r="G94" s="43" t="inlineStr">
        <is>
          <t>NO</t>
        </is>
      </c>
      <c r="H94" s="43" t="inlineStr">
        <is>
          <t>-</t>
        </is>
      </c>
      <c r="I94" s="41" t="inlineStr"/>
      <c r="J94" s="43" t="inlineStr">
        <is>
          <t>Untimed</t>
        </is>
      </c>
      <c r="K94" s="43" t="inlineStr">
        <is>
          <t>Hints allowed</t>
        </is>
      </c>
      <c r="L94" s="43" t="inlineStr">
        <is>
          <t>2 problems in your single weakest pattern from diagnostics</t>
        </is>
      </c>
      <c r="M94" s="41" t="inlineStr">
        <is>
          <t>H</t>
        </is>
      </c>
      <c r="N94" s="41" t="n">
        <v>50</v>
      </c>
      <c r="O94" s="43" t="inlineStr">
        <is>
          <t>Update preventive rules in FailureLog</t>
        </is>
      </c>
      <c r="P94" s="41" t="inlineStr">
        <is>
          <t>-</t>
        </is>
      </c>
      <c r="Q94" s="41" t="n">
        <v>15</v>
      </c>
      <c r="R94" s="43" t="inlineStr">
        <is>
          <t>All Mastered=No rows</t>
        </is>
      </c>
      <c r="S94" s="43" t="inlineStr">
        <is>
          <t>Explain the weak pattern aloud for 2 minutes with no notes</t>
        </is>
      </c>
      <c r="T94" s="43" t="inlineStr">
        <is>
          <t>Did the repair hold on the SECOND problem? One success is noise.</t>
        </is>
      </c>
      <c r="U94" s="43" t="inlineStr">
        <is>
          <t>-</t>
        </is>
      </c>
      <c r="V94" s="43" t="inlineStr">
        <is>
          <t>Targeted repair</t>
        </is>
      </c>
      <c r="W94" s="41" t="n"/>
      <c r="X94" s="41" t="n"/>
      <c r="Y94" s="43" t="n"/>
      <c r="Z94" s="43" t="n"/>
      <c r="AA94" s="41" t="n"/>
      <c r="AB94" s="46" t="inlineStr">
        <is>
          <t>—</t>
        </is>
      </c>
    </row>
    <row r="95" ht="56" customHeight="1">
      <c r="A95" s="41" t="n">
        <v>94</v>
      </c>
      <c r="B95" s="41" t="n">
        <v>14</v>
      </c>
      <c r="C95" s="42" t="n">
        <v>46389</v>
      </c>
      <c r="D95" s="43" t="inlineStr">
        <is>
          <t>Infra-flavoured design + algorithm session: build real systems</t>
        </is>
      </c>
      <c r="E95" s="43" t="inlineStr">
        <is>
          <t>Design + algorithms</t>
        </is>
      </c>
      <c r="F95" s="43" t="inlineStr">
        <is>
          <t>Algorithms living inside production systems; bottleneck analysis at scale</t>
        </is>
      </c>
      <c r="G95" s="43" t="inlineStr">
        <is>
          <t>NO</t>
        </is>
      </c>
      <c r="H95" s="43" t="inlineStr">
        <is>
          <t>-</t>
        </is>
      </c>
      <c r="I95" s="41" t="inlineStr"/>
      <c r="J95" s="43" t="inlineStr">
        <is>
          <t>Untimed</t>
        </is>
      </c>
      <c r="K95" s="43" t="inlineStr">
        <is>
          <t>None</t>
        </is>
      </c>
      <c r="L95" s="43" t="inlineStr">
        <is>
          <t>Design: in-memory feature cache with TTL + LRU eviction + metrics  -  implement core ops</t>
        </is>
      </c>
      <c r="M95" s="41" t="inlineStr">
        <is>
          <t>H</t>
        </is>
      </c>
      <c r="N95" s="41" t="n">
        <v>45</v>
      </c>
      <c r="O95" s="43" t="inlineStr">
        <is>
          <t>Design: DAG task scheduler with priorities + worker limits  -  implement the ready-queue core</t>
        </is>
      </c>
      <c r="P95" s="41" t="inlineStr">
        <is>
          <t>H</t>
        </is>
      </c>
      <c r="Q95" s="41" t="n">
        <v>40</v>
      </c>
      <c r="R95" s="43" t="inlineStr">
        <is>
          <t>LC 146 LRU Cache</t>
        </is>
      </c>
      <c r="S95" s="43" t="inlineStr">
        <is>
          <t>For each design: list every data structure, its purpose, and the TC of each operation</t>
        </is>
      </c>
      <c r="T95" s="43" t="inlineStr">
        <is>
          <t>Could you defend these under 10x scale in an ML-infra systems interview?</t>
        </is>
      </c>
      <c r="U95" s="43" t="inlineStr">
        <is>
          <t>This IS the overlap between DSA and AI-infra engineering</t>
        </is>
      </c>
      <c r="V95" s="43" t="inlineStr">
        <is>
          <t>Systems-algorithm bridge</t>
        </is>
      </c>
      <c r="W95" s="41" t="n"/>
      <c r="X95" s="41" t="n"/>
      <c r="Y95" s="43" t="n"/>
      <c r="Z95" s="43" t="n"/>
      <c r="AA95" s="41" t="n"/>
      <c r="AB95" s="46" t="inlineStr">
        <is>
          <t>—</t>
        </is>
      </c>
    </row>
    <row r="96" ht="56" customHeight="1">
      <c r="A96" s="41" t="n">
        <v>95</v>
      </c>
      <c r="B96" s="41" t="n">
        <v>14</v>
      </c>
      <c r="C96" s="42" t="n">
        <v>46390</v>
      </c>
      <c r="D96" s="43" t="inlineStr">
        <is>
          <t>MOCK INTERVIEW #4  -  unfamiliar hard, no hints, 45 min, follow-up required</t>
        </is>
      </c>
      <c r="E96" s="43" t="inlineStr">
        <is>
          <t>Mock interview #4</t>
        </is>
      </c>
      <c r="F96" s="43" t="inlineStr">
        <is>
          <t>Unfamiliar problem under full pressure; decision timeline analysis</t>
        </is>
      </c>
      <c r="G96" s="43" t="inlineStr">
        <is>
          <t>NO</t>
        </is>
      </c>
      <c r="H96" s="43" t="inlineStr">
        <is>
          <t>-</t>
        </is>
      </c>
      <c r="I96" s="41" t="inlineStr"/>
      <c r="J96" s="43" t="inlineStr">
        <is>
          <t>Timed-45</t>
        </is>
      </c>
      <c r="K96" s="43" t="inlineStr">
        <is>
          <t>None</t>
        </is>
      </c>
      <c r="L96" s="43" t="inlineStr">
        <is>
          <t>Mock #4: 1 unfamiliar hard from README pool</t>
        </is>
      </c>
      <c r="M96" s="41" t="inlineStr">
        <is>
          <t>H</t>
        </is>
      </c>
      <c r="N96" s="41" t="n">
        <v>45</v>
      </c>
      <c r="O96" s="43" t="inlineStr">
        <is>
          <t>Post-mortem: minute-by-minute decision timeline</t>
        </is>
      </c>
      <c r="P96" s="41" t="inlineStr">
        <is>
          <t>-</t>
        </is>
      </c>
      <c r="Q96" s="41" t="n">
        <v>25</v>
      </c>
      <c r="R96" s="43" t="inlineStr">
        <is>
          <t>ReviewQueue top 3</t>
        </is>
      </c>
      <c r="S96" s="43" t="inlineStr">
        <is>
          <t>Write the decision timeline: what you thought at minutes 2, 5, 10, 20, 35</t>
        </is>
      </c>
      <c r="T96" s="43" t="inlineStr">
        <is>
          <t>Where did you waste minutes? Time allocation is a trainable interview skill.</t>
        </is>
      </c>
      <c r="U96" s="43" t="inlineStr">
        <is>
          <t>-</t>
        </is>
      </c>
      <c r="V96" s="43" t="inlineStr">
        <is>
          <t>Time allocation</t>
        </is>
      </c>
      <c r="W96" s="41" t="n"/>
      <c r="X96" s="41" t="n"/>
      <c r="Y96" s="43" t="n"/>
      <c r="Z96" s="43" t="n"/>
      <c r="AA96" s="41" t="n"/>
      <c r="AB96" s="46" t="inlineStr">
        <is>
          <t>—</t>
        </is>
      </c>
    </row>
    <row r="97" ht="56" customHeight="1">
      <c r="A97" s="41" t="n">
        <v>96</v>
      </c>
      <c r="B97" s="41" t="n">
        <v>14</v>
      </c>
      <c r="C97" s="42" t="n">
        <v>46391</v>
      </c>
      <c r="D97" s="43" t="inlineStr">
        <is>
          <t>[2-SOL] Second-solution day  -  force fundamentally different paradigms</t>
        </is>
      </c>
      <c r="E97" s="43" t="inlineStr">
        <is>
          <t>Multi-solution flexibility</t>
        </is>
      </c>
      <c r="F97" s="43" t="inlineStr">
        <is>
          <t>Prevent template lock; conditions favouring each approach</t>
        </is>
      </c>
      <c r="G97" s="43" t="inlineStr">
        <is>
          <t>NO</t>
        </is>
      </c>
      <c r="H97" s="43" t="inlineStr">
        <is>
          <t>-</t>
        </is>
      </c>
      <c r="I97" s="41" t="inlineStr"/>
      <c r="J97" s="43" t="inlineStr">
        <is>
          <t>Untimed</t>
        </is>
      </c>
      <c r="K97" s="43" t="inlineStr">
        <is>
          <t>None</t>
        </is>
      </c>
      <c r="L97" s="43" t="inlineStr">
        <is>
          <t>Solve 2 previously-solved problems using a DIFFERENT paradigm (heap -&gt; sort, DFS -&gt; BFS, greedy -&gt; DP, BS -&gt; math)</t>
        </is>
      </c>
      <c r="M97" s="41" t="inlineStr">
        <is>
          <t>H</t>
        </is>
      </c>
      <c r="N97" s="41" t="n">
        <v>45</v>
      </c>
      <c r="O97" s="43" t="inlineStr">
        <is>
          <t>Compare TC/SC of both approaches and state when each is preferable</t>
        </is>
      </c>
      <c r="P97" s="41" t="inlineStr">
        <is>
          <t>-</t>
        </is>
      </c>
      <c r="Q97" s="41" t="n">
        <v>20</v>
      </c>
      <c r="R97" s="43" t="inlineStr">
        <is>
          <t>ReviewQueue top 3</t>
        </is>
      </c>
      <c r="S97" s="43" t="inlineStr">
        <is>
          <t>Explain both solutions for both problems and the conditions favouring each</t>
        </is>
      </c>
      <c r="T97" s="43" t="inlineStr">
        <is>
          <t>Flexible, or template-locked? Template-locked candidates fail on variants.</t>
        </is>
      </c>
      <c r="U97" s="43" t="inlineStr">
        <is>
          <t>Trade-off analysis is core to ML system design documents</t>
        </is>
      </c>
      <c r="V97" s="43" t="inlineStr">
        <is>
          <t>Approach flexibility</t>
        </is>
      </c>
      <c r="W97" s="41" t="n"/>
      <c r="X97" s="41" t="n"/>
      <c r="Y97" s="43" t="n"/>
      <c r="Z97" s="43" t="n"/>
      <c r="AA97" s="41" t="n"/>
      <c r="AB97" s="46" t="inlineStr">
        <is>
          <t>—</t>
        </is>
      </c>
    </row>
    <row r="98" ht="56" customHeight="1">
      <c r="A98" s="41" t="n">
        <v>97</v>
      </c>
      <c r="B98" s="41" t="n">
        <v>14</v>
      </c>
      <c r="C98" s="42" t="n">
        <v>46392</v>
      </c>
      <c r="D98" s="43" t="inlineStr">
        <is>
          <t>Pressure day: 3 problems in 75 minutes  -  endurance without accuracy collapse</t>
        </is>
      </c>
      <c r="E98" s="43" t="inlineStr">
        <is>
          <t>Blind (timed volume)</t>
        </is>
      </c>
      <c r="F98" s="43" t="inlineStr">
        <is>
          <t>Throughput without correctness collapse; triage decisions</t>
        </is>
      </c>
      <c r="G98" s="43" t="inlineStr">
        <is>
          <t>NO</t>
        </is>
      </c>
      <c r="H98" s="43" t="inlineStr">
        <is>
          <t>-</t>
        </is>
      </c>
      <c r="I98" s="41" t="inlineStr"/>
      <c r="J98" s="43" t="inlineStr">
        <is>
          <t>Timed-75</t>
        </is>
      </c>
      <c r="K98" s="43" t="inlineStr">
        <is>
          <t>None</t>
        </is>
      </c>
      <c r="L98" s="43" t="inlineStr">
        <is>
          <t>3 unlabelled problems (E/M/H) from hard pool  -  75 min total</t>
        </is>
      </c>
      <c r="M98" s="41" t="inlineStr">
        <is>
          <t>H</t>
        </is>
      </c>
      <c r="N98" s="41" t="n">
        <v>75</v>
      </c>
      <c r="O98" s="43" t="inlineStr">
        <is>
          <t>Failure clustering after</t>
        </is>
      </c>
      <c r="P98" s="41" t="inlineStr">
        <is>
          <t>-</t>
        </is>
      </c>
      <c r="Q98" s="41" t="n">
        <v>15</v>
      </c>
      <c r="R98" s="43" t="inlineStr">
        <is>
          <t>-</t>
        </is>
      </c>
      <c r="S98" s="43" t="inlineStr">
        <is>
          <t>Rank by speed of pattern recognition; explain the fastest one's recognition cue</t>
        </is>
      </c>
      <c r="T98" s="43" t="inlineStr">
        <is>
          <t>Where did speed cost correctness? That is your real interview risk profile.</t>
        </is>
      </c>
      <c r="U98" s="43" t="inlineStr">
        <is>
          <t>-</t>
        </is>
      </c>
      <c r="V98" s="43" t="inlineStr">
        <is>
          <t>Endurance</t>
        </is>
      </c>
      <c r="W98" s="41" t="n"/>
      <c r="X98" s="41" t="n"/>
      <c r="Y98" s="43" t="n"/>
      <c r="Z98" s="43" t="n"/>
      <c r="AA98" s="41" t="n"/>
      <c r="AB98" s="46" t="inlineStr">
        <is>
          <t>—</t>
        </is>
      </c>
    </row>
    <row r="99" ht="56" customHeight="1">
      <c r="A99" s="41" t="n">
        <v>98</v>
      </c>
      <c r="B99" s="41" t="n">
        <v>14</v>
      </c>
      <c r="C99" s="42" t="n">
        <v>46393</v>
      </c>
      <c r="D99" s="43" t="inlineStr">
        <is>
          <t>FINAL DIAGNOSTIC + design your own next 4-week cycle</t>
        </is>
      </c>
      <c r="E99" s="43" t="inlineStr">
        <is>
          <t>Diagnostic/planning</t>
        </is>
      </c>
      <c r="F99" s="43" t="inlineStr">
        <is>
          <t>Exit measurement and self-directed plan v2</t>
        </is>
      </c>
      <c r="G99" s="43" t="inlineStr">
        <is>
          <t>NO</t>
        </is>
      </c>
      <c r="H99" s="43" t="inlineStr">
        <is>
          <t>-</t>
        </is>
      </c>
      <c r="I99" s="41" t="inlineStr"/>
      <c r="J99" s="43" t="inlineStr">
        <is>
          <t>Diagnostic</t>
        </is>
      </c>
      <c r="K99" s="43" t="inlineStr">
        <is>
          <t>None</t>
        </is>
      </c>
      <c r="L99" s="43" t="inlineStr">
        <is>
          <t>Final diagnostic: LC 1751, LC 2421, LC 1463  -  110 min, unlabelled, no hints</t>
        </is>
      </c>
      <c r="M99" s="41" t="inlineStr">
        <is>
          <t>H</t>
        </is>
      </c>
      <c r="N99" s="41" t="n">
        <v>110</v>
      </c>
      <c r="O99" s="43" t="inlineStr">
        <is>
          <t>Write your own next 4-week plan driven purely by weakness data</t>
        </is>
      </c>
      <c r="P99" s="41" t="inlineStr">
        <is>
          <t>-</t>
        </is>
      </c>
      <c r="Q99" s="41" t="n">
        <v>30</v>
      </c>
      <c r="R99" s="43" t="inlineStr">
        <is>
          <t>-</t>
        </is>
      </c>
      <c r="S99" s="43" t="inlineStr">
        <is>
          <t>Fill dashboard; compare all 4 diagnostics on time-to-pattern, hint-dependency, TC accuracy</t>
        </is>
      </c>
      <c r="T99" s="43" t="inlineStr">
        <is>
          <t>Are you at the 'derive unfamiliar problems' level? Cite concrete evidence.</t>
        </is>
      </c>
      <c r="U99" s="43" t="inlineStr">
        <is>
          <t>-</t>
        </is>
      </c>
      <c r="V99" s="43" t="inlineStr">
        <is>
          <t>Self-directed training</t>
        </is>
      </c>
      <c r="W99" s="41" t="n"/>
      <c r="X99" s="41" t="n"/>
      <c r="Y99" s="43" t="n"/>
      <c r="Z99" s="43" t="n"/>
      <c r="AA99" s="41" t="n"/>
      <c r="AB99" s="46" t="inlineStr">
        <is>
          <t>—</t>
        </is>
      </c>
    </row>
    <row r="100" ht="56" customHeight="1">
      <c r="A100" s="35" t="n">
        <v>99</v>
      </c>
      <c r="B100" s="35" t="n">
        <v>15</v>
      </c>
      <c r="C100" s="36" t="n">
        <v>46394</v>
      </c>
      <c r="D100" s="37" t="inlineStr">
        <is>
          <t>Fenwick Tree (Binary Indexed Tree / BIT): point updates &amp; prefix range sums</t>
        </is>
      </c>
      <c r="E100" s="37" t="inlineStr">
        <is>
          <t>Fenwick Tree (BIT)</t>
        </is>
      </c>
      <c r="F100" s="37" t="inlineStr">
        <is>
          <t>Lowest set bit (i &amp; -i); 1-indexed tree array; partial sum decomposition in O(log n)</t>
        </is>
      </c>
      <c r="G100" s="37" t="inlineStr">
        <is>
          <t>YES</t>
        </is>
      </c>
      <c r="H100" s="38">
        <f>HYPERLINK("https://www.youtube.com/watch?v=RgITNht_f4Q", "Fenwick Tree (Binary Indexed Tree) from scratch")</f>
        <v/>
      </c>
      <c r="I100" s="35" t="n">
        <v>25</v>
      </c>
      <c r="J100" s="37" t="inlineStr">
        <is>
          <t>Untimed</t>
        </is>
      </c>
      <c r="K100" s="37" t="inlineStr">
        <is>
          <t>1 hint @20min</t>
        </is>
      </c>
      <c r="L100" s="37" t="inlineStr">
        <is>
          <t>LC 307 Range Sum Query - Mutable</t>
        </is>
      </c>
      <c r="M100" s="35" t="inlineStr">
        <is>
          <t>M</t>
        </is>
      </c>
      <c r="N100" s="35" t="n">
        <v>25</v>
      </c>
      <c r="O100" s="37" t="inlineStr">
        <is>
          <t>LC 315 Count of Smaller Numbers After Self</t>
        </is>
      </c>
      <c r="P100" s="35" t="inlineStr">
        <is>
          <t>H</t>
        </is>
      </c>
      <c r="Q100" s="35" t="n">
        <v>35</v>
      </c>
      <c r="R100" s="37" t="inlineStr">
        <is>
          <t>LC 304 Range Sum Query 2D - Immutable</t>
        </is>
      </c>
      <c r="S100" s="37" t="inlineStr">
        <is>
          <t>Write BIT add(i, delta) and query(i) from memory in 6 lines of code; explain the (i &amp; -i) math</t>
        </is>
      </c>
      <c r="T100" s="37" t="inlineStr">
        <is>
          <t>Did you prove why (i &amp; -i) isolates the lowest set bit?</t>
        </is>
      </c>
      <c r="U100" s="37" t="inlineStr">
        <is>
          <t>Cumulative billing meters; live request frequency counters over rolling numeric IDs</t>
        </is>
      </c>
      <c r="V100" s="37" t="inlineStr">
        <is>
          <t>Logarithmic prefix tracking</t>
        </is>
      </c>
      <c r="W100" s="35" t="n"/>
      <c r="X100" s="35" t="n"/>
      <c r="Y100" s="37" t="n"/>
      <c r="Z100" s="37" t="n"/>
      <c r="AA100" s="35" t="n"/>
      <c r="AB100" s="39">
        <f>HYPERLINK("https://www.youtube.com/watch?v=RgITNht_f4Q", "▶ Watch (WilliamFiset) ↗")</f>
        <v/>
      </c>
    </row>
    <row r="101" ht="56" customHeight="1">
      <c r="A101" s="35" t="n">
        <v>100</v>
      </c>
      <c r="B101" s="35" t="n">
        <v>15</v>
      </c>
      <c r="C101" s="36" t="n">
        <v>46395</v>
      </c>
      <c r="D101" s="37" t="inlineStr">
        <is>
          <t>Segment Tree: arbitrary associative range queries (min, max, gcd, sum)</t>
        </is>
      </c>
      <c r="E101" s="37" t="inlineStr">
        <is>
          <t>Segment Tree (point update)</t>
        </is>
      </c>
      <c r="F101" s="37" t="inlineStr">
        <is>
          <t>Binary tree over array ranges; node 2i and 2i+1; tree size 4n; divide-and-conquer range intersection</t>
        </is>
      </c>
      <c r="G101" s="37" t="inlineStr">
        <is>
          <t>YES</t>
        </is>
      </c>
      <c r="H101" s="38">
        <f>HYPERLINK("https://www.youtube.com/watch?v=rwXVCELcrqU", "Segment Tree: point update and range query")</f>
        <v/>
      </c>
      <c r="I101" s="35" t="n">
        <v>25</v>
      </c>
      <c r="J101" s="37" t="inlineStr">
        <is>
          <t>Untimed</t>
        </is>
      </c>
      <c r="K101" s="37" t="inlineStr">
        <is>
          <t>1 hint @20min</t>
        </is>
      </c>
      <c r="L101" s="37" t="inlineStr">
        <is>
          <t>LC 307 Range Sum Query - Mutable (Segment Tree solution)</t>
        </is>
      </c>
      <c r="M101" s="35" t="inlineStr">
        <is>
          <t>M</t>
        </is>
      </c>
      <c r="N101" s="35" t="n">
        <v>25</v>
      </c>
      <c r="O101" s="37" t="inlineStr">
        <is>
          <t>LC 732 My Calendar III</t>
        </is>
      </c>
      <c r="P101" s="35" t="inlineStr">
        <is>
          <t>H</t>
        </is>
      </c>
      <c r="Q101" s="35" t="n">
        <v>35</v>
      </c>
      <c r="R101" s="37" t="inlineStr">
        <is>
          <t>LC 307 Range Sum Query - Mutable</t>
        </is>
      </c>
      <c r="S101" s="37" t="inlineStr">
        <is>
          <t>Implement SegmentTree.build(), update(), query() from memory with 0 syntax errors</t>
        </is>
      </c>
      <c r="T101" s="37" t="inlineStr">
        <is>
          <t>Why is the array representation size 4n instead of 2n? Derive it.</t>
        </is>
      </c>
      <c r="U101" s="37" t="inlineStr">
        <is>
          <t>Distributed SLA monitoring; finding max latency spike in arbitrary time intervals</t>
        </is>
      </c>
      <c r="V101" s="37" t="inlineStr">
        <is>
          <t>Associative range aggregation</t>
        </is>
      </c>
      <c r="W101" s="35" t="n"/>
      <c r="X101" s="35" t="n"/>
      <c r="Y101" s="37" t="n"/>
      <c r="Z101" s="37" t="n"/>
      <c r="AA101" s="35" t="n"/>
      <c r="AB101" s="39">
        <f>HYPERLINK("https://www.youtube.com/watch?v=rwXVCELcrqU", "▶ Watch (take U forward) ↗")</f>
        <v/>
      </c>
    </row>
    <row r="102" ht="56" customHeight="1">
      <c r="A102" s="35" t="n">
        <v>101</v>
      </c>
      <c r="B102" s="35" t="n">
        <v>15</v>
      </c>
      <c r="C102" s="36" t="n">
        <v>46396</v>
      </c>
      <c r="D102" s="37" t="inlineStr">
        <is>
          <t>Segment Tree with Lazy Propagation: range update and range query in O(log n)</t>
        </is>
      </c>
      <c r="E102" s="37" t="inlineStr">
        <is>
          <t>Segment Tree (lazy propagation)</t>
        </is>
      </c>
      <c r="F102" s="37" t="inlineStr">
        <is>
          <t>Deferring updates to children using a lazy tag; push-down before recursing; range addition</t>
        </is>
      </c>
      <c r="G102" s="37" t="inlineStr">
        <is>
          <t>YES</t>
        </is>
      </c>
      <c r="H102" s="38">
        <f>HYPERLINK("https://www.youtube.com/watch?v=xuoQdt5pHj0", "Lazy Propagation in Segment Trees explained")</f>
        <v/>
      </c>
      <c r="I102" s="35" t="n">
        <v>25</v>
      </c>
      <c r="J102" s="37" t="inlineStr">
        <is>
          <t>Untimed</t>
        </is>
      </c>
      <c r="K102" s="37" t="inlineStr">
        <is>
          <t>1 hint @20min</t>
        </is>
      </c>
      <c r="L102" s="37" t="inlineStr">
        <is>
          <t>LC 218 The Skyline Problem</t>
        </is>
      </c>
      <c r="M102" s="35" t="inlineStr">
        <is>
          <t>H</t>
        </is>
      </c>
      <c r="N102" s="35" t="n">
        <v>40</v>
      </c>
      <c r="O102" s="37" t="inlineStr">
        <is>
          <t>LC 699 Falling Squares</t>
        </is>
      </c>
      <c r="P102" s="35" t="inlineStr">
        <is>
          <t>H</t>
        </is>
      </c>
      <c r="Q102" s="35" t="n">
        <v>35</v>
      </c>
      <c r="R102" s="37" t="inlineStr">
        <is>
          <t>LC 732 My Calendar III</t>
        </is>
      </c>
      <c r="S102" s="37" t="inlineStr">
        <is>
          <t>Write the push_down(node, l, r) invariant: what must hold before visiting child nodes?</t>
        </is>
      </c>
      <c r="T102" s="37" t="inlineStr">
        <is>
          <t>Did you trace push_down on a pen-and-paper interval tree before coding?</t>
        </is>
      </c>
      <c r="U102" s="37" t="inlineStr">
        <is>
          <t>Dynamic memory allocation tracking; continuous physical page range reservation</t>
        </is>
      </c>
      <c r="V102" s="37" t="inlineStr">
        <is>
          <t>Deferred range modification</t>
        </is>
      </c>
      <c r="W102" s="35" t="n"/>
      <c r="X102" s="35" t="n"/>
      <c r="Y102" s="37" t="n"/>
      <c r="Z102" s="37" t="n"/>
      <c r="AA102" s="35" t="n"/>
      <c r="AB102" s="39">
        <f>HYPERLINK("https://www.youtube.com/watch?v=xuoQdt5pHj0", "▶ Watch (WilliamFiset) ↗")</f>
        <v/>
      </c>
    </row>
    <row r="103" ht="56" customHeight="1">
      <c r="A103" s="35" t="n">
        <v>102</v>
      </c>
      <c r="B103" s="35" t="n">
        <v>15</v>
      </c>
      <c r="C103" s="36" t="n">
        <v>46397</v>
      </c>
      <c r="D103" s="37" t="inlineStr">
        <is>
          <t>Disjoint Interval Maintenance &amp; Coordinate Compression</t>
        </is>
      </c>
      <c r="E103" s="37" t="inlineStr">
        <is>
          <t>Interval / TreeMap composition</t>
        </is>
      </c>
      <c r="F103" s="37" t="inlineStr">
        <is>
          <t>TreeMap / Balanced BST for non-overlapping interval ranges; merge adjacent; coordinate mapping</t>
        </is>
      </c>
      <c r="G103" s="37" t="inlineStr">
        <is>
          <t>NO</t>
        </is>
      </c>
      <c r="H103" s="37" t="inlineStr">
        <is>
          <t>-</t>
        </is>
      </c>
      <c r="I103" s="35" t="inlineStr"/>
      <c r="J103" s="37" t="inlineStr">
        <is>
          <t>Untimed</t>
        </is>
      </c>
      <c r="K103" s="37" t="inlineStr">
        <is>
          <t>1 hint @20min</t>
        </is>
      </c>
      <c r="L103" s="37" t="inlineStr">
        <is>
          <t>LC 715 Range Module</t>
        </is>
      </c>
      <c r="M103" s="35" t="inlineStr">
        <is>
          <t>H</t>
        </is>
      </c>
      <c r="N103" s="35" t="n">
        <v>40</v>
      </c>
      <c r="O103" s="37" t="inlineStr">
        <is>
          <t>LC 352 Data Stream as Disjoint Intervals</t>
        </is>
      </c>
      <c r="P103" s="35" t="inlineStr">
        <is>
          <t>M</t>
        </is>
      </c>
      <c r="Q103" s="35" t="n">
        <v>25</v>
      </c>
      <c r="R103" s="37" t="inlineStr">
        <is>
          <t>LC 218 The Skyline Problem</t>
        </is>
      </c>
      <c r="S103" s="37" t="inlineStr">
        <is>
          <t>Explain why TreeMap.floorEntry() and subMap() make interval removal O(k log n)</t>
        </is>
      </c>
      <c r="T103" s="37" t="inlineStr">
        <is>
          <t>Can you state the boundary invariants when removing a range [left, right) cleanly?</t>
        </is>
      </c>
      <c r="U103" s="37" t="inlineStr">
        <is>
          <t>Virtual memory mapping (VMA) merging and splitting in kernel memory managers</t>
        </is>
      </c>
      <c r="V103" s="37" t="inlineStr">
        <is>
          <t>Dynamic range tracking</t>
        </is>
      </c>
      <c r="W103" s="35" t="n"/>
      <c r="X103" s="35" t="n"/>
      <c r="Y103" s="37" t="n"/>
      <c r="Z103" s="37" t="n"/>
      <c r="AA103" s="35" t="n"/>
      <c r="AB103" s="40" t="inlineStr">
        <is>
          <t>—</t>
        </is>
      </c>
    </row>
    <row r="104" ht="56" customHeight="1">
      <c r="A104" s="35" t="n">
        <v>103</v>
      </c>
      <c r="B104" s="35" t="n">
        <v>15</v>
      </c>
      <c r="C104" s="36" t="n">
        <v>46398</v>
      </c>
      <c r="D104" s="37" t="inlineStr">
        <is>
          <t>Interleave range patterns: Blind session on mutable range operations</t>
        </is>
      </c>
      <c r="E104" s="37" t="inlineStr">
        <is>
          <t>Blind (range queries &amp; trees)</t>
        </is>
      </c>
      <c r="F104" s="37" t="inlineStr">
        <is>
          <t>Deciding between Fenwick, Segment Tree, Sweep Line, or TreeMap under ambiguity</t>
        </is>
      </c>
      <c r="G104" s="37" t="inlineStr">
        <is>
          <t>NO</t>
        </is>
      </c>
      <c r="H104" s="37" t="inlineStr">
        <is>
          <t>-</t>
        </is>
      </c>
      <c r="I104" s="35" t="inlineStr"/>
      <c r="J104" s="37" t="inlineStr">
        <is>
          <t>Untimed</t>
        </is>
      </c>
      <c r="K104" s="37" t="inlineStr">
        <is>
          <t>No hints before 20min</t>
        </is>
      </c>
      <c r="L104" s="37" t="inlineStr">
        <is>
          <t>LC 1649 Create Sorted Array through Instructions</t>
        </is>
      </c>
      <c r="M104" s="35" t="inlineStr">
        <is>
          <t>H</t>
        </is>
      </c>
      <c r="N104" s="35" t="n">
        <v>35</v>
      </c>
      <c r="O104" s="37" t="inlineStr">
        <is>
          <t>LC 327 Count of Range Sum</t>
        </is>
      </c>
      <c r="P104" s="35" t="inlineStr">
        <is>
          <t>H</t>
        </is>
      </c>
      <c r="Q104" s="35" t="n">
        <v>40</v>
      </c>
      <c r="R104" s="37" t="inlineStr">
        <is>
          <t>LC 715 Range Module</t>
        </is>
      </c>
      <c r="S104" s="37" t="inlineStr">
        <is>
          <t>For both problems, state whether Fenwick Tree or Merge Sort is asymptotically better and why</t>
        </is>
      </c>
      <c r="T104" s="37" t="inlineStr">
        <is>
          <t>Time-to-pattern on both problems (record minutes). Target: &lt;7 min.</t>
        </is>
      </c>
      <c r="U104" s="37" t="inlineStr">
        <is>
          <t>Stream deduplication across numeric ranges; out-of-order packet ranking</t>
        </is>
      </c>
      <c r="V104" s="37" t="inlineStr">
        <is>
          <t>Range structure selection</t>
        </is>
      </c>
      <c r="W104" s="35" t="n"/>
      <c r="X104" s="35" t="n"/>
      <c r="Y104" s="37" t="n"/>
      <c r="Z104" s="37" t="n"/>
      <c r="AA104" s="35" t="n"/>
      <c r="AB104" s="40" t="inlineStr">
        <is>
          <t>—</t>
        </is>
      </c>
    </row>
    <row r="105" ht="56" customHeight="1">
      <c r="A105" s="35" t="n">
        <v>104</v>
      </c>
      <c r="B105" s="35" t="n">
        <v>15</v>
      </c>
      <c r="C105" s="36" t="n">
        <v>46399</v>
      </c>
      <c r="D105" s="37" t="inlineStr">
        <is>
          <t>[2-SOL] Inversion counting &amp; ranking: Segment Tree vs Fenwick Tree vs Divide &amp; Conquer</t>
        </is>
      </c>
      <c r="E105" s="37" t="inlineStr">
        <is>
          <t>Multi-solution comparison</t>
        </is>
      </c>
      <c r="F105" s="37" t="inlineStr">
        <is>
          <t>Comparing coordinate compression + BIT against Merge Sort divide-and-conquer</t>
        </is>
      </c>
      <c r="G105" s="37" t="inlineStr">
        <is>
          <t>NO</t>
        </is>
      </c>
      <c r="H105" s="37" t="inlineStr">
        <is>
          <t>-</t>
        </is>
      </c>
      <c r="I105" s="35" t="inlineStr"/>
      <c r="J105" s="37" t="inlineStr">
        <is>
          <t>Timed-60</t>
        </is>
      </c>
      <c r="K105" s="37" t="inlineStr">
        <is>
          <t>None</t>
        </is>
      </c>
      <c r="L105" s="37" t="inlineStr">
        <is>
          <t>LC 493 Reverse Pairs</t>
        </is>
      </c>
      <c r="M105" s="35" t="inlineStr">
        <is>
          <t>H</t>
        </is>
      </c>
      <c r="N105" s="35" t="n">
        <v>35</v>
      </c>
      <c r="O105" s="37" t="inlineStr">
        <is>
          <t>Find 2nd solution for LC 493 (Merge Sort vs BIT)</t>
        </is>
      </c>
      <c r="P105" s="35" t="inlineStr">
        <is>
          <t>H</t>
        </is>
      </c>
      <c r="Q105" s="35" t="n">
        <v>25</v>
      </c>
      <c r="R105" s="37" t="inlineStr">
        <is>
          <t>LC 315 Count of Smaller Numbers After Self</t>
        </is>
      </c>
      <c r="S105" s="37" t="inlineStr">
        <is>
          <t>Code both Merge Sort and BIT solutions for LC 493 from memory; compare cache efficiency</t>
        </is>
      </c>
      <c r="T105" s="37" t="inlineStr">
        <is>
          <t>Why does Merge Sort have better cache locality than a BIT on large coordinate spaces?</t>
        </is>
      </c>
      <c r="U105" s="37" t="inlineStr">
        <is>
          <t>Sorting algorithms for tensor strides; parallel rank reduction</t>
        </is>
      </c>
      <c r="V105" s="37" t="inlineStr">
        <is>
          <t>Dual-derivation fluency</t>
        </is>
      </c>
      <c r="W105" s="35" t="n"/>
      <c r="X105" s="35" t="n"/>
      <c r="Y105" s="37" t="n"/>
      <c r="Z105" s="37" t="n"/>
      <c r="AA105" s="35" t="n"/>
      <c r="AB105" s="40" t="inlineStr">
        <is>
          <t>—</t>
        </is>
      </c>
    </row>
    <row r="106" ht="56" customHeight="1">
      <c r="A106" s="35" t="n">
        <v>105</v>
      </c>
      <c r="B106" s="35" t="n">
        <v>15</v>
      </c>
      <c r="C106" s="36" t="n">
        <v>46400</v>
      </c>
      <c r="D106" s="37" t="inlineStr">
        <is>
          <t>Week 15 audit: complete blank-editor reconstruction of BIT and Segment Tree</t>
        </is>
      </c>
      <c r="E106" s="37" t="inlineStr">
        <is>
          <t>Review/audit</t>
        </is>
      </c>
      <c r="F106" s="37" t="inlineStr">
        <is>
          <t>Zero-notes retention of logarithmic range structures</t>
        </is>
      </c>
      <c r="G106" s="37" t="inlineStr">
        <is>
          <t>NO</t>
        </is>
      </c>
      <c r="H106" s="37" t="inlineStr">
        <is>
          <t>-</t>
        </is>
      </c>
      <c r="I106" s="35" t="inlineStr"/>
      <c r="J106" s="37" t="inlineStr">
        <is>
          <t>Untimed</t>
        </is>
      </c>
      <c r="K106" s="37" t="inlineStr">
        <is>
          <t>Notes forbidden</t>
        </is>
      </c>
      <c r="L106" s="37" t="inlineStr">
        <is>
          <t>Rederive: BIT point-update + prefix-query cold</t>
        </is>
      </c>
      <c r="M106" s="35" t="inlineStr">
        <is>
          <t>M</t>
        </is>
      </c>
      <c r="N106" s="35" t="n">
        <v>25</v>
      </c>
      <c r="O106" s="37" t="inlineStr">
        <is>
          <t>Rederive: Segment Tree build + query + lazy update cold</t>
        </is>
      </c>
      <c r="P106" s="35" t="inlineStr">
        <is>
          <t>H</t>
        </is>
      </c>
      <c r="Q106" s="35" t="n">
        <v>35</v>
      </c>
      <c r="R106" s="37" t="inlineStr">
        <is>
          <t>LC 1649 Create Sorted Array through Instructions</t>
        </is>
      </c>
      <c r="S106" s="37" t="inlineStr">
        <is>
          <t>Rebuild both data structures from scratch in raw code with complete test harness</t>
        </is>
      </c>
      <c r="T106" s="37" t="inlineStr">
        <is>
          <t>Can you implement a Segment Tree in an interview without looking at reference code?</t>
        </is>
      </c>
      <c r="U106" s="37" t="inlineStr">
        <is>
          <t>Self-contained systems data structures</t>
        </is>
      </c>
      <c r="V106" s="37" t="inlineStr">
        <is>
          <t>Core range mechanics</t>
        </is>
      </c>
      <c r="W106" s="35" t="n"/>
      <c r="X106" s="35" t="n"/>
      <c r="Y106" s="37" t="n"/>
      <c r="Z106" s="37" t="n"/>
      <c r="AA106" s="35" t="n"/>
      <c r="AB106" s="40" t="inlineStr">
        <is>
          <t>—</t>
        </is>
      </c>
    </row>
    <row r="107" ht="56" customHeight="1">
      <c r="A107" s="41" t="n">
        <v>106</v>
      </c>
      <c r="B107" s="41" t="n">
        <v>16</v>
      </c>
      <c r="C107" s="42" t="n">
        <v>46401</v>
      </c>
      <c r="D107" s="43" t="inlineStr">
        <is>
          <t>Tarjan's Algorithm: Bridges, Articulation Points &amp; Critical Connections</t>
        </is>
      </c>
      <c r="E107" s="43" t="inlineStr">
        <is>
          <t>Tarjan's DFS (tin / low)</t>
        </is>
      </c>
      <c r="F107" s="43" t="inlineStr">
        <is>
          <t>Discovery time tin[u] vs lowest reachable ancestor low[u]; back-edge detection; bridge condition low[v] &gt; tin[u]</t>
        </is>
      </c>
      <c r="G107" s="43" t="inlineStr">
        <is>
          <t>YES</t>
        </is>
      </c>
      <c r="H107" s="44">
        <f>HYPERLINK("https://www.youtube.com/watch?v=aZXi1unBdJA", "Tarjan's Algorithm for Bridges and Cut Vertices")</f>
        <v/>
      </c>
      <c r="I107" s="41" t="n">
        <v>25</v>
      </c>
      <c r="J107" s="43" t="inlineStr">
        <is>
          <t>Untimed</t>
        </is>
      </c>
      <c r="K107" s="43" t="inlineStr">
        <is>
          <t>1 hint @20min</t>
        </is>
      </c>
      <c r="L107" s="43" t="inlineStr">
        <is>
          <t>LC 1192 Critical Connections in a Network</t>
        </is>
      </c>
      <c r="M107" s="41" t="inlineStr">
        <is>
          <t>H</t>
        </is>
      </c>
      <c r="N107" s="41" t="n">
        <v>35</v>
      </c>
      <c r="O107" s="43" t="inlineStr">
        <is>
          <t>LC 1568 Minimum Number of Days to Disconnect Island</t>
        </is>
      </c>
      <c r="P107" s="41" t="inlineStr">
        <is>
          <t>H</t>
        </is>
      </c>
      <c r="Q107" s="41" t="n">
        <v>35</v>
      </c>
      <c r="R107" s="43" t="inlineStr">
        <is>
          <t>LC 2092 Find All People With Secret</t>
        </is>
      </c>
      <c r="S107" s="43" t="inlineStr">
        <is>
          <t>Write the bridge condition from memory. Explain why parent edge is excluded from low[u] update</t>
        </is>
      </c>
      <c r="T107" s="43" t="inlineStr">
        <is>
          <t>Did you derive the difference between bridge condition (low[v] &gt; tin[u]) and articulation condition (low[v] &gt;= tin[u])?</t>
        </is>
      </c>
      <c r="U107" s="43" t="inlineStr">
        <is>
          <t>Single-point-of-failure (SPOF) detection in distributed microservice topologies</t>
        </is>
      </c>
      <c r="V107" s="43" t="inlineStr">
        <is>
          <t>Critical topology discovery</t>
        </is>
      </c>
      <c r="W107" s="41" t="n"/>
      <c r="X107" s="41" t="n"/>
      <c r="Y107" s="43" t="n"/>
      <c r="Z107" s="43" t="n"/>
      <c r="AA107" s="41" t="n"/>
      <c r="AB107" s="45">
        <f>HYPERLINK("https://www.youtube.com/watch?v=aZXi1unBdJA", "▶ Watch (WilliamFiset) ↗")</f>
        <v/>
      </c>
    </row>
    <row r="108" ht="56" customHeight="1">
      <c r="A108" s="41" t="n">
        <v>107</v>
      </c>
      <c r="B108" s="41" t="n">
        <v>16</v>
      </c>
      <c r="C108" s="42" t="n">
        <v>46402</v>
      </c>
      <c r="D108" s="43" t="inlineStr">
        <is>
          <t>Strongly Connected Components (SCC): Tarjan's &amp; Kosaraju's Algorithm</t>
        </is>
      </c>
      <c r="E108" s="43" t="inlineStr">
        <is>
          <t>Graph SCC decomposition</t>
        </is>
      </c>
      <c r="F108" s="43" t="inlineStr">
        <is>
          <t>Condensation DAG; two-pass Kosaraju (transpose graph) vs one-pass Tarjan with stack; component contracts</t>
        </is>
      </c>
      <c r="G108" s="43" t="inlineStr">
        <is>
          <t>YES</t>
        </is>
      </c>
      <c r="H108" s="44">
        <f>HYPERLINK("https://www.youtube.com/watch?v=TyWtx7q2D7Y", "Strongly Connected Components: Tarjan &amp; Kosaraju")</f>
        <v/>
      </c>
      <c r="I108" s="41" t="n">
        <v>25</v>
      </c>
      <c r="J108" s="43" t="inlineStr">
        <is>
          <t>Untimed</t>
        </is>
      </c>
      <c r="K108" s="43" t="inlineStr">
        <is>
          <t>1 hint @20min</t>
        </is>
      </c>
      <c r="L108" s="43" t="inlineStr">
        <is>
          <t>LC 1489 Find Critical and Pseudo-Critical Edges in MST</t>
        </is>
      </c>
      <c r="M108" s="41" t="inlineStr">
        <is>
          <t>H</t>
        </is>
      </c>
      <c r="N108" s="41" t="n">
        <v>40</v>
      </c>
      <c r="O108" s="43" t="inlineStr">
        <is>
          <t>Condensation graph construction on directed graph</t>
        </is>
      </c>
      <c r="P108" s="41" t="inlineStr">
        <is>
          <t>M</t>
        </is>
      </c>
      <c r="Q108" s="41" t="n">
        <v>25</v>
      </c>
      <c r="R108" s="43" t="inlineStr">
        <is>
          <t>LC 1192 Critical Connections in a Network</t>
        </is>
      </c>
      <c r="S108" s="43" t="inlineStr">
        <is>
          <t>Explain how condensing a directed graph into an SCC DAG enables topological scheduling</t>
        </is>
      </c>
      <c r="T108" s="43" t="inlineStr">
        <is>
          <t>Can you explain why the condensation of any directed graph is always a DAG?</t>
        </is>
      </c>
      <c r="U108" s="43" t="inlineStr">
        <is>
          <t>Deadlock detection in distributed locking systems; circular dependency elimination in build graphs</t>
        </is>
      </c>
      <c r="V108" s="43" t="inlineStr">
        <is>
          <t>Cycle decomposition</t>
        </is>
      </c>
      <c r="W108" s="41" t="n"/>
      <c r="X108" s="41" t="n"/>
      <c r="Y108" s="43" t="n"/>
      <c r="Z108" s="43" t="n"/>
      <c r="AA108" s="41" t="n"/>
      <c r="AB108" s="45">
        <f>HYPERLINK("https://www.youtube.com/watch?v=TyWtx7q2D7Y", "▶ Watch (Abdul Bari) ↗")</f>
        <v/>
      </c>
    </row>
    <row r="109" ht="56" customHeight="1">
      <c r="A109" s="41" t="n">
        <v>108</v>
      </c>
      <c r="B109" s="41" t="n">
        <v>16</v>
      </c>
      <c r="C109" s="42" t="n">
        <v>46403</v>
      </c>
      <c r="D109" s="43" t="inlineStr">
        <is>
          <t>Eulerian Path &amp; Circuit: Hierholzer's Algorithm</t>
        </is>
      </c>
      <c r="E109" s="43" t="inlineStr">
        <is>
          <t>Eulerian traversal</t>
        </is>
      </c>
      <c r="F109" s="43" t="inlineStr">
        <is>
          <t>Degree balance (in-degree == out-degree); Hierholzer's post-order DFS splice; visiting every edge exactly once</t>
        </is>
      </c>
      <c r="G109" s="43" t="inlineStr">
        <is>
          <t>YES</t>
        </is>
      </c>
      <c r="H109" s="44">
        <f>HYPERLINK("https://www.youtube.com/watch?v=8MpoO2zA2l4", "Hierholzer's Algorithm for Eulerian Paths")</f>
        <v/>
      </c>
      <c r="I109" s="41" t="n">
        <v>20</v>
      </c>
      <c r="J109" s="43" t="inlineStr">
        <is>
          <t>Untimed</t>
        </is>
      </c>
      <c r="K109" s="43" t="inlineStr">
        <is>
          <t>1 hint @20min</t>
        </is>
      </c>
      <c r="L109" s="43" t="inlineStr">
        <is>
          <t>LC 332 Reconstruct Itinerary</t>
        </is>
      </c>
      <c r="M109" s="41" t="inlineStr">
        <is>
          <t>H</t>
        </is>
      </c>
      <c r="N109" s="41" t="n">
        <v>35</v>
      </c>
      <c r="O109" s="43" t="inlineStr">
        <is>
          <t>LC 753 Cracking the Safe (De Bruijn sequence)</t>
        </is>
      </c>
      <c r="P109" s="41" t="inlineStr">
        <is>
          <t>H</t>
        </is>
      </c>
      <c r="Q109" s="41" t="n">
        <v>35</v>
      </c>
      <c r="R109" s="43" t="inlineStr">
        <is>
          <t>LC 1489 Find Critical and Pseudo-Critical Edges in MST</t>
        </is>
      </c>
      <c r="S109" s="43" t="inlineStr">
        <is>
          <t>Explain why Hierholzer's adds edges in reverse post-order to handle dead-end loops</t>
        </is>
      </c>
      <c r="T109" s="43" t="inlineStr">
        <is>
          <t>Did you explain the De Bruijn sequence graph model out loud?</t>
        </is>
      </c>
      <c r="U109" s="43" t="inlineStr">
        <is>
          <t>Complete network trace logging; memory bus traversal with zero redundant packet copies</t>
        </is>
      </c>
      <c r="V109" s="43" t="inlineStr">
        <is>
          <t>Edge-exhaustive routing</t>
        </is>
      </c>
      <c r="W109" s="41" t="n"/>
      <c r="X109" s="41" t="n"/>
      <c r="Y109" s="43" t="n"/>
      <c r="Z109" s="43" t="n"/>
      <c r="AA109" s="41" t="n"/>
      <c r="AB109" s="45">
        <f>HYPERLINK("https://www.youtube.com/watch?v=8MpoO2zA2l4", "▶ Watch (WilliamFiset) ↗")</f>
        <v/>
      </c>
    </row>
    <row r="110" ht="56" customHeight="1">
      <c r="A110" s="41" t="n">
        <v>109</v>
      </c>
      <c r="B110" s="41" t="n">
        <v>16</v>
      </c>
      <c r="C110" s="42" t="n">
        <v>46404</v>
      </c>
      <c r="D110" s="43" t="inlineStr">
        <is>
          <t>Network Flows: Ford-Fulkerson, Edmonds-Karp &amp; Dinic's Algorithm</t>
        </is>
      </c>
      <c r="E110" s="43" t="inlineStr">
        <is>
          <t>Max-Flow / Min-Cut</t>
        </is>
      </c>
      <c r="F110" s="43" t="inlineStr">
        <is>
          <t>Residual graph; augmenting paths via BFS; max-flow min-cut theorem; bipartite matching equivalence</t>
        </is>
      </c>
      <c r="G110" s="43" t="inlineStr">
        <is>
          <t>YES</t>
        </is>
      </c>
      <c r="H110" s="44">
        <f>HYPERLINK("https://www.youtube.com/watch?v=M6cm8UeeziI", "Max Flow Min Cut: Edmonds-Karp &amp; Dinic's")</f>
        <v/>
      </c>
      <c r="I110" s="41" t="n">
        <v>25</v>
      </c>
      <c r="J110" s="43" t="inlineStr">
        <is>
          <t>Untimed</t>
        </is>
      </c>
      <c r="K110" s="43" t="inlineStr">
        <is>
          <t>1 hint @20min</t>
        </is>
      </c>
      <c r="L110" s="43" t="inlineStr">
        <is>
          <t>LC 1349 Maximum Students Taking Exam (Bipartite matching / Max Flow formulation)</t>
        </is>
      </c>
      <c r="M110" s="41" t="inlineStr">
        <is>
          <t>H</t>
        </is>
      </c>
      <c r="N110" s="41" t="n">
        <v>40</v>
      </c>
      <c r="O110" s="43" t="inlineStr">
        <is>
          <t>LC 1970 Last Day Where You Can Still Cross</t>
        </is>
      </c>
      <c r="P110" s="41" t="inlineStr">
        <is>
          <t>H</t>
        </is>
      </c>
      <c r="Q110" s="41" t="n">
        <v>35</v>
      </c>
      <c r="R110" s="43" t="inlineStr">
        <is>
          <t>LC 332 Reconstruct Itinerary</t>
        </is>
      </c>
      <c r="S110" s="43" t="inlineStr">
        <is>
          <t>State the Max-Flow Min-Cut theorem; derive why the capacity of the minimum cut equals max flow</t>
        </is>
      </c>
      <c r="T110" s="43" t="inlineStr">
        <is>
          <t>Can you transform a bipartite matching problem into a max-flow problem with source/sink?</t>
        </is>
      </c>
      <c r="U110" s="43" t="inlineStr">
        <is>
          <t>Cluster resource allocation; optimal network throughput routing across switch bisection bandwidth</t>
        </is>
      </c>
      <c r="V110" s="43" t="inlineStr">
        <is>
          <t>Capacity-constrained routing</t>
        </is>
      </c>
      <c r="W110" s="41" t="n"/>
      <c r="X110" s="41" t="n"/>
      <c r="Y110" s="43" t="n"/>
      <c r="Z110" s="43" t="n"/>
      <c r="AA110" s="41" t="n"/>
      <c r="AB110" s="45">
        <f>HYPERLINK("https://www.youtube.com/watch?v=M6cm8UeeziI", "▶ Watch (WilliamFiset) ↗")</f>
        <v/>
      </c>
    </row>
    <row r="111" ht="56" customHeight="1">
      <c r="A111" s="41" t="n">
        <v>110</v>
      </c>
      <c r="B111" s="41" t="n">
        <v>16</v>
      </c>
      <c r="C111" s="42" t="n">
        <v>46405</v>
      </c>
      <c r="D111" s="43" t="inlineStr">
        <is>
          <t>Blind Graph Topology Session: Bridges vs Flows vs DAGs</t>
        </is>
      </c>
      <c r="E111" s="43" t="inlineStr">
        <is>
          <t>Blind (advanced graphs)</t>
        </is>
      </c>
      <c r="F111" s="43" t="inlineStr">
        <is>
          <t>Discriminating between structural decomposition and flow optimization</t>
        </is>
      </c>
      <c r="G111" s="43" t="inlineStr">
        <is>
          <t>NO</t>
        </is>
      </c>
      <c r="H111" s="43" t="inlineStr">
        <is>
          <t>-</t>
        </is>
      </c>
      <c r="I111" s="41" t="inlineStr"/>
      <c r="J111" s="43" t="inlineStr">
        <is>
          <t>Untimed</t>
        </is>
      </c>
      <c r="K111" s="43" t="inlineStr">
        <is>
          <t>No hints before 20min</t>
        </is>
      </c>
      <c r="L111" s="43" t="inlineStr">
        <is>
          <t>LC 2127 Maximum Employees to Be Invited to a Meeting</t>
        </is>
      </c>
      <c r="M111" s="41" t="inlineStr">
        <is>
          <t>H</t>
        </is>
      </c>
      <c r="N111" s="41" t="n">
        <v>40</v>
      </c>
      <c r="O111" s="43" t="inlineStr">
        <is>
          <t>LC 839 Similar String Groups</t>
        </is>
      </c>
      <c r="P111" s="41" t="inlineStr">
        <is>
          <t>H</t>
        </is>
      </c>
      <c r="Q111" s="41" t="n">
        <v>30</v>
      </c>
      <c r="R111" s="43" t="inlineStr">
        <is>
          <t>LC 1349 Maximum Students Taking Exam</t>
        </is>
      </c>
      <c r="S111" s="43" t="inlineStr">
        <is>
          <t>Write PatternCards entry for functional graphs (nodes with out-degree 1: cycle + trees)</t>
        </is>
      </c>
      <c r="T111" s="43" t="inlineStr">
        <is>
          <t>Time-to-pattern on LC 2127. Did you immediately spot the cycle + forest decomposition?</t>
        </is>
      </c>
      <c r="U111" s="43" t="inlineStr">
        <is>
          <t>Cluster leader election ring topologies; consensus quorum validation</t>
        </is>
      </c>
      <c r="V111" s="43" t="inlineStr">
        <is>
          <t>Complex graph decomposition</t>
        </is>
      </c>
      <c r="W111" s="41" t="n"/>
      <c r="X111" s="41" t="n"/>
      <c r="Y111" s="43" t="n"/>
      <c r="Z111" s="43" t="n"/>
      <c r="AA111" s="41" t="n"/>
      <c r="AB111" s="46" t="inlineStr">
        <is>
          <t>—</t>
        </is>
      </c>
    </row>
    <row r="112" ht="56" customHeight="1">
      <c r="A112" s="41" t="n">
        <v>111</v>
      </c>
      <c r="B112" s="41" t="n">
        <v>16</v>
      </c>
      <c r="C112" s="42" t="n">
        <v>46406</v>
      </c>
      <c r="D112" s="43" t="inlineStr">
        <is>
          <t>Systems Simulation: Fault domains, network partition cuts, cluster failover graphs</t>
        </is>
      </c>
      <c r="E112" s="43" t="inlineStr">
        <is>
          <t>Systems graph modeling</t>
        </is>
      </c>
      <c r="F112" s="43" t="inlineStr">
        <is>
          <t>Modeling datacenter racks, switches, and nodes as a graph; evaluating min-cut partition resilience</t>
        </is>
      </c>
      <c r="G112" s="43" t="inlineStr">
        <is>
          <t>NO</t>
        </is>
      </c>
      <c r="H112" s="43" t="inlineStr">
        <is>
          <t>-</t>
        </is>
      </c>
      <c r="I112" s="41" t="inlineStr"/>
      <c r="J112" s="43" t="inlineStr">
        <is>
          <t>Timed-45</t>
        </is>
      </c>
      <c r="K112" s="43" t="inlineStr">
        <is>
          <t>None</t>
        </is>
      </c>
      <c r="L112" s="43" t="inlineStr">
        <is>
          <t>LC 924 Minimize Malware Spread</t>
        </is>
      </c>
      <c r="M112" s="41" t="inlineStr">
        <is>
          <t>H</t>
        </is>
      </c>
      <c r="N112" s="41" t="n">
        <v>35</v>
      </c>
      <c r="O112" s="43" t="inlineStr">
        <is>
          <t>LC 928 Minimize Malware Spread II</t>
        </is>
      </c>
      <c r="P112" s="41" t="inlineStr">
        <is>
          <t>H</t>
        </is>
      </c>
      <c r="Q112" s="41" t="n">
        <v>35</v>
      </c>
      <c r="R112" s="43" t="inlineStr">
        <is>
          <t>LC 2127 Maximum Employees to Be Invited to a Meeting</t>
        </is>
      </c>
      <c r="S112" s="43" t="inlineStr">
        <is>
          <t>Explain the difference in removal impact between LC 924 and 928; state the connected component invariant</t>
        </is>
      </c>
      <c r="T112" s="43" t="inlineStr">
        <is>
          <t>Can you explain why node removal requires finding component unique-infectors?</t>
        </is>
      </c>
      <c r="U112" s="43" t="inlineStr">
        <is>
          <t>Fault blast-radius containment; blast-radius analysis in multi-region Kubernetes clusters</t>
        </is>
      </c>
      <c r="V112" s="43" t="inlineStr">
        <is>
          <t>Resilience topology modeling</t>
        </is>
      </c>
      <c r="W112" s="41" t="n"/>
      <c r="X112" s="41" t="n"/>
      <c r="Y112" s="43" t="n"/>
      <c r="Z112" s="43" t="n"/>
      <c r="AA112" s="41" t="n"/>
      <c r="AB112" s="46" t="inlineStr">
        <is>
          <t>—</t>
        </is>
      </c>
    </row>
    <row r="113" ht="56" customHeight="1">
      <c r="A113" s="41" t="n">
        <v>112</v>
      </c>
      <c r="B113" s="41" t="n">
        <v>16</v>
      </c>
      <c r="C113" s="42" t="n">
        <v>46407</v>
      </c>
      <c r="D113" s="43" t="inlineStr">
        <is>
          <t>Milestone Diagnostic #4: Advanced Range Queries &amp; Graph Topologies (3 unlabelled problems)</t>
        </is>
      </c>
      <c r="E113" s="43" t="inlineStr">
        <is>
          <t>Diagnostic</t>
        </is>
      </c>
      <c r="F113" s="43" t="inlineStr">
        <is>
          <t>Performance under strict time limit on high-complexity problems</t>
        </is>
      </c>
      <c r="G113" s="43" t="inlineStr">
        <is>
          <t>NO</t>
        </is>
      </c>
      <c r="H113" s="43" t="inlineStr">
        <is>
          <t>-</t>
        </is>
      </c>
      <c r="I113" s="41" t="inlineStr"/>
      <c r="J113" s="43" t="inlineStr">
        <is>
          <t>Diagnostic</t>
        </is>
      </c>
      <c r="K113" s="43" t="inlineStr">
        <is>
          <t>None</t>
        </is>
      </c>
      <c r="L113" s="43" t="inlineStr">
        <is>
          <t>Diagnostic 4: LC 315, LC 1192, LC 715 (unlabelled, 105 min)</t>
        </is>
      </c>
      <c r="M113" s="41" t="inlineStr">
        <is>
          <t>H</t>
        </is>
      </c>
      <c r="N113" s="41" t="n">
        <v>105</v>
      </c>
      <c r="O113" s="43" t="inlineStr">
        <is>
          <t>Error log + weakness classification in FailureLog</t>
        </is>
      </c>
      <c r="P113" s="41" t="inlineStr">
        <is>
          <t>-</t>
        </is>
      </c>
      <c r="Q113" s="41" t="n">
        <v>25</v>
      </c>
      <c r="R113" s="43" t="inlineStr">
        <is>
          <t>-</t>
        </is>
      </c>
      <c r="S113" s="43" t="inlineStr">
        <is>
          <t>Fill diagnostic score in MockInterviews; record time-to-pattern for each problem</t>
        </is>
      </c>
      <c r="T113" s="43" t="inlineStr">
        <is>
          <t>Did you identify the Tarjan / BIT / Interval invariants in under 6 minutes each?</t>
        </is>
      </c>
      <c r="U113" s="43" t="inlineStr">
        <is>
          <t>Systems interview diagnostic</t>
        </is>
      </c>
      <c r="V113" s="43" t="inlineStr">
        <is>
          <t>High-pressure synthesis</t>
        </is>
      </c>
      <c r="W113" s="41" t="n"/>
      <c r="X113" s="41" t="n"/>
      <c r="Y113" s="43" t="n"/>
      <c r="Z113" s="43" t="n"/>
      <c r="AA113" s="41" t="n"/>
      <c r="AB113" s="46" t="inlineStr">
        <is>
          <t>—</t>
        </is>
      </c>
    </row>
    <row r="114" ht="56" customHeight="1">
      <c r="A114" s="35" t="n">
        <v>113</v>
      </c>
      <c r="B114" s="35" t="n">
        <v>17</v>
      </c>
      <c r="C114" s="36" t="n">
        <v>46408</v>
      </c>
      <c r="D114" s="37" t="inlineStr">
        <is>
          <t>Hardware Reality: Memory hierarchy, CPU cache lines (64 bytes), spatial vs temporal locality</t>
        </is>
      </c>
      <c r="E114" s="37" t="inlineStr">
        <is>
          <t>Hardware / Cache calibration</t>
        </is>
      </c>
      <c r="F114" s="37" t="inlineStr">
        <is>
          <t>L1/L2/L3 cache latency vs RAM; cache-miss penalties; why B-Trees beat BSTs on modern CPUs; contiguous arrays</t>
        </is>
      </c>
      <c r="G114" s="37" t="inlineStr">
        <is>
          <t>YES</t>
        </is>
      </c>
      <c r="H114" s="38">
        <f>HYPERLINK("https://www.youtube.com/watch?v=rX0ItVEVjHc", "What Every Programmer Should Know About Memory (Algorithmic Summary)")</f>
        <v/>
      </c>
      <c r="I114" s="35" t="n">
        <v>25</v>
      </c>
      <c r="J114" s="37" t="inlineStr">
        <is>
          <t>Untimed</t>
        </is>
      </c>
      <c r="K114" s="37" t="inlineStr">
        <is>
          <t>Tutorial only</t>
        </is>
      </c>
      <c r="L114" s="37" t="inlineStr">
        <is>
          <t>LC 498 Diagonal Traverse (Cache locality benchmark: row-major vs strided)</t>
        </is>
      </c>
      <c r="M114" s="35" t="inlineStr">
        <is>
          <t>M</t>
        </is>
      </c>
      <c r="N114" s="35" t="n">
        <v>25</v>
      </c>
      <c r="O114" s="37" t="inlineStr">
        <is>
          <t>LC 566 Reshape the Matrix</t>
        </is>
      </c>
      <c r="P114" s="35" t="inlineStr">
        <is>
          <t>E</t>
        </is>
      </c>
      <c r="Q114" s="35" t="n">
        <v>15</v>
      </c>
      <c r="R114" s="37" t="inlineStr">
        <is>
          <t>LC 1192 Critical Connections in a Network</t>
        </is>
      </c>
      <c r="S114" s="37" t="inlineStr">
        <is>
          <t>Write down the latency hierarchy table: L1 (1ns), L2 (4ns), L3 (12ns), DRAM (60ns), SSD (10us), Network (1ms)</t>
        </is>
      </c>
      <c r="T114" s="37" t="inlineStr">
        <is>
          <t>Can you explain why traversing a 2D array column-by-column is 10x slower than row-by-row?</t>
        </is>
      </c>
      <c r="U114" s="37" t="inlineStr">
        <is>
          <t>Tensor memory strides, GPU shared-memory bank conflicts, cache-line bouncing</t>
        </is>
      </c>
      <c r="V114" s="37" t="inlineStr">
        <is>
          <t>Hardware-aware derivation</t>
        </is>
      </c>
      <c r="W114" s="35" t="n"/>
      <c r="X114" s="35" t="n"/>
      <c r="Y114" s="37" t="n"/>
      <c r="Z114" s="37" t="n"/>
      <c r="AA114" s="35" t="n"/>
      <c r="AB114" s="39">
        <f>HYPERLINK("https://www.youtube.com/watch?v=rX0ItVEVjHc", "▶ Watch (CppCon) ↗")</f>
        <v/>
      </c>
    </row>
    <row r="115" ht="56" customHeight="1">
      <c r="A115" s="35" t="n">
        <v>114</v>
      </c>
      <c r="B115" s="35" t="n">
        <v>17</v>
      </c>
      <c r="C115" s="36" t="n">
        <v>46409</v>
      </c>
      <c r="D115" s="37" t="inlineStr">
        <is>
          <t>Robin Hood Hashing &amp; Cuckoo Hashing: Eliminating tail latency in hash tables</t>
        </is>
      </c>
      <c r="E115" s="37" t="inlineStr">
        <is>
          <t>High-performance hashing</t>
        </is>
      </c>
      <c r="F115" s="37" t="inlineStr">
        <is>
          <t>Linear probing variance; Robin Hood displacement; Cuckoo two-hash constant O(1) worst-case lookups</t>
        </is>
      </c>
      <c r="G115" s="37" t="inlineStr">
        <is>
          <t>YES</t>
        </is>
      </c>
      <c r="H115" s="38">
        <f>HYPERLINK("https://www.youtube.com/watch?v=ncHmEUmJZf4", "Robin Hood &amp; Cuckoo Hashing explained")</f>
        <v/>
      </c>
      <c r="I115" s="35" t="n">
        <v>25</v>
      </c>
      <c r="J115" s="37" t="inlineStr">
        <is>
          <t>Untimed</t>
        </is>
      </c>
      <c r="K115" s="37" t="inlineStr">
        <is>
          <t>1 hint @20min</t>
        </is>
      </c>
      <c r="L115" s="37" t="inlineStr">
        <is>
          <t>Design a Robin Hood Hash Map simulator with collision shift</t>
        </is>
      </c>
      <c r="M115" s="35" t="inlineStr">
        <is>
          <t>M</t>
        </is>
      </c>
      <c r="N115" s="35" t="n">
        <v>35</v>
      </c>
      <c r="O115" s="37" t="inlineStr">
        <is>
          <t>LC 706 Design HashMap</t>
        </is>
      </c>
      <c r="P115" s="35" t="inlineStr">
        <is>
          <t>E</t>
        </is>
      </c>
      <c r="Q115" s="35" t="n">
        <v>15</v>
      </c>
      <c r="R115" s="37" t="inlineStr">
        <is>
          <t>LC 498 Diagonal Traverse</t>
        </is>
      </c>
      <c r="S115" s="37" t="inlineStr">
        <is>
          <t>Explain the 'take from the rich, give to the poor' probe length invariant</t>
        </is>
      </c>
      <c r="T115" s="37" t="inlineStr">
        <is>
          <t>Why does Robin Hood hashing dramatically reduce variance in query latency?</t>
        </is>
      </c>
      <c r="U115" s="37" t="inlineStr">
        <is>
          <t>High-throughput in-memory key-value caches (Memcached, Redis, RocksDB block cache)</t>
        </is>
      </c>
      <c r="V115" s="37" t="inlineStr">
        <is>
          <t>Collision minimization</t>
        </is>
      </c>
      <c r="W115" s="35" t="n"/>
      <c r="X115" s="35" t="n"/>
      <c r="Y115" s="37" t="n"/>
      <c r="Z115" s="37" t="n"/>
      <c r="AA115" s="35" t="n"/>
      <c r="AB115" s="39">
        <f>HYPERLINK("https://www.youtube.com/watch?v=ncHmEUmJZf4", "▶ Watch (Matt Kulukundis) ↗")</f>
        <v/>
      </c>
    </row>
    <row r="116" ht="56" customHeight="1">
      <c r="A116" s="35" t="n">
        <v>115</v>
      </c>
      <c r="B116" s="35" t="n">
        <v>17</v>
      </c>
      <c r="C116" s="36" t="n">
        <v>46410</v>
      </c>
      <c r="D116" s="37" t="inlineStr">
        <is>
          <t>Radix Trees &amp; Compressed Tries: Memory-efficient prefix lookups</t>
        </is>
      </c>
      <c r="E116" s="37" t="inlineStr">
        <is>
          <t>Radix tree / Patricia</t>
        </is>
      </c>
      <c r="F116" s="37" t="inlineStr">
        <is>
          <t>Edge compression; path merging; space reduction from O(|alphabet| * N) to O(N); bitwise radix indexing</t>
        </is>
      </c>
      <c r="G116" s="37" t="inlineStr">
        <is>
          <t>YES</t>
        </is>
      </c>
      <c r="H116" s="38">
        <f>HYPERLINK("https://www.youtube.com/watch?v=T0yzrZL1py0", "Radix Trees (Patricia Tries) in Linux Kernel &amp; IP routing")</f>
        <v/>
      </c>
      <c r="I116" s="35" t="n">
        <v>20</v>
      </c>
      <c r="J116" s="37" t="inlineStr">
        <is>
          <t>Untimed</t>
        </is>
      </c>
      <c r="K116" s="37" t="inlineStr">
        <is>
          <t>1 hint @20min</t>
        </is>
      </c>
      <c r="L116" s="37" t="inlineStr">
        <is>
          <t>LC 421 Maximum XOR of Two Numbers in an Array</t>
        </is>
      </c>
      <c r="M116" s="35" t="inlineStr">
        <is>
          <t>M</t>
        </is>
      </c>
      <c r="N116" s="35" t="n">
        <v>30</v>
      </c>
      <c r="O116" s="37" t="inlineStr">
        <is>
          <t>LC 1803 Count Pairs With XOR in a Range</t>
        </is>
      </c>
      <c r="P116" s="35" t="inlineStr">
        <is>
          <t>H</t>
        </is>
      </c>
      <c r="Q116" s="35" t="n">
        <v>35</v>
      </c>
      <c r="R116" s="37" t="inlineStr">
        <is>
          <t>LC 706 Design HashMap</t>
        </is>
      </c>
      <c r="S116" s="37" t="inlineStr">
        <is>
          <t>Explain how a 32-bit binary radix tree allows O(1) word-length XOR prefix queries</t>
        </is>
      </c>
      <c r="T116" s="37" t="inlineStr">
        <is>
          <t>Can you draw a compressed radix tree node vs standard trie node?</t>
        </is>
      </c>
      <c r="U116" s="37" t="inlineStr">
        <is>
          <t>Linux kernel page table lookups, CIDR network routing tables, subword vocabularies</t>
        </is>
      </c>
      <c r="V116" s="37" t="inlineStr">
        <is>
          <t>Prefix compression</t>
        </is>
      </c>
      <c r="W116" s="35" t="n"/>
      <c r="X116" s="35" t="n"/>
      <c r="Y116" s="37" t="n"/>
      <c r="Z116" s="37" t="n"/>
      <c r="AA116" s="35" t="n"/>
      <c r="AB116" s="39">
        <f>HYPERLINK("https://www.youtube.com/watch?v=T0yzrZL1py0", "▶ Watch (MIT OpenCourseWare) ↗")</f>
        <v/>
      </c>
    </row>
    <row r="117" ht="56" customHeight="1">
      <c r="A117" s="35" t="n">
        <v>116</v>
      </c>
      <c r="B117" s="35" t="n">
        <v>17</v>
      </c>
      <c r="C117" s="36" t="n">
        <v>46411</v>
      </c>
      <c r="D117" s="37" t="inlineStr">
        <is>
          <t>Bitsets &amp; Bloom Filters: Probabilistic set membership with zero memory footprint</t>
        </is>
      </c>
      <c r="E117" s="37" t="inlineStr">
        <is>
          <t>Bloom filter / Bit manipulation</t>
        </is>
      </c>
      <c r="F117" s="37" t="inlineStr">
        <is>
          <t>m-bit array with k independent hash functions; false positive rate formula (1 - e^(-kn/m))^k; no false negatives</t>
        </is>
      </c>
      <c r="G117" s="37" t="inlineStr">
        <is>
          <t>YES</t>
        </is>
      </c>
      <c r="H117" s="38">
        <f>HYPERLINK("https://www.youtube.com/watch?v=V3pzxngeLqw", "Bloom Filters: Math, Mechanics &amp; Applications in Big Data")</f>
        <v/>
      </c>
      <c r="I117" s="35" t="n">
        <v>25</v>
      </c>
      <c r="J117" s="37" t="inlineStr">
        <is>
          <t>Untimed</t>
        </is>
      </c>
      <c r="K117" s="37" t="inlineStr">
        <is>
          <t>1 hint @20min</t>
        </is>
      </c>
      <c r="L117" s="37" t="inlineStr">
        <is>
          <t>Implement a Bloom Filter with optimal k = (m/n) * ln(2)</t>
        </is>
      </c>
      <c r="M117" s="35" t="inlineStr">
        <is>
          <t>M</t>
        </is>
      </c>
      <c r="N117" s="35" t="n">
        <v>30</v>
      </c>
      <c r="O117" s="37" t="inlineStr">
        <is>
          <t>LC 187 Repeated DNA Sequences (Bitmask hashing)</t>
        </is>
      </c>
      <c r="P117" s="35" t="inlineStr">
        <is>
          <t>M</t>
        </is>
      </c>
      <c r="Q117" s="35" t="n">
        <v>25</v>
      </c>
      <c r="R117" s="37" t="inlineStr">
        <is>
          <t>LC 421 Maximum XOR of Two Numbers in an Array</t>
        </is>
      </c>
      <c r="S117" s="37" t="inlineStr">
        <is>
          <t>Derive the optimal number of hash functions k for a Bloom filter given bit size m and element count n</t>
        </is>
      </c>
      <c r="T117" s="37" t="inlineStr">
        <is>
          <t>Why can a Bloom filter never yield a false negative? Explain the bitwise proof.</t>
        </is>
      </c>
      <c r="U117" s="37" t="inlineStr">
        <is>
          <t>SSTable disk-read avoidance in Cassandra/BigTable, web-crawler URL dedup, prompt cache filtering</t>
        </is>
      </c>
      <c r="V117" s="37" t="inlineStr">
        <is>
          <t>Probabilistic filtering</t>
        </is>
      </c>
      <c r="W117" s="35" t="n"/>
      <c r="X117" s="35" t="n"/>
      <c r="Y117" s="37" t="n"/>
      <c r="Z117" s="37" t="n"/>
      <c r="AA117" s="35" t="n"/>
      <c r="AB117" s="39">
        <f>HYPERLINK("https://www.youtube.com/watch?v=V3pzxngeLqw", "▶ Watch (ByteByteGo) ↗")</f>
        <v/>
      </c>
    </row>
    <row r="118" ht="56" customHeight="1">
      <c r="A118" s="35" t="n">
        <v>117</v>
      </c>
      <c r="B118" s="35" t="n">
        <v>17</v>
      </c>
      <c r="C118" s="36" t="n">
        <v>46412</v>
      </c>
      <c r="D118" s="37" t="inlineStr">
        <is>
          <t>Blind Cache-Conscious Session: Memory layout vs Pointer structures</t>
        </is>
      </c>
      <c r="E118" s="37" t="inlineStr">
        <is>
          <t>Blind (memory &amp; search)</t>
        </is>
      </c>
      <c r="F118" s="37" t="inlineStr">
        <is>
          <t>Evaluating pointer overhead (64-bit pointers) vs dense array representations</t>
        </is>
      </c>
      <c r="G118" s="37" t="inlineStr">
        <is>
          <t>NO</t>
        </is>
      </c>
      <c r="H118" s="37" t="inlineStr">
        <is>
          <t>-</t>
        </is>
      </c>
      <c r="I118" s="35" t="inlineStr"/>
      <c r="J118" s="37" t="inlineStr">
        <is>
          <t>Untimed</t>
        </is>
      </c>
      <c r="K118" s="37" t="inlineStr">
        <is>
          <t>No hints before 20min</t>
        </is>
      </c>
      <c r="L118" s="37" t="inlineStr">
        <is>
          <t>LC 381 Insert Delete GetRandom O(1) - Duplicates allowed</t>
        </is>
      </c>
      <c r="M118" s="35" t="inlineStr">
        <is>
          <t>H</t>
        </is>
      </c>
      <c r="N118" s="35" t="n">
        <v>35</v>
      </c>
      <c r="O118" s="37" t="inlineStr">
        <is>
          <t>LC 432 All O`one Data Structure</t>
        </is>
      </c>
      <c r="P118" s="35" t="inlineStr">
        <is>
          <t>H</t>
        </is>
      </c>
      <c r="Q118" s="35" t="n">
        <v>40</v>
      </c>
      <c r="R118" s="37" t="inlineStr">
        <is>
          <t>LC 187 Repeated DNA Sequences</t>
        </is>
      </c>
      <c r="S118" s="37" t="inlineStr">
        <is>
          <t>Write PatternCards entry for O(1) double-ended bucket structures</t>
        </is>
      </c>
      <c r="T118" s="37" t="inlineStr">
        <is>
          <t>Time-to-pattern on LC 432. Did you immediately recognize the doubly-linked bucket list + map?</t>
        </is>
      </c>
      <c r="U118" s="37" t="inlineStr">
        <is>
          <t>L1/L2 cache-friendly lookup tables; allocation-free collections</t>
        </is>
      </c>
      <c r="V118" s="37" t="inlineStr">
        <is>
          <t>Space-optimal design</t>
        </is>
      </c>
      <c r="W118" s="35" t="n"/>
      <c r="X118" s="35" t="n"/>
      <c r="Y118" s="37" t="n"/>
      <c r="Z118" s="37" t="n"/>
      <c r="AA118" s="35" t="n"/>
      <c r="AB118" s="40" t="inlineStr">
        <is>
          <t>—</t>
        </is>
      </c>
    </row>
    <row r="119" ht="56" customHeight="1">
      <c r="A119" s="35" t="n">
        <v>118</v>
      </c>
      <c r="B119" s="35" t="n">
        <v>17</v>
      </c>
      <c r="C119" s="36" t="n">
        <v>46413</v>
      </c>
      <c r="D119" s="37" t="inlineStr">
        <is>
          <t>Systems Simulation: Designing a 10M QPS In-Memory Key-Value Index</t>
        </is>
      </c>
      <c r="E119" s="37" t="inlineStr">
        <is>
          <t>Systems algorithm design</t>
        </is>
      </c>
      <c r="F119" s="37" t="inlineStr">
        <is>
          <t>Combining hash table, compact bitset, and contiguous page buffers for zero-copy lookups</t>
        </is>
      </c>
      <c r="G119" s="37" t="inlineStr">
        <is>
          <t>NO</t>
        </is>
      </c>
      <c r="H119" s="37" t="inlineStr">
        <is>
          <t>-</t>
        </is>
      </c>
      <c r="I119" s="35" t="inlineStr"/>
      <c r="J119" s="37" t="inlineStr">
        <is>
          <t>Timed-60</t>
        </is>
      </c>
      <c r="K119" s="37" t="inlineStr">
        <is>
          <t>None</t>
        </is>
      </c>
      <c r="L119" s="37" t="inlineStr">
        <is>
          <t>LC 588 Design In-Memory File System</t>
        </is>
      </c>
      <c r="M119" s="35" t="inlineStr">
        <is>
          <t>H</t>
        </is>
      </c>
      <c r="N119" s="35" t="n">
        <v>35</v>
      </c>
      <c r="O119" s="37" t="inlineStr">
        <is>
          <t>LC 1166 Design File System</t>
        </is>
      </c>
      <c r="P119" s="35" t="inlineStr">
        <is>
          <t>M</t>
        </is>
      </c>
      <c r="Q119" s="35" t="n">
        <v>20</v>
      </c>
      <c r="R119" s="37" t="inlineStr">
        <is>
          <t>LC 432 All O`one Data Structure</t>
        </is>
      </c>
      <c r="S119" s="37" t="inlineStr">
        <is>
          <t>Explain how trie-based paths map to inode structures in a distributed filesystem</t>
        </is>
      </c>
      <c r="T119" s="37" t="inlineStr">
        <is>
          <t>Did you analyze the lock granularity for path traversal vs leaf write?</t>
        </is>
      </c>
      <c r="U119" s="37" t="inlineStr">
        <is>
          <t>In-memory metadata servers (HDFS NameNode, Ceph MDS, Lustre MDT)</t>
        </is>
      </c>
      <c r="V119" s="37" t="inlineStr">
        <is>
          <t>Filesystem hierarchy modeling</t>
        </is>
      </c>
      <c r="W119" s="35" t="n"/>
      <c r="X119" s="35" t="n"/>
      <c r="Y119" s="37" t="n"/>
      <c r="Z119" s="37" t="n"/>
      <c r="AA119" s="35" t="n"/>
      <c r="AB119" s="40" t="inlineStr">
        <is>
          <t>—</t>
        </is>
      </c>
    </row>
    <row r="120" ht="56" customHeight="1">
      <c r="A120" s="35" t="n">
        <v>119</v>
      </c>
      <c r="B120" s="35" t="n">
        <v>17</v>
      </c>
      <c r="C120" s="36" t="n">
        <v>46414</v>
      </c>
      <c r="D120" s="37" t="inlineStr">
        <is>
          <t>Week 17 audit: implement Bloom Filter and Radix XOR Tree cold with no reference</t>
        </is>
      </c>
      <c r="E120" s="37" t="inlineStr">
        <is>
          <t>Review/audit</t>
        </is>
      </c>
      <c r="F120" s="37" t="inlineStr">
        <is>
          <t>Complete command of hardware-aligned and space-efficient structures</t>
        </is>
      </c>
      <c r="G120" s="37" t="inlineStr">
        <is>
          <t>NO</t>
        </is>
      </c>
      <c r="H120" s="37" t="inlineStr">
        <is>
          <t>-</t>
        </is>
      </c>
      <c r="I120" s="35" t="inlineStr"/>
      <c r="J120" s="37" t="inlineStr">
        <is>
          <t>Untimed</t>
        </is>
      </c>
      <c r="K120" s="37" t="inlineStr">
        <is>
          <t>Notes forbidden</t>
        </is>
      </c>
      <c r="L120" s="37" t="inlineStr">
        <is>
          <t>Rederive: Bloom Filter class with bitarray &amp; murmurhash simulation cold</t>
        </is>
      </c>
      <c r="M120" s="35" t="inlineStr">
        <is>
          <t>M</t>
        </is>
      </c>
      <c r="N120" s="35" t="n">
        <v>30</v>
      </c>
      <c r="O120" s="37" t="inlineStr">
        <is>
          <t>Rederive: Binary Radix Tree for maximum XOR query cold</t>
        </is>
      </c>
      <c r="P120" s="35" t="inlineStr">
        <is>
          <t>H</t>
        </is>
      </c>
      <c r="Q120" s="35" t="n">
        <v>35</v>
      </c>
      <c r="R120" s="37" t="inlineStr">
        <is>
          <t>LC 588 Design In-Memory File System</t>
        </is>
      </c>
      <c r="S120" s="37" t="inlineStr">
        <is>
          <t>Write both classes in clean code; verify edge cases (empty input, full bitset saturation)</t>
        </is>
      </c>
      <c r="T120" s="37" t="inlineStr">
        <is>
          <t>Can you explain cache-locality tradeoffs to an infra architect convincingly?</t>
        </is>
      </c>
      <c r="U120" s="37" t="inlineStr">
        <is>
          <t>Hardware-aware algorithm mastery</t>
        </is>
      </c>
      <c r="V120" s="37" t="inlineStr">
        <is>
          <t>Systems memory fluency</t>
        </is>
      </c>
      <c r="W120" s="35" t="n"/>
      <c r="X120" s="35" t="n"/>
      <c r="Y120" s="37" t="n"/>
      <c r="Z120" s="37" t="n"/>
      <c r="AA120" s="35" t="n"/>
      <c r="AB120" s="40" t="inlineStr">
        <is>
          <t>—</t>
        </is>
      </c>
    </row>
    <row r="121" ht="56" customHeight="1">
      <c r="A121" s="41" t="n">
        <v>120</v>
      </c>
      <c r="B121" s="41" t="n">
        <v>18</v>
      </c>
      <c r="C121" s="42" t="n">
        <v>46415</v>
      </c>
      <c r="D121" s="43" t="inlineStr">
        <is>
          <t>KMP (Knuth-Morris-Pratt): Prefix function pi and linear string matching</t>
        </is>
      </c>
      <c r="E121" s="43" t="inlineStr">
        <is>
          <t>KMP pattern matching</t>
        </is>
      </c>
      <c r="F121" s="43" t="inlineStr">
        <is>
          <t>Longest proper prefix that is also suffix; deterministic state transitions; never backtracking the text pointer</t>
        </is>
      </c>
      <c r="G121" s="43" t="inlineStr">
        <is>
          <t>YES</t>
        </is>
      </c>
      <c r="H121" s="44">
        <f>HYPERLINK("https://www.youtube.com/watch?v=V5-7GzOfADQ", "KMP Algorithm: Prefix function and linear matching proof")</f>
        <v/>
      </c>
      <c r="I121" s="41" t="n">
        <v>25</v>
      </c>
      <c r="J121" s="43" t="inlineStr">
        <is>
          <t>Untimed</t>
        </is>
      </c>
      <c r="K121" s="43" t="inlineStr">
        <is>
          <t>1 hint @20min</t>
        </is>
      </c>
      <c r="L121" s="43" t="inlineStr">
        <is>
          <t>LC 28 Find the Index of the First Occurrence in a String</t>
        </is>
      </c>
      <c r="M121" s="41" t="inlineStr">
        <is>
          <t>E</t>
        </is>
      </c>
      <c r="N121" s="41" t="n">
        <v>15</v>
      </c>
      <c r="O121" s="43" t="inlineStr">
        <is>
          <t>LC 214 Shortest Palindrome</t>
        </is>
      </c>
      <c r="P121" s="41" t="inlineStr">
        <is>
          <t>H</t>
        </is>
      </c>
      <c r="Q121" s="41" t="n">
        <v>35</v>
      </c>
      <c r="R121" s="43" t="inlineStr">
        <is>
          <t>LC 381 Insert Delete GetRandom O(1) - Duplicates</t>
        </is>
      </c>
      <c r="S121" s="43" t="inlineStr">
        <is>
          <t>Derive the prefix function pi computation loop from memory; explain the amortized O(n) argument</t>
        </is>
      </c>
      <c r="T121" s="43" t="inlineStr">
        <is>
          <t>Why does the j = pi[j-1] fallback guarantee we never decrement the main text pointer i?</t>
        </is>
      </c>
      <c r="U121" s="43" t="inlineStr">
        <is>
          <t>Deep packet inspection in networking switches; streaming sequence filtering in data ingestion</t>
        </is>
      </c>
      <c r="V121" s="43" t="inlineStr">
        <is>
          <t>Linear automaton matching</t>
        </is>
      </c>
      <c r="W121" s="41" t="n"/>
      <c r="X121" s="41" t="n"/>
      <c r="Y121" s="43" t="n"/>
      <c r="Z121" s="43" t="n"/>
      <c r="AA121" s="41" t="n"/>
      <c r="AB121" s="45">
        <f>HYPERLINK("https://www.youtube.com/watch?v=V5-7GzOfADQ", "▶ Watch (Abdul Bari) ↗")</f>
        <v/>
      </c>
    </row>
    <row r="122" ht="56" customHeight="1">
      <c r="A122" s="41" t="n">
        <v>121</v>
      </c>
      <c r="B122" s="41" t="n">
        <v>18</v>
      </c>
      <c r="C122" s="42" t="n">
        <v>46416</v>
      </c>
      <c r="D122" s="43" t="inlineStr">
        <is>
          <t>Z-Algorithm &amp; Polynomial Rolling Hash (Rabin-Karp)</t>
        </is>
      </c>
      <c r="E122" s="43" t="inlineStr">
        <is>
          <t>Z-algorithm / Rolling hash</t>
        </is>
      </c>
      <c r="F122" s="43" t="inlineStr">
        <is>
          <t>Z-box [l, r] maintenance; segment matching; hash collisions; double hashing mod (10^9+7, 10^9+9)</t>
        </is>
      </c>
      <c r="G122" s="43" t="inlineStr">
        <is>
          <t>YES</t>
        </is>
      </c>
      <c r="H122" s="44">
        <f>HYPERLINK("https://www.youtube.com/watch?v=CpZh4eF8QBw", "Z-Algorithm and Rolling Hashes explained")</f>
        <v/>
      </c>
      <c r="I122" s="41" t="n">
        <v>25</v>
      </c>
      <c r="J122" s="43" t="inlineStr">
        <is>
          <t>Untimed</t>
        </is>
      </c>
      <c r="K122" s="43" t="inlineStr">
        <is>
          <t>1 hint @20min</t>
        </is>
      </c>
      <c r="L122" s="43" t="inlineStr">
        <is>
          <t>LC 1392 Longest Happy Prefix</t>
        </is>
      </c>
      <c r="M122" s="41" t="inlineStr">
        <is>
          <t>H</t>
        </is>
      </c>
      <c r="N122" s="41" t="n">
        <v>30</v>
      </c>
      <c r="O122" s="43" t="inlineStr">
        <is>
          <t>LC 1044 Longest Duplicate Substring</t>
        </is>
      </c>
      <c r="P122" s="41" t="inlineStr">
        <is>
          <t>H</t>
        </is>
      </c>
      <c r="Q122" s="41" t="n">
        <v>40</v>
      </c>
      <c r="R122" s="43" t="inlineStr">
        <is>
          <t>LC 214 Shortest Palindrome</t>
        </is>
      </c>
      <c r="S122" s="43" t="inlineStr">
        <is>
          <t>Write polynomial rolling hash function with base and modulo from memory; explain sliding window hash update</t>
        </is>
      </c>
      <c r="T122" s="43" t="inlineStr">
        <is>
          <t>How do you remove the oldest character hash in O(1) when sliding the window?</t>
        </is>
      </c>
      <c r="U122" s="43" t="inlineStr">
        <is>
          <t>Content-defined chunking (Rabin fingerprints) in distributed deduplication storage</t>
        </is>
      </c>
      <c r="V122" s="43" t="inlineStr">
        <is>
          <t>Subquadratic sequence search</t>
        </is>
      </c>
      <c r="W122" s="41" t="n"/>
      <c r="X122" s="41" t="n"/>
      <c r="Y122" s="43" t="n"/>
      <c r="Z122" s="43" t="n"/>
      <c r="AA122" s="41" t="n"/>
      <c r="AB122" s="45">
        <f>HYPERLINK("https://www.youtube.com/watch?v=CpZh4eF8QBw", "▶ Watch (Abdul Bari) ↗")</f>
        <v/>
      </c>
    </row>
    <row r="123" ht="56" customHeight="1">
      <c r="A123" s="41" t="n">
        <v>122</v>
      </c>
      <c r="B123" s="41" t="n">
        <v>18</v>
      </c>
      <c r="C123" s="42" t="n">
        <v>46417</v>
      </c>
      <c r="D123" s="43" t="inlineStr">
        <is>
          <t>Aho-Corasick Multi-Pattern Automaton: Matching dictionary of patterns in single pass</t>
        </is>
      </c>
      <c r="E123" s="43" t="inlineStr">
        <is>
          <t>Aho-Corasick automaton</t>
        </is>
      </c>
      <c r="F123" s="43" t="inlineStr">
        <is>
          <t>Trie + BFS-constructed failure links and output links; generalized KMP on a tree; O(text + matches)</t>
        </is>
      </c>
      <c r="G123" s="43" t="inlineStr">
        <is>
          <t>YES</t>
        </is>
      </c>
      <c r="H123" s="44">
        <f>HYPERLINK("https://www.youtube.com/watch?v=XWujo7KQL54", "Aho-Corasick Multi-String Search Algorithm")</f>
        <v/>
      </c>
      <c r="I123" s="41" t="n">
        <v>25</v>
      </c>
      <c r="J123" s="43" t="inlineStr">
        <is>
          <t>Untimed</t>
        </is>
      </c>
      <c r="K123" s="43" t="inlineStr">
        <is>
          <t>1 hint @20min</t>
        </is>
      </c>
      <c r="L123" s="43" t="inlineStr">
        <is>
          <t>LC 1032 Stream of Characters</t>
        </is>
      </c>
      <c r="M123" s="41" t="inlineStr">
        <is>
          <t>H</t>
        </is>
      </c>
      <c r="N123" s="41" t="n">
        <v>35</v>
      </c>
      <c r="O123" s="43" t="inlineStr">
        <is>
          <t>LC 1408 String Matching in an Array</t>
        </is>
      </c>
      <c r="P123" s="41" t="inlineStr">
        <is>
          <t>E</t>
        </is>
      </c>
      <c r="Q123" s="41" t="n">
        <v>15</v>
      </c>
      <c r="R123" s="43" t="inlineStr">
        <is>
          <t>LC 1392 Longest Happy Prefix</t>
        </is>
      </c>
      <c r="S123" s="43" t="inlineStr">
        <is>
          <t>Explain the failure link invariant: what does the failure link of node u point to?</t>
        </is>
      </c>
      <c r="T123" s="43" t="inlineStr">
        <is>
          <t>Why is Aho-Corasick optimal for matching 10,000 bad words against a streaming prompt?</t>
        </is>
      </c>
      <c r="U123" s="43" t="inlineStr">
        <is>
          <t>Prompt safety guardrails, regex engine compilation, intrusion detection packet matchers</t>
        </is>
      </c>
      <c r="V123" s="43" t="inlineStr">
        <is>
          <t>Multi-pattern automaton</t>
        </is>
      </c>
      <c r="W123" s="41" t="n"/>
      <c r="X123" s="41" t="n"/>
      <c r="Y123" s="43" t="n"/>
      <c r="Z123" s="43" t="n"/>
      <c r="AA123" s="41" t="n"/>
      <c r="AB123" s="45">
        <f>HYPERLINK("https://www.youtube.com/watch?v=XWujo7KQL54", "▶ Watch (ComputerBread) ↗")</f>
        <v/>
      </c>
    </row>
    <row r="124" ht="56" customHeight="1">
      <c r="A124" s="41" t="n">
        <v>123</v>
      </c>
      <c r="B124" s="41" t="n">
        <v>18</v>
      </c>
      <c r="C124" s="42" t="n">
        <v>46418</v>
      </c>
      <c r="D124" s="43" t="inlineStr">
        <is>
          <t>Byte-Pair Encoding (BPE) Algorithmic Mechanics: Subword Tokenization</t>
        </is>
      </c>
      <c r="E124" s="43" t="inlineStr">
        <is>
          <t>Tokenizer algorithms</t>
        </is>
      </c>
      <c r="F124" s="43" t="inlineStr">
        <is>
          <t>Greedy pair-frequency counts; min-heap/priority queue of merge candidates; linked-list token merging</t>
        </is>
      </c>
      <c r="G124" s="43" t="inlineStr">
        <is>
          <t>YES</t>
        </is>
      </c>
      <c r="H124" s="44">
        <f>HYPERLINK("https://www.youtube.com/watch?v=zduSFxRajkE", "How GPT Tokenizers Work: The Byte-Pair Encoding Algorithm")</f>
        <v/>
      </c>
      <c r="I124" s="41" t="n">
        <v>25</v>
      </c>
      <c r="J124" s="43" t="inlineStr">
        <is>
          <t>Untimed</t>
        </is>
      </c>
      <c r="K124" s="43" t="inlineStr">
        <is>
          <t>1 hint @20min</t>
        </is>
      </c>
      <c r="L124" s="43" t="inlineStr">
        <is>
          <t>Implement a minimal BPE Tokenizer training loop with pair counting</t>
        </is>
      </c>
      <c r="M124" s="41" t="inlineStr">
        <is>
          <t>M</t>
        </is>
      </c>
      <c r="N124" s="41" t="n">
        <v>35</v>
      </c>
      <c r="O124" s="43" t="inlineStr">
        <is>
          <t>LC 1163 Last Substring in Lexicographical Order</t>
        </is>
      </c>
      <c r="P124" s="41" t="inlineStr">
        <is>
          <t>H</t>
        </is>
      </c>
      <c r="Q124" s="41" t="n">
        <v>35</v>
      </c>
      <c r="R124" s="43" t="inlineStr">
        <is>
          <t>LC 1032 Stream of Characters</t>
        </is>
      </c>
      <c r="S124" s="43" t="inlineStr">
        <is>
          <t>Explain the algorithmic complexity of training BPE with V merges on text of length N</t>
        </is>
      </c>
      <c r="T124" s="43" t="inlineStr">
        <is>
          <t>Can you write the doubly-linked-list node merging logic for BPE without index corruption?</t>
        </is>
      </c>
      <c r="U124" s="43" t="inlineStr">
        <is>
          <t>LLM tokenization throughput, vocabulary compression, input token pre-processing pipelines</t>
        </is>
      </c>
      <c r="V124" s="43" t="inlineStr">
        <is>
          <t>Subword sequence modeling</t>
        </is>
      </c>
      <c r="W124" s="41" t="n"/>
      <c r="X124" s="41" t="n"/>
      <c r="Y124" s="43" t="n"/>
      <c r="Z124" s="43" t="n"/>
      <c r="AA124" s="41" t="n"/>
      <c r="AB124" s="45">
        <f>HYPERLINK("https://www.youtube.com/watch?v=zduSFxRajkE", "▶ Watch (Andrej Karpathy) ↗")</f>
        <v/>
      </c>
    </row>
    <row r="125" ht="56" customHeight="1">
      <c r="A125" s="41" t="n">
        <v>124</v>
      </c>
      <c r="B125" s="41" t="n">
        <v>18</v>
      </c>
      <c r="C125" s="42" t="n">
        <v>46419</v>
      </c>
      <c r="D125" s="43" t="inlineStr">
        <is>
          <t>Suffix Arrays &amp; Longest Common Prefix (LCP) Array (Kasai's Algorithm)</t>
        </is>
      </c>
      <c r="E125" s="43" t="inlineStr">
        <is>
          <t>Suffix array / LCP</t>
        </is>
      </c>
      <c r="F125" s="43" t="inlineStr">
        <is>
          <t>Sorted suffixes of string; Kasai's O(n) height array derivation; range minimum query on LCP</t>
        </is>
      </c>
      <c r="G125" s="43" t="inlineStr">
        <is>
          <t>YES</t>
        </is>
      </c>
      <c r="H125" s="44">
        <f>HYPERLINK("https://www.youtube.com/watch?v=zqKlL3ZpTqs", "Suffix Arrays &amp; Kasai's LCP Algorithm")</f>
        <v/>
      </c>
      <c r="I125" s="41" t="n">
        <v>25</v>
      </c>
      <c r="J125" s="43" t="inlineStr">
        <is>
          <t>Untimed</t>
        </is>
      </c>
      <c r="K125" s="43" t="inlineStr">
        <is>
          <t>1 hint @20min</t>
        </is>
      </c>
      <c r="L125" s="43" t="inlineStr">
        <is>
          <t>LC 1754 Largest Merge Of Two Strings</t>
        </is>
      </c>
      <c r="M125" s="41" t="inlineStr">
        <is>
          <t>M</t>
        </is>
      </c>
      <c r="N125" s="41" t="n">
        <v>25</v>
      </c>
      <c r="O125" s="43" t="inlineStr">
        <is>
          <t>LC 745 Prefix and Suffix Search</t>
        </is>
      </c>
      <c r="P125" s="41" t="inlineStr">
        <is>
          <t>H</t>
        </is>
      </c>
      <c r="Q125" s="41" t="n">
        <v>35</v>
      </c>
      <c r="R125" s="43" t="inlineStr">
        <is>
          <t>LC 1163 Last Substring in Lexicographical Order</t>
        </is>
      </c>
      <c r="S125" s="43" t="inlineStr">
        <is>
          <t>Explain why Kasai's algorithm computes LCPs in O(n) by demonstrating h &gt;= h_prev - 1</t>
        </is>
      </c>
      <c r="T125" s="43" t="inlineStr">
        <is>
          <t>Did you prove why the LCP between any two suffixes is the range minimum in the LCP array?</t>
        </is>
      </c>
      <c r="U125" s="43" t="inlineStr">
        <is>
          <t>Genomic sequence alignment, code duplicate detection across repository scale</t>
        </is>
      </c>
      <c r="V125" s="43" t="inlineStr">
        <is>
          <t>Suffix permutation analytics</t>
        </is>
      </c>
      <c r="W125" s="41" t="n"/>
      <c r="X125" s="41" t="n"/>
      <c r="Y125" s="43" t="n"/>
      <c r="Z125" s="43" t="n"/>
      <c r="AA125" s="41" t="n"/>
      <c r="AB125" s="45">
        <f>HYPERLINK("https://www.youtube.com/watch?v=zqKlL3ZpTqs", "▶ Watch (WilliamFiset) ↗")</f>
        <v/>
      </c>
    </row>
    <row r="126" ht="56" customHeight="1">
      <c r="A126" s="41" t="n">
        <v>125</v>
      </c>
      <c r="B126" s="41" t="n">
        <v>18</v>
      </c>
      <c r="C126" s="42" t="n">
        <v>46420</v>
      </c>
      <c r="D126" s="43" t="inlineStr">
        <is>
          <t>Blind Sequence &amp; String Matching Session</t>
        </is>
      </c>
      <c r="E126" s="43" t="inlineStr">
        <is>
          <t>Blind (string algorithms)</t>
        </is>
      </c>
      <c r="F126" s="43" t="inlineStr">
        <is>
          <t>Identifying whether a problem requires KMP, Z-Algorithm, Rolling Hash, or Trie</t>
        </is>
      </c>
      <c r="G126" s="43" t="inlineStr">
        <is>
          <t>NO</t>
        </is>
      </c>
      <c r="H126" s="43" t="inlineStr">
        <is>
          <t>-</t>
        </is>
      </c>
      <c r="I126" s="41" t="inlineStr"/>
      <c r="J126" s="43" t="inlineStr">
        <is>
          <t>Untimed</t>
        </is>
      </c>
      <c r="K126" s="43" t="inlineStr">
        <is>
          <t>No hints before 20min</t>
        </is>
      </c>
      <c r="L126" s="43" t="inlineStr">
        <is>
          <t>LC 686 Repeated String Match</t>
        </is>
      </c>
      <c r="M126" s="41" t="inlineStr">
        <is>
          <t>M</t>
        </is>
      </c>
      <c r="N126" s="41" t="n">
        <v>25</v>
      </c>
      <c r="O126" s="43" t="inlineStr">
        <is>
          <t>LC 472 Concatenated Words</t>
        </is>
      </c>
      <c r="P126" s="41" t="inlineStr">
        <is>
          <t>H</t>
        </is>
      </c>
      <c r="Q126" s="41" t="n">
        <v>35</v>
      </c>
      <c r="R126" s="43" t="inlineStr">
        <is>
          <t>LC 745 Prefix and Suffix Search</t>
        </is>
      </c>
      <c r="S126" s="43" t="inlineStr">
        <is>
          <t>Write PatternCards entry for multi-pattern search vs single-pattern search</t>
        </is>
      </c>
      <c r="T126" s="43" t="inlineStr">
        <is>
          <t>Time-to-pattern on LC 472. Did you use Trie + DFS with memoization?</t>
        </is>
      </c>
      <c r="U126" s="43" t="inlineStr">
        <is>
          <t>String dedup in distributed datasets</t>
        </is>
      </c>
      <c r="V126" s="43" t="inlineStr">
        <is>
          <t>Sequence matching fluency</t>
        </is>
      </c>
      <c r="W126" s="41" t="n"/>
      <c r="X126" s="41" t="n"/>
      <c r="Y126" s="43" t="n"/>
      <c r="Z126" s="43" t="n"/>
      <c r="AA126" s="41" t="n"/>
      <c r="AB126" s="46" t="inlineStr">
        <is>
          <t>—</t>
        </is>
      </c>
    </row>
    <row r="127" ht="56" customHeight="1">
      <c r="A127" s="41" t="n">
        <v>126</v>
      </c>
      <c r="B127" s="41" t="n">
        <v>18</v>
      </c>
      <c r="C127" s="42" t="n">
        <v>46421</v>
      </c>
      <c r="D127" s="43" t="inlineStr">
        <is>
          <t>Milestone Diagnostic #5: Strings, Automata &amp; Hardware Structures</t>
        </is>
      </c>
      <c r="E127" s="43" t="inlineStr">
        <is>
          <t>Diagnostic</t>
        </is>
      </c>
      <c r="F127" s="43" t="inlineStr">
        <is>
          <t>Rigorous unlabelled diagnostic covering Weeks 15 to 18</t>
        </is>
      </c>
      <c r="G127" s="43" t="inlineStr">
        <is>
          <t>NO</t>
        </is>
      </c>
      <c r="H127" s="43" t="inlineStr">
        <is>
          <t>-</t>
        </is>
      </c>
      <c r="I127" s="41" t="inlineStr"/>
      <c r="J127" s="43" t="inlineStr">
        <is>
          <t>Diagnostic</t>
        </is>
      </c>
      <c r="K127" s="43" t="inlineStr">
        <is>
          <t>None</t>
        </is>
      </c>
      <c r="L127" s="43" t="inlineStr">
        <is>
          <t>Diagnostic 5: LC 214, LC 1044, LC 1032 (unlabelled, 110 min)</t>
        </is>
      </c>
      <c r="M127" s="41" t="inlineStr">
        <is>
          <t>H</t>
        </is>
      </c>
      <c r="N127" s="41" t="n">
        <v>110</v>
      </c>
      <c r="O127" s="43" t="inlineStr">
        <is>
          <t>Error log + weakness classification in FailureLog</t>
        </is>
      </c>
      <c r="P127" s="41" t="inlineStr">
        <is>
          <t>-</t>
        </is>
      </c>
      <c r="Q127" s="41" t="n">
        <v>25</v>
      </c>
      <c r="R127" s="43" t="inlineStr">
        <is>
          <t>-</t>
        </is>
      </c>
      <c r="S127" s="43" t="inlineStr">
        <is>
          <t>Log performance in MockInterviews; update ProgressionCurve actuals</t>
        </is>
      </c>
      <c r="T127" s="43" t="inlineStr">
        <is>
          <t>Did you derive all string matches without falling back to naive O(n^2) quadratic scanning?</t>
        </is>
      </c>
      <c r="U127" s="43" t="inlineStr">
        <is>
          <t>Systems interview diagnostic</t>
        </is>
      </c>
      <c r="V127" s="43" t="inlineStr">
        <is>
          <t>High-pressure synthesis</t>
        </is>
      </c>
      <c r="W127" s="41" t="n"/>
      <c r="X127" s="41" t="n"/>
      <c r="Y127" s="43" t="n"/>
      <c r="Z127" s="43" t="n"/>
      <c r="AA127" s="41" t="n"/>
      <c r="AB127" s="46" t="inlineStr">
        <is>
          <t>—</t>
        </is>
      </c>
    </row>
    <row r="128" ht="56" customHeight="1">
      <c r="A128" s="35" t="n">
        <v>127</v>
      </c>
      <c r="B128" s="35" t="n">
        <v>19</v>
      </c>
      <c r="C128" s="36" t="n">
        <v>46422</v>
      </c>
      <c r="D128" s="37" t="inlineStr">
        <is>
          <t>Adaptive Replacement Cache (ARC): Self-tuning recency vs frequency with ghost caches</t>
        </is>
      </c>
      <c r="E128" s="37" t="inlineStr">
        <is>
          <t>Adaptive Cache (ARC)</t>
        </is>
      </c>
      <c r="F128" s="37" t="inlineStr">
        <is>
          <t>Four lists: T1 (recent), T2 (frequent), B1 (ghost recent), B2 (ghost frequent); learning parameter p adaptation</t>
        </is>
      </c>
      <c r="G128" s="37" t="inlineStr">
        <is>
          <t>YES</t>
        </is>
      </c>
      <c r="H128" s="38">
        <f>HYPERLINK("https://www.youtube.com/watch?v=Moz2AgC9hG4", "The Adaptive Replacement Cache (ARC) Paper &amp; Mechanics")</f>
        <v/>
      </c>
      <c r="I128" s="35" t="n">
        <v>25</v>
      </c>
      <c r="J128" s="37" t="inlineStr">
        <is>
          <t>Untimed</t>
        </is>
      </c>
      <c r="K128" s="37" t="inlineStr">
        <is>
          <t>1 hint @20min</t>
        </is>
      </c>
      <c r="L128" s="37" t="inlineStr">
        <is>
          <t>Simulate ARC Cache policy with target capacity c and learning parameter p</t>
        </is>
      </c>
      <c r="M128" s="35" t="inlineStr">
        <is>
          <t>H</t>
        </is>
      </c>
      <c r="N128" s="35" t="n">
        <v>45</v>
      </c>
      <c r="O128" s="37" t="inlineStr">
        <is>
          <t>LC 146 LRU Cache (Review with Doubly Linked List)</t>
        </is>
      </c>
      <c r="P128" s="35" t="inlineStr">
        <is>
          <t>M</t>
        </is>
      </c>
      <c r="Q128" s="35" t="n">
        <v>20</v>
      </c>
      <c r="R128" s="37" t="inlineStr">
        <is>
          <t>LC 472 Concatenated Words</t>
        </is>
      </c>
      <c r="S128" s="37" t="inlineStr">
        <is>
          <t>Write down the ARC adaptation rule: how does p change when a hit occurs in B1 vs B2?</t>
        </is>
      </c>
      <c r="T128" s="37" t="inlineStr">
        <is>
          <t>Why does ARC outperform both LRU and LFU across mixed sequential-scan and looping workloads?</t>
        </is>
      </c>
      <c r="U128" s="37" t="inlineStr">
        <is>
          <t>Storage engine page caches (ZFS ARC), high-performance database buffer pools</t>
        </is>
      </c>
      <c r="V128" s="37" t="inlineStr">
        <is>
          <t>Self-tuning cache design</t>
        </is>
      </c>
      <c r="W128" s="35" t="n"/>
      <c r="X128" s="35" t="n"/>
      <c r="Y128" s="37" t="n"/>
      <c r="Z128" s="37" t="n"/>
      <c r="AA128" s="35" t="n"/>
      <c r="AB128" s="39">
        <f>HYPERLINK("https://www.youtube.com/watch?v=Moz2AgC9hG4", "▶ Watch (Andy Pavlo (CMU)) ↗")</f>
        <v/>
      </c>
    </row>
    <row r="129" ht="56" customHeight="1">
      <c r="A129" s="35" t="n">
        <v>128</v>
      </c>
      <c r="B129" s="35" t="n">
        <v>19</v>
      </c>
      <c r="C129" s="36" t="n">
        <v>46423</v>
      </c>
      <c r="D129" s="37" t="inlineStr">
        <is>
          <t>2Q (Two-Queue) &amp; SLRU (Segmented LRU): Eliminating scan pollution</t>
        </is>
      </c>
      <c r="E129" s="37" t="inlineStr">
        <is>
          <t>Segmented cache</t>
        </is>
      </c>
      <c r="F129" s="37" t="inlineStr">
        <is>
          <t>A1in (FIFO queue for new pages) and Am (LRU for frequent pages); defending against one-hit wonders</t>
        </is>
      </c>
      <c r="G129" s="37" t="inlineStr">
        <is>
          <t>YES</t>
        </is>
      </c>
      <c r="H129" s="38">
        <f>HYPERLINK("https://www.youtube.com/watch?v=YZ0PndX174s", "2Q Cache Algorithm: Low Overhead High Performance Buffer Management")</f>
        <v/>
      </c>
      <c r="I129" s="35" t="n">
        <v>20</v>
      </c>
      <c r="J129" s="37" t="inlineStr">
        <is>
          <t>Untimed</t>
        </is>
      </c>
      <c r="K129" s="37" t="inlineStr">
        <is>
          <t>1 hint @20min</t>
        </is>
      </c>
      <c r="L129" s="37" t="inlineStr">
        <is>
          <t>Implement 2Q Cache simulator: FIFO queue + LRU queue + Ghost list</t>
        </is>
      </c>
      <c r="M129" s="35" t="inlineStr">
        <is>
          <t>H</t>
        </is>
      </c>
      <c r="N129" s="35" t="n">
        <v>40</v>
      </c>
      <c r="O129" s="37" t="inlineStr">
        <is>
          <t>LC 460 LFU Cache (Review with O(1) frequency buckets)</t>
        </is>
      </c>
      <c r="P129" s="35" t="inlineStr">
        <is>
          <t>H</t>
        </is>
      </c>
      <c r="Q129" s="35" t="n">
        <v>30</v>
      </c>
      <c r="R129" s="37" t="inlineStr">
        <is>
          <t>LC 146 LRU Cache</t>
        </is>
      </c>
      <c r="S129" s="37" t="inlineStr">
        <is>
          <t>Explain why a single huge sequential scan completely destroys a standard LRU cache but fails to corrupt 2Q</t>
        </is>
      </c>
      <c r="T129" s="37" t="inlineStr">
        <is>
          <t>Can you state the eviction decision flow when A1in exceeds its capacity quota?</t>
        </is>
      </c>
      <c r="U129" s="37" t="inlineStr">
        <is>
          <t>PostgreSQL shared buffers, Linux buffer cache page reclamation</t>
        </is>
      </c>
      <c r="V129" s="37" t="inlineStr">
        <is>
          <t>Scan-resistant caching</t>
        </is>
      </c>
      <c r="W129" s="35" t="n"/>
      <c r="X129" s="35" t="n"/>
      <c r="Y129" s="37" t="n"/>
      <c r="Z129" s="37" t="n"/>
      <c r="AA129" s="35" t="n"/>
      <c r="AB129" s="39">
        <f>HYPERLINK("https://www.youtube.com/watch?v=YZ0PndX174s", "▶ Watch (Techno Bytes Unlocked) ↗")</f>
        <v/>
      </c>
    </row>
    <row r="130" ht="56" customHeight="1">
      <c r="A130" s="35" t="n">
        <v>129</v>
      </c>
      <c r="B130" s="35" t="n">
        <v>19</v>
      </c>
      <c r="C130" s="36" t="n">
        <v>46424</v>
      </c>
      <c r="D130" s="37" t="inlineStr">
        <is>
          <t>Clock / Second-Chance Eviction &amp; Clock-Pro: Lock-free page replacement</t>
        </is>
      </c>
      <c r="E130" s="37" t="inlineStr">
        <is>
          <t>Clock eviction</t>
        </is>
      </c>
      <c r="F130" s="37" t="inlineStr">
        <is>
          <t>Circular buffer with a moving hand; access bit / referenced bit; clearing reference bit on rotation</t>
        </is>
      </c>
      <c r="G130" s="37" t="inlineStr">
        <is>
          <t>YES</t>
        </is>
      </c>
      <c r="H130" s="38">
        <f>HYPERLINK("https://www.youtube.com/watch?v=xMwHQJW6zbw", "Clock &amp; Clock-Pro Page Replacement Algorithms")</f>
        <v/>
      </c>
      <c r="I130" s="35" t="n">
        <v>20</v>
      </c>
      <c r="J130" s="37" t="inlineStr">
        <is>
          <t>Untimed</t>
        </is>
      </c>
      <c r="K130" s="37" t="inlineStr">
        <is>
          <t>1 hint @20min</t>
        </is>
      </c>
      <c r="L130" s="37" t="inlineStr">
        <is>
          <t>Implement Clock eviction algorithm on a circular buffer with referenced bits</t>
        </is>
      </c>
      <c r="M130" s="35" t="inlineStr">
        <is>
          <t>M</t>
        </is>
      </c>
      <c r="N130" s="35" t="n">
        <v>30</v>
      </c>
      <c r="O130" s="37" t="inlineStr">
        <is>
          <t>LC 146 LRU Cache (implement using circular array + reference bits)</t>
        </is>
      </c>
      <c r="P130" s="35" t="inlineStr">
        <is>
          <t>M</t>
        </is>
      </c>
      <c r="Q130" s="35" t="n">
        <v>25</v>
      </c>
      <c r="R130" s="37" t="inlineStr">
        <is>
          <t>LC 460 LFU Cache</t>
        </is>
      </c>
      <c r="S130" s="37" t="inlineStr">
        <is>
          <t>Why does Clock approximate LRU with O(1) space per entry and near-zero lock contention?</t>
        </is>
      </c>
      <c r="T130" s="37" t="inlineStr">
        <is>
          <t>How does Clock eliminate the need to move nodes around in a doubly linked list on every cache hit?</t>
        </is>
      </c>
      <c r="U130" s="37" t="inlineStr">
        <is>
          <t>Operating system virtual memory page eviction, GPU memory managers</t>
        </is>
      </c>
      <c r="V130" s="37" t="inlineStr">
        <is>
          <t>Lock-minimized eviction</t>
        </is>
      </c>
      <c r="W130" s="35" t="n"/>
      <c r="X130" s="35" t="n"/>
      <c r="Y130" s="37" t="n"/>
      <c r="Z130" s="37" t="n"/>
      <c r="AA130" s="35" t="n"/>
      <c r="AB130" s="39">
        <f>HYPERLINK("https://www.youtube.com/watch?v=xMwHQJW6zbw", "▶ Watch (Engineering Wing) ↗")</f>
        <v/>
      </c>
    </row>
    <row r="131" ht="56" customHeight="1">
      <c r="A131" s="35" t="n">
        <v>130</v>
      </c>
      <c r="B131" s="35" t="n">
        <v>19</v>
      </c>
      <c r="C131" s="36" t="n">
        <v>46425</v>
      </c>
      <c r="D131" s="37" t="inlineStr">
        <is>
          <t>Tiered Caching &amp; Time-To-Live (TTL) with Min-Heap &amp; Hierarchical Timing Wheels</t>
        </is>
      </c>
      <c r="E131" s="37" t="inlineStr">
        <is>
          <t>Expiring cache / Timing wheel</t>
        </is>
      </c>
      <c r="F131" s="37" t="inlineStr">
        <is>
          <t>Combining size-bounded eviction with timestamp-based expiration; O(1) timing wheels vs O(log n) min-heap</t>
        </is>
      </c>
      <c r="G131" s="37" t="inlineStr">
        <is>
          <t>YES</t>
        </is>
      </c>
      <c r="H131" s="38">
        <f>HYPERLINK("https://www.youtube.com/watch?v=RtW4UEYGdME", "Hashed and Hierarchical Timing Wheels for Network Timers")</f>
        <v/>
      </c>
      <c r="I131" s="35" t="n">
        <v>25</v>
      </c>
      <c r="J131" s="37" t="inlineStr">
        <is>
          <t>Untimed</t>
        </is>
      </c>
      <c r="K131" s="37" t="inlineStr">
        <is>
          <t>1 hint @20min</t>
        </is>
      </c>
      <c r="L131" s="37" t="inlineStr">
        <is>
          <t>LC 981 Time Based Key-Value Store</t>
        </is>
      </c>
      <c r="M131" s="35" t="inlineStr">
        <is>
          <t>M</t>
        </is>
      </c>
      <c r="N131" s="35" t="n">
        <v>25</v>
      </c>
      <c r="O131" s="37" t="inlineStr">
        <is>
          <t>Design a Cache with TTL and O(1) lazy expiration on read + active sweep</t>
        </is>
      </c>
      <c r="P131" s="35" t="inlineStr">
        <is>
          <t>M</t>
        </is>
      </c>
      <c r="Q131" s="35" t="n">
        <v>35</v>
      </c>
      <c r="R131" s="37" t="inlineStr">
        <is>
          <t>LC 146 LRU Cache</t>
        </is>
      </c>
      <c r="S131" s="37" t="inlineStr">
        <is>
          <t>Explain how a timing wheel achieves O(1) timer insertion and cancellation compared to a priority queue</t>
        </is>
      </c>
      <c r="T131" s="37" t="inlineStr">
        <is>
          <t>Did you analyze memory leaks in caches with TTL when keys are written once and never read again?</t>
        </is>
      </c>
      <c r="U131" s="37" t="inlineStr">
        <is>
          <t>Distributed session caches, API rate-limiting token replenishment, RPC timeout tracking</t>
        </is>
      </c>
      <c r="V131" s="37" t="inlineStr">
        <is>
          <t>Temporal cache mechanics</t>
        </is>
      </c>
      <c r="W131" s="35" t="n"/>
      <c r="X131" s="35" t="n"/>
      <c r="Y131" s="37" t="n"/>
      <c r="Z131" s="37" t="n"/>
      <c r="AA131" s="35" t="n"/>
      <c r="AB131" s="39">
        <f>HYPERLINK("https://www.youtube.com/watch?v=RtW4UEYGdME", "▶ Watch (Aaron Goldman) ↗")</f>
        <v/>
      </c>
    </row>
    <row r="132" ht="56" customHeight="1">
      <c r="A132" s="35" t="n">
        <v>131</v>
      </c>
      <c r="B132" s="35" t="n">
        <v>19</v>
      </c>
      <c r="C132" s="36" t="n">
        <v>46426</v>
      </c>
      <c r="D132" s="37" t="inlineStr">
        <is>
          <t>Blind Cache Architecture Session: Selecting the optimal cache for workload signatures</t>
        </is>
      </c>
      <c r="E132" s="37" t="inlineStr">
        <is>
          <t>Blind (cache systems)</t>
        </is>
      </c>
      <c r="F132" s="37" t="inlineStr">
        <is>
          <t>Matching workload access patterns (Zipfian, scan-heavy, looping, temporal burst) to cache algorithms</t>
        </is>
      </c>
      <c r="G132" s="37" t="inlineStr">
        <is>
          <t>NO</t>
        </is>
      </c>
      <c r="H132" s="37" t="inlineStr">
        <is>
          <t>-</t>
        </is>
      </c>
      <c r="I132" s="35" t="inlineStr"/>
      <c r="J132" s="37" t="inlineStr">
        <is>
          <t>Untimed</t>
        </is>
      </c>
      <c r="K132" s="37" t="inlineStr">
        <is>
          <t>No hints before 20min</t>
        </is>
      </c>
      <c r="L132" s="37" t="inlineStr">
        <is>
          <t>LC 359 Logger Rate Limiter</t>
        </is>
      </c>
      <c r="M132" s="35" t="inlineStr">
        <is>
          <t>E</t>
        </is>
      </c>
      <c r="N132" s="35" t="n">
        <v>15</v>
      </c>
      <c r="O132" s="37" t="inlineStr">
        <is>
          <t>LC 1797 Design Authentication Manager</t>
        </is>
      </c>
      <c r="P132" s="35" t="inlineStr">
        <is>
          <t>M</t>
        </is>
      </c>
      <c r="Q132" s="35" t="n">
        <v>20</v>
      </c>
      <c r="R132" s="37" t="inlineStr">
        <is>
          <t>LC 981 Time Based Key-Value Store</t>
        </is>
      </c>
      <c r="S132" s="37" t="inlineStr">
        <is>
          <t>Write a comparison matrix of LRU vs LFU vs ARC vs 2Q vs Clock across 5 criteria</t>
        </is>
      </c>
      <c r="T132" s="37" t="inlineStr">
        <is>
          <t>Which cache policy would you select for LLM embedding retrieval and why?</t>
        </is>
      </c>
      <c r="U132" s="37" t="inlineStr">
        <is>
          <t>Embedding vector cache, KV-cache in multi-turn conversational agents</t>
        </is>
      </c>
      <c r="V132" s="37" t="inlineStr">
        <is>
          <t>Cache topology selection</t>
        </is>
      </c>
      <c r="W132" s="35" t="n"/>
      <c r="X132" s="35" t="n"/>
      <c r="Y132" s="37" t="n"/>
      <c r="Z132" s="37" t="n"/>
      <c r="AA132" s="35" t="n"/>
      <c r="AB132" s="40" t="inlineStr">
        <is>
          <t>—</t>
        </is>
      </c>
    </row>
    <row r="133" ht="56" customHeight="1">
      <c r="A133" s="35" t="n">
        <v>132</v>
      </c>
      <c r="B133" s="35" t="n">
        <v>19</v>
      </c>
      <c r="C133" s="36" t="n">
        <v>46427</v>
      </c>
      <c r="D133" s="37" t="inlineStr">
        <is>
          <t>Systems Simulation: KV-Cache Eviction &amp; PagedAttention in LLM Inference Engines</t>
        </is>
      </c>
      <c r="E133" s="37" t="inlineStr">
        <is>
          <t>AI-infra systems modeling</t>
        </is>
      </c>
      <c r="F133" s="37" t="inlineStr">
        <is>
          <t>PagedAttention: virtual memory paging for transformer KV-cache; eliminating external memory fragmentation</t>
        </is>
      </c>
      <c r="G133" s="37" t="inlineStr">
        <is>
          <t>YES</t>
        </is>
      </c>
      <c r="H133" s="38">
        <f>HYPERLINK("https://www.youtube.com/watch?v=8BaEwoTk8XI", "vLLM &amp; PagedAttention: How KV Cache Memory is Managed in Modern LLM Serving")</f>
        <v/>
      </c>
      <c r="I133" s="35" t="n">
        <v>25</v>
      </c>
      <c r="J133" s="37" t="inlineStr">
        <is>
          <t>Untimed</t>
        </is>
      </c>
      <c r="K133" s="37" t="inlineStr">
        <is>
          <t>Tutorial only</t>
        </is>
      </c>
      <c r="L133" s="37" t="inlineStr">
        <is>
          <t>Simulate a Block Table Manager for PagedAttention: allocate, map, copy-on-write</t>
        </is>
      </c>
      <c r="M133" s="35" t="inlineStr">
        <is>
          <t>H</t>
        </is>
      </c>
      <c r="N133" s="35" t="n">
        <v>45</v>
      </c>
      <c r="O133" s="37" t="inlineStr">
        <is>
          <t>LC 146 LRU Cache</t>
        </is>
      </c>
      <c r="P133" s="35" t="inlineStr">
        <is>
          <t>M</t>
        </is>
      </c>
      <c r="Q133" s="35" t="n">
        <v>20</v>
      </c>
      <c r="R133" s="37" t="inlineStr">
        <is>
          <t>LC 1797 Design Authentication Manager</t>
        </is>
      </c>
      <c r="S133" s="37" t="inlineStr">
        <is>
          <t>Explain why standard contiguous allocation wastes up to 60-80% of GPU memory in LLM serving</t>
        </is>
      </c>
      <c r="T133" s="37" t="inlineStr">
        <is>
          <t>Can you explain the Copy-on-Write (CoW) mechanism in PagedAttention for parallel sampling?</t>
        </is>
      </c>
      <c r="U133" s="37" t="inlineStr">
        <is>
          <t>vLLM, TensorRT-LLM, HuggingFace TGI, GPU memory utilization</t>
        </is>
      </c>
      <c r="V133" s="37" t="inlineStr">
        <is>
          <t>Transformer KV-cache management</t>
        </is>
      </c>
      <c r="W133" s="35" t="n"/>
      <c r="X133" s="35" t="n"/>
      <c r="Y133" s="37" t="n"/>
      <c r="Z133" s="37" t="n"/>
      <c r="AA133" s="35" t="n"/>
      <c r="AB133" s="39">
        <f>HYPERLINK("https://www.youtube.com/watch?v=8BaEwoTk8XI", "▶ Watch (AMD Developer Central) ↗")</f>
        <v/>
      </c>
    </row>
    <row r="134" ht="56" customHeight="1">
      <c r="A134" s="35" t="n">
        <v>133</v>
      </c>
      <c r="B134" s="35" t="n">
        <v>19</v>
      </c>
      <c r="C134" s="36" t="n">
        <v>46428</v>
      </c>
      <c r="D134" s="37" t="inlineStr">
        <is>
          <t>Week 19 audit: complete implementation of ARC and Clock eviction policies cold</t>
        </is>
      </c>
      <c r="E134" s="37" t="inlineStr">
        <is>
          <t>Review/audit</t>
        </is>
      </c>
      <c r="F134" s="37" t="inlineStr">
        <is>
          <t>Demonstrating mastery of industrial-grade caching algorithms</t>
        </is>
      </c>
      <c r="G134" s="37" t="inlineStr">
        <is>
          <t>NO</t>
        </is>
      </c>
      <c r="H134" s="37" t="inlineStr">
        <is>
          <t>-</t>
        </is>
      </c>
      <c r="I134" s="35" t="inlineStr"/>
      <c r="J134" s="37" t="inlineStr">
        <is>
          <t>Untimed</t>
        </is>
      </c>
      <c r="K134" s="37" t="inlineStr">
        <is>
          <t>Notes forbidden</t>
        </is>
      </c>
      <c r="L134" s="37" t="inlineStr">
        <is>
          <t>Rederive: ARC Cache complete state transition machine cold</t>
        </is>
      </c>
      <c r="M134" s="35" t="inlineStr">
        <is>
          <t>H</t>
        </is>
      </c>
      <c r="N134" s="35" t="n">
        <v>45</v>
      </c>
      <c r="O134" s="37" t="inlineStr">
        <is>
          <t>Rederive: Clock eviction algorithm with second chance cold</t>
        </is>
      </c>
      <c r="P134" s="35" t="inlineStr">
        <is>
          <t>M</t>
        </is>
      </c>
      <c r="Q134" s="35" t="n">
        <v>25</v>
      </c>
      <c r="R134" s="37" t="inlineStr">
        <is>
          <t>LC 359 Logger Rate Limiter</t>
        </is>
      </c>
      <c r="S134" s="37" t="inlineStr">
        <is>
          <t>Write both classes with clean API: get(key), put(key, val); test against sequential scan</t>
        </is>
      </c>
      <c r="T134" s="37" t="inlineStr">
        <is>
          <t>Can you defend the choice of ARC vs LRU in a senior systems interview whiteboard session?</t>
        </is>
      </c>
      <c r="U134" s="37" t="inlineStr">
        <is>
          <t>Systems cache mastery</t>
        </is>
      </c>
      <c r="V134" s="37" t="inlineStr">
        <is>
          <t>Eviction architecture fluency</t>
        </is>
      </c>
      <c r="W134" s="35" t="n"/>
      <c r="X134" s="35" t="n"/>
      <c r="Y134" s="37" t="n"/>
      <c r="Z134" s="37" t="n"/>
      <c r="AA134" s="35" t="n"/>
      <c r="AB134" s="40" t="inlineStr">
        <is>
          <t>—</t>
        </is>
      </c>
    </row>
    <row r="135" ht="56" customHeight="1">
      <c r="A135" s="41" t="n">
        <v>134</v>
      </c>
      <c r="B135" s="41" t="n">
        <v>20</v>
      </c>
      <c r="C135" s="42" t="n">
        <v>46429</v>
      </c>
      <c r="D135" s="43" t="inlineStr">
        <is>
          <t>Lock-Free Ring Buffer: Single-Producer Single-Consumer (SPSC)</t>
        </is>
      </c>
      <c r="E135" s="43" t="inlineStr">
        <is>
          <t>Lock-free ring buffer</t>
        </is>
      </c>
      <c r="F135" s="43" t="inlineStr">
        <is>
          <t>Head and tail indices; power-of-two capacity mask; memory barriers / acquire-release semantics; cache line padding</t>
        </is>
      </c>
      <c r="G135" s="43" t="inlineStr">
        <is>
          <t>YES</t>
        </is>
      </c>
      <c r="H135" s="44">
        <f>HYPERLINK("https://www.youtube.com/watch?v=MC1EKLQ2Wmg", "Lock-Free Single Producer Single Consumer Queue from scratch in C++/Rust")</f>
        <v/>
      </c>
      <c r="I135" s="41" t="n">
        <v>25</v>
      </c>
      <c r="J135" s="43" t="inlineStr">
        <is>
          <t>Untimed</t>
        </is>
      </c>
      <c r="K135" s="43" t="inlineStr">
        <is>
          <t>1 hint @20min</t>
        </is>
      </c>
      <c r="L135" s="43" t="inlineStr">
        <is>
          <t>LC 622 Design Circular Queue</t>
        </is>
      </c>
      <c r="M135" s="41" t="inlineStr">
        <is>
          <t>M</t>
        </is>
      </c>
      <c r="N135" s="41" t="n">
        <v>20</v>
      </c>
      <c r="O135" s="43" t="inlineStr">
        <is>
          <t>LC 641 Design Circular Deque</t>
        </is>
      </c>
      <c r="P135" s="41" t="inlineStr">
        <is>
          <t>M</t>
        </is>
      </c>
      <c r="Q135" s="41" t="n">
        <v>25</v>
      </c>
      <c r="R135" s="43" t="inlineStr">
        <is>
          <t>LC 146 LRU Cache</t>
        </is>
      </c>
      <c r="S135" s="43" t="inlineStr">
        <is>
          <t>Explain why head and tail pointers must be padded to separate 64-byte cache lines to prevent false sharing</t>
        </is>
      </c>
      <c r="T135" s="43" t="inlineStr">
        <is>
          <t>Why is an SPSC queue completely lock-free without requiring any atomic CAS (Compare-And-Swap) instructions?</t>
        </is>
      </c>
      <c r="U135" s="43" t="inlineStr">
        <is>
          <t>Inter-thread messaging, LMAX Disruptor, high-frequency telemetry streaming</t>
        </is>
      </c>
      <c r="V135" s="43" t="inlineStr">
        <is>
          <t>Lock-free queue mechanics</t>
        </is>
      </c>
      <c r="W135" s="41" t="n"/>
      <c r="X135" s="41" t="n"/>
      <c r="Y135" s="43" t="n"/>
      <c r="Z135" s="43" t="n"/>
      <c r="AA135" s="41" t="n"/>
      <c r="AB135" s="45">
        <f>HYPERLINK("https://www.youtube.com/watch?v=MC1EKLQ2Wmg", "▶ Watch (GOTO Conferences) ↗")</f>
        <v/>
      </c>
    </row>
    <row r="136" ht="56" customHeight="1">
      <c r="A136" s="41" t="n">
        <v>135</v>
      </c>
      <c r="B136" s="41" t="n">
        <v>20</v>
      </c>
      <c r="C136" s="42" t="n">
        <v>46430</v>
      </c>
      <c r="D136" s="43" t="inlineStr">
        <is>
          <t>Multi-Producer Multi-Consumer (MPMC) Bounded Queue</t>
        </is>
      </c>
      <c r="E136" s="43" t="inlineStr">
        <is>
          <t>MPMC queue</t>
        </is>
      </c>
      <c r="F136" s="43" t="inlineStr">
        <is>
          <t>Array of cell slots; sequence number per slot; atomic CAS on head and tail; turnaround generation invariant</t>
        </is>
      </c>
      <c r="G136" s="43" t="inlineStr">
        <is>
          <t>YES</t>
        </is>
      </c>
      <c r="H136" s="44">
        <f>HYPERLINK("https://www.youtube.com/watch?v=bjz_bMNNWRk", "Dmitry Vyukov's MPMC Bounded Queue Algorithm")</f>
        <v/>
      </c>
      <c r="I136" s="41" t="n">
        <v>25</v>
      </c>
      <c r="J136" s="43" t="inlineStr">
        <is>
          <t>Untimed</t>
        </is>
      </c>
      <c r="K136" s="43" t="inlineStr">
        <is>
          <t>1 hint @20min</t>
        </is>
      </c>
      <c r="L136" s="43" t="inlineStr">
        <is>
          <t>Simulate Dmitry Vyukov's MPMC queue state machine with sequence counters</t>
        </is>
      </c>
      <c r="M136" s="41" t="inlineStr">
        <is>
          <t>H</t>
        </is>
      </c>
      <c r="N136" s="41" t="n">
        <v>45</v>
      </c>
      <c r="O136" s="43" t="inlineStr">
        <is>
          <t>LC 1188 Design Bounded Blocking Queue</t>
        </is>
      </c>
      <c r="P136" s="41" t="inlineStr">
        <is>
          <t>M</t>
        </is>
      </c>
      <c r="Q136" s="41" t="n">
        <v>25</v>
      </c>
      <c r="R136" s="43" t="inlineStr">
        <is>
          <t>LC 622 Design Circular Queue</t>
        </is>
      </c>
      <c r="S136" s="43" t="inlineStr">
        <is>
          <t>Explain the cell sequence number invariant: when is a cell safe to write vs safe to read?</t>
        </is>
      </c>
      <c r="T136" s="43" t="inlineStr">
        <is>
          <t>How does the sequence counter prevent the ABA problem without a garbage collector?</t>
        </is>
      </c>
      <c r="U136" s="43" t="inlineStr">
        <is>
          <t>Thread-pool task submission queues, network socket event distribution</t>
        </is>
      </c>
      <c r="V136" s="43" t="inlineStr">
        <is>
          <t>Atomic sequence coordination</t>
        </is>
      </c>
      <c r="W136" s="41" t="n"/>
      <c r="X136" s="41" t="n"/>
      <c r="Y136" s="43" t="n"/>
      <c r="Z136" s="43" t="n"/>
      <c r="AA136" s="41" t="n"/>
      <c r="AB136" s="45">
        <f>HYPERLINK("https://www.youtube.com/watch?v=bjz_bMNNWRk", "▶ Watch (CppCon) ↗")</f>
        <v/>
      </c>
    </row>
    <row r="137" ht="56" customHeight="1">
      <c r="A137" s="41" t="n">
        <v>136</v>
      </c>
      <c r="B137" s="41" t="n">
        <v>20</v>
      </c>
      <c r="C137" s="42" t="n">
        <v>46431</v>
      </c>
      <c r="D137" s="43" t="inlineStr">
        <is>
          <t>Chase-Lev Work-Stealing Deque: Core of modern task runtimes</t>
        </is>
      </c>
      <c r="E137" s="43" t="inlineStr">
        <is>
          <t>Work-stealing deque</t>
        </is>
      </c>
      <c r="F137" s="43" t="inlineStr">
        <is>
          <t>Private LIFO bottom for owner thread; concurrent FIFO top for worker thief threads; lock-free steal CAS</t>
        </is>
      </c>
      <c r="G137" s="43" t="inlineStr">
        <is>
          <t>YES</t>
        </is>
      </c>
      <c r="H137" s="44">
        <f>HYPERLINK("https://www.youtube.com/watch?v=F8yY7jri32M", "The Chase-Lev Work-Stealing Deque Paper &amp; Architecture")</f>
        <v/>
      </c>
      <c r="I137" s="41" t="n">
        <v>25</v>
      </c>
      <c r="J137" s="43" t="inlineStr">
        <is>
          <t>Untimed</t>
        </is>
      </c>
      <c r="K137" s="43" t="inlineStr">
        <is>
          <t>1 hint @20min</t>
        </is>
      </c>
      <c r="L137" s="43" t="inlineStr">
        <is>
          <t>Simulate Chase-Lev Deque operations: push_bottom, pop_bottom, steal_top</t>
        </is>
      </c>
      <c r="M137" s="41" t="inlineStr">
        <is>
          <t>H</t>
        </is>
      </c>
      <c r="N137" s="41" t="n">
        <v>45</v>
      </c>
      <c r="O137" s="43" t="inlineStr">
        <is>
          <t>LC 239 Sliding Window Maximum (Monotonic deque comparison)</t>
        </is>
      </c>
      <c r="P137" s="41" t="inlineStr">
        <is>
          <t>H</t>
        </is>
      </c>
      <c r="Q137" s="41" t="n">
        <v>30</v>
      </c>
      <c r="R137" s="43" t="inlineStr">
        <is>
          <t>LC 1188 Design Bounded Blocking Queue</t>
        </is>
      </c>
      <c r="S137" s="43" t="inlineStr">
        <is>
          <t>Explain why the worker steals from the TOP (oldest tasks) while owner pops from BOTTOM (newest tasks)</t>
        </is>
      </c>
      <c r="T137" s="43" t="inlineStr">
        <is>
          <t>Why does stealing from the top minimize contention with the owner thread?</t>
        </is>
      </c>
      <c r="U137" s="43" t="inlineStr">
        <is>
          <t>Go runtime goroutine scheduler, Tokio async executor, Ray distributed task scheduler</t>
        </is>
      </c>
      <c r="V137" s="43" t="inlineStr">
        <is>
          <t>Work-stealing runtime design</t>
        </is>
      </c>
      <c r="W137" s="41" t="n"/>
      <c r="X137" s="41" t="n"/>
      <c r="Y137" s="43" t="n"/>
      <c r="Z137" s="43" t="n"/>
      <c r="AA137" s="41" t="n"/>
      <c r="AB137" s="45">
        <f>HYPERLINK("https://www.youtube.com/watch?v=F8yY7jri32M", "▶ Watch (MIT OpenCourseWare) ↗")</f>
        <v/>
      </c>
    </row>
    <row r="138" ht="56" customHeight="1">
      <c r="A138" s="41" t="n">
        <v>137</v>
      </c>
      <c r="B138" s="41" t="n">
        <v>20</v>
      </c>
      <c r="C138" s="42" t="n">
        <v>46432</v>
      </c>
      <c r="D138" s="43" t="inlineStr">
        <is>
          <t>Read-Copy-Update (RCU) &amp; Hazard Pointers: Lock-free read scalability</t>
        </is>
      </c>
      <c r="E138" s="43" t="inlineStr">
        <is>
          <t>Read-Copy-Update (RCU)</t>
        </is>
      </c>
      <c r="F138" s="43" t="inlineStr">
        <is>
          <t>Wait-free reader threads; copy on write; grace periods; deferred memory reclamation</t>
        </is>
      </c>
      <c r="G138" s="43" t="inlineStr">
        <is>
          <t>YES</t>
        </is>
      </c>
      <c r="H138" s="44">
        <f>HYPERLINK("https://www.youtube.com/watch?v=WWEz-uoyoPE", "Read-Copy-Update (RCU) in the Linux Kernel: Concepts &amp; Mechanics")</f>
        <v/>
      </c>
      <c r="I138" s="41" t="n">
        <v>20</v>
      </c>
      <c r="J138" s="43" t="inlineStr">
        <is>
          <t>Untimed</t>
        </is>
      </c>
      <c r="K138" s="43" t="inlineStr">
        <is>
          <t>1 hint @20min</t>
        </is>
      </c>
      <c r="L138" s="43" t="inlineStr">
        <is>
          <t>Implement an RCU-style immutable config snapshot manager with atomic pointer swap</t>
        </is>
      </c>
      <c r="M138" s="41" t="inlineStr">
        <is>
          <t>M</t>
        </is>
      </c>
      <c r="N138" s="41" t="n">
        <v>30</v>
      </c>
      <c r="O138" s="43" t="inlineStr">
        <is>
          <t>LC 380 Insert Delete GetRandom O(1)</t>
        </is>
      </c>
      <c r="P138" s="41" t="inlineStr">
        <is>
          <t>M</t>
        </is>
      </c>
      <c r="Q138" s="41" t="n">
        <v>20</v>
      </c>
      <c r="R138" s="43" t="inlineStr">
        <is>
          <t>LC 239 Sliding Window Maximum</t>
        </is>
      </c>
      <c r="S138" s="43" t="inlineStr">
        <is>
          <t>Explain what a grace period is in RCU: when is it guaranteed safe to free the old copy?</t>
        </is>
      </c>
      <c r="T138" s="43" t="inlineStr">
        <is>
          <t>Can you explain why RCU readers have zero lock overhead and zero atomic write operations?</t>
        </is>
      </c>
      <c r="U138" s="43" t="inlineStr">
        <is>
          <t>Routing tables in network proxies (Envoy), live feature flags in distributed microservices</t>
        </is>
      </c>
      <c r="V138" s="43" t="inlineStr">
        <is>
          <t>Zero-overhead read concurrency</t>
        </is>
      </c>
      <c r="W138" s="41" t="n"/>
      <c r="X138" s="41" t="n"/>
      <c r="Y138" s="43" t="n"/>
      <c r="Z138" s="43" t="n"/>
      <c r="AA138" s="41" t="n"/>
      <c r="AB138" s="45">
        <f>HYPERLINK("https://www.youtube.com/watch?v=WWEz-uoyoPE", "▶ Watch (DiaMon Workgroup) ↗")</f>
        <v/>
      </c>
    </row>
    <row r="139" ht="56" customHeight="1">
      <c r="A139" s="41" t="n">
        <v>138</v>
      </c>
      <c r="B139" s="41" t="n">
        <v>20</v>
      </c>
      <c r="C139" s="42" t="n">
        <v>46433</v>
      </c>
      <c r="D139" s="43" t="inlineStr">
        <is>
          <t>Consistent Hashing with Virtual Nodes: Bounded redistribution under cluster churn</t>
        </is>
      </c>
      <c r="E139" s="43" t="inlineStr">
        <is>
          <t>Consistent hashing</t>
        </is>
      </c>
      <c r="F139" s="43" t="inlineStr">
        <is>
          <t>Hash ring [0, 2^32-1]; virtual nodes for balanced load; binary search (bisect) for partition owner lookup</t>
        </is>
      </c>
      <c r="G139" s="43" t="inlineStr">
        <is>
          <t>YES</t>
        </is>
      </c>
      <c r="H139" s="44">
        <f>HYPERLINK("https://www.youtube.com/watch?v=zaRkONvyGr8", "Consistent Hashing: System Design &amp; Algorithmic Mechanics")</f>
        <v/>
      </c>
      <c r="I139" s="41" t="n">
        <v>20</v>
      </c>
      <c r="J139" s="43" t="inlineStr">
        <is>
          <t>Untimed</t>
        </is>
      </c>
      <c r="K139" s="43" t="inlineStr">
        <is>
          <t>1 hint @20min</t>
        </is>
      </c>
      <c r="L139" s="43" t="inlineStr">
        <is>
          <t>Implement a ConsistentHashRing with virtual nodes, add_node(), remove_node(), get_node()</t>
        </is>
      </c>
      <c r="M139" s="41" t="inlineStr">
        <is>
          <t>M</t>
        </is>
      </c>
      <c r="N139" s="41" t="n">
        <v>35</v>
      </c>
      <c r="O139" s="43" t="inlineStr">
        <is>
          <t>LC 535 Encode and Decode TinyURL</t>
        </is>
      </c>
      <c r="P139" s="41" t="inlineStr">
        <is>
          <t>M</t>
        </is>
      </c>
      <c r="Q139" s="41" t="n">
        <v>15</v>
      </c>
      <c r="R139" s="43" t="inlineStr">
        <is>
          <t>LC 380 Insert Delete GetRandom O(1)</t>
        </is>
      </c>
      <c r="S139" s="43" t="inlineStr">
        <is>
          <t>Prove that adding or removing a node re-shards only K/N keys on average, where K is total keys</t>
        </is>
      </c>
      <c r="T139" s="43" t="inlineStr">
        <is>
          <t>Why are virtual nodes necessary? What happens to variance in load if you have only 1 point per node?</t>
        </is>
      </c>
      <c r="U139" s="43" t="inlineStr">
        <is>
          <t>DynamoDB, Cassandra partitioner, Memcached client-side routing, distributed cache sharding</t>
        </is>
      </c>
      <c r="V139" s="43" t="inlineStr">
        <is>
          <t>Distributed topology hashing</t>
        </is>
      </c>
      <c r="W139" s="41" t="n"/>
      <c r="X139" s="41" t="n"/>
      <c r="Y139" s="43" t="n"/>
      <c r="Z139" s="43" t="n"/>
      <c r="AA139" s="41" t="n"/>
      <c r="AB139" s="45">
        <f>HYPERLINK("https://www.youtube.com/watch?v=zaRkONvyGr8", "▶ Watch (ByteByteGo) ↗")</f>
        <v/>
      </c>
    </row>
    <row r="140" ht="56" customHeight="1">
      <c r="A140" s="41" t="n">
        <v>139</v>
      </c>
      <c r="B140" s="41" t="n">
        <v>20</v>
      </c>
      <c r="C140" s="42" t="n">
        <v>46434</v>
      </c>
      <c r="D140" s="43" t="inlineStr">
        <is>
          <t>Blind Concurrency &amp; Synchronization Session</t>
        </is>
      </c>
      <c r="E140" s="43" t="inlineStr">
        <is>
          <t>Blind (concurrency &amp; queues)</t>
        </is>
      </c>
      <c r="F140" s="43" t="inlineStr">
        <is>
          <t>Choosing the right synchronization primitive: Mutex vs Spinlock vs Ring Buffer vs RCU</t>
        </is>
      </c>
      <c r="G140" s="43" t="inlineStr">
        <is>
          <t>NO</t>
        </is>
      </c>
      <c r="H140" s="43" t="inlineStr">
        <is>
          <t>-</t>
        </is>
      </c>
      <c r="I140" s="41" t="inlineStr"/>
      <c r="J140" s="43" t="inlineStr">
        <is>
          <t>Untimed</t>
        </is>
      </c>
      <c r="K140" s="43" t="inlineStr">
        <is>
          <t>No hints before 20min</t>
        </is>
      </c>
      <c r="L140" s="43" t="inlineStr">
        <is>
          <t>LC 1114 Print in Order</t>
        </is>
      </c>
      <c r="M140" s="41" t="inlineStr">
        <is>
          <t>E</t>
        </is>
      </c>
      <c r="N140" s="41" t="n">
        <v>15</v>
      </c>
      <c r="O140" s="43" t="inlineStr">
        <is>
          <t>LC 1115 Print FooBar Alternately</t>
        </is>
      </c>
      <c r="P140" s="41" t="inlineStr">
        <is>
          <t>M</t>
        </is>
      </c>
      <c r="Q140" s="41" t="n">
        <v>20</v>
      </c>
      <c r="R140" s="43" t="inlineStr">
        <is>
          <t>LC 641 Design Circular Deque</t>
        </is>
      </c>
      <c r="S140" s="43" t="inlineStr">
        <is>
          <t>Write PatternCards entry for Lock-free SPSC Ring Buffer vs Bounded MPMC Queue</t>
        </is>
      </c>
      <c r="T140" s="43" t="inlineStr">
        <is>
          <t>Time-to-pattern on LC 1115. Can you write it using condition variables and semaphores cleanly?</t>
        </is>
      </c>
      <c r="U140" s="43" t="inlineStr">
        <is>
          <t>Inter-thread synchronization in high-performance engines</t>
        </is>
      </c>
      <c r="V140" s="43" t="inlineStr">
        <is>
          <t>Synchronization fluency</t>
        </is>
      </c>
      <c r="W140" s="41" t="n"/>
      <c r="X140" s="41" t="n"/>
      <c r="Y140" s="43" t="n"/>
      <c r="Z140" s="43" t="n"/>
      <c r="AA140" s="41" t="n"/>
      <c r="AB140" s="46" t="inlineStr">
        <is>
          <t>—</t>
        </is>
      </c>
    </row>
    <row r="141" ht="56" customHeight="1">
      <c r="A141" s="41" t="n">
        <v>140</v>
      </c>
      <c r="B141" s="41" t="n">
        <v>20</v>
      </c>
      <c r="C141" s="42" t="n">
        <v>46435</v>
      </c>
      <c r="D141" s="43" t="inlineStr">
        <is>
          <t>Milestone Diagnostic #6: Concurrency Primitives, Caches &amp; Work-Stealing</t>
        </is>
      </c>
      <c r="E141" s="43" t="inlineStr">
        <is>
          <t>Diagnostic</t>
        </is>
      </c>
      <c r="F141" s="43" t="inlineStr">
        <is>
          <t>Unlabelled diagnostic testing systems data structures under strict time pressure</t>
        </is>
      </c>
      <c r="G141" s="43" t="inlineStr">
        <is>
          <t>NO</t>
        </is>
      </c>
      <c r="H141" s="43" t="inlineStr">
        <is>
          <t>-</t>
        </is>
      </c>
      <c r="I141" s="41" t="inlineStr"/>
      <c r="J141" s="43" t="inlineStr">
        <is>
          <t>Diagnostic</t>
        </is>
      </c>
      <c r="K141" s="43" t="inlineStr">
        <is>
          <t>None</t>
        </is>
      </c>
      <c r="L141" s="43" t="inlineStr">
        <is>
          <t>Diagnostic 6: SPSC Ring Buffer, Consistent Hash Ring, 2Q Cache (unlabelled, 110 min)</t>
        </is>
      </c>
      <c r="M141" s="41" t="inlineStr">
        <is>
          <t>H</t>
        </is>
      </c>
      <c r="N141" s="41" t="n">
        <v>110</v>
      </c>
      <c r="O141" s="43" t="inlineStr">
        <is>
          <t>Error log + weakness classification in FailureLog</t>
        </is>
      </c>
      <c r="P141" s="41" t="inlineStr">
        <is>
          <t>-</t>
        </is>
      </c>
      <c r="Q141" s="41" t="n">
        <v>25</v>
      </c>
      <c r="R141" s="43" t="inlineStr">
        <is>
          <t>-</t>
        </is>
      </c>
      <c r="S141" s="43" t="inlineStr">
        <is>
          <t>Fill diagnostic scores in MockInterviews; record time-to-pattern and test correctness</t>
        </is>
      </c>
      <c r="T141" s="43" t="inlineStr">
        <is>
          <t>Did you implement the power-of-two mask in the ring buffer without modulo operator overhead?</t>
        </is>
      </c>
      <c r="U141" s="43" t="inlineStr">
        <is>
          <t>Systems interview diagnostic</t>
        </is>
      </c>
      <c r="V141" s="43" t="inlineStr">
        <is>
          <t>High-pressure synthesis</t>
        </is>
      </c>
      <c r="W141" s="41" t="n"/>
      <c r="X141" s="41" t="n"/>
      <c r="Y141" s="43" t="n"/>
      <c r="Z141" s="43" t="n"/>
      <c r="AA141" s="41" t="n"/>
      <c r="AB141" s="46" t="inlineStr">
        <is>
          <t>—</t>
        </is>
      </c>
    </row>
    <row r="142" ht="56" customHeight="1">
      <c r="A142" s="35" t="n">
        <v>141</v>
      </c>
      <c r="B142" s="35" t="n">
        <v>21</v>
      </c>
      <c r="C142" s="36" t="n">
        <v>46436</v>
      </c>
      <c r="D142" s="37" t="inlineStr">
        <is>
          <t>Vector Search Foundations: KD-Tree &amp; Ball-Tree Mechanics</t>
        </is>
      </c>
      <c r="E142" s="37" t="inlineStr">
        <is>
          <t>KD-Tree / Ball-Tree</t>
        </is>
      </c>
      <c r="F142" s="37" t="inlineStr">
        <is>
          <t>Alternating dimension splitting; bounding box pruning; nearest neighbor search branch discard</t>
        </is>
      </c>
      <c r="G142" s="37" t="inlineStr">
        <is>
          <t>YES</t>
        </is>
      </c>
      <c r="H142" s="38">
        <f>HYPERLINK("https://www.youtube.com/watch?v=XcET3oOkGrY", "KD-Trees and Ball Trees: High-Dimensional Spatial Indexing")</f>
        <v/>
      </c>
      <c r="I142" s="35" t="n">
        <v>25</v>
      </c>
      <c r="J142" s="37" t="inlineStr">
        <is>
          <t>Untimed</t>
        </is>
      </c>
      <c r="K142" s="37" t="inlineStr">
        <is>
          <t>1 hint @20min</t>
        </is>
      </c>
      <c r="L142" s="37" t="inlineStr">
        <is>
          <t>Implement a 2D KD-Tree: build from points and nearest_neighbor(q)</t>
        </is>
      </c>
      <c r="M142" s="35" t="inlineStr">
        <is>
          <t>M</t>
        </is>
      </c>
      <c r="N142" s="35" t="n">
        <v>35</v>
      </c>
      <c r="O142" s="37" t="inlineStr">
        <is>
          <t>LC 973 K Closest Points to Origin (Heap baseline vs Spatial index)</t>
        </is>
      </c>
      <c r="P142" s="35" t="inlineStr">
        <is>
          <t>M</t>
        </is>
      </c>
      <c r="Q142" s="35" t="n">
        <v>25</v>
      </c>
      <c r="R142" s="37" t="inlineStr">
        <is>
          <t>LC 1115 Print FooBar Alternately</t>
        </is>
      </c>
      <c r="S142" s="37" t="inlineStr">
        <is>
          <t>Explain why KD-Trees degrade to O(N) linear scans when dimensionality D exceeds ~20 (curse of dimensionality)</t>
        </is>
      </c>
      <c r="T142" s="37" t="inlineStr">
        <is>
          <t>Why do vector databases use approximate nearest neighbors (ANN) instead of exact KD-trees for d=1536?</t>
        </is>
      </c>
      <c r="U142" s="37" t="inlineStr">
        <is>
          <t>Spatial databases, geometric indexing, low-dimensional coordinate search</t>
        </is>
      </c>
      <c r="V142" s="37" t="inlineStr">
        <is>
          <t>Spatial partition modeling</t>
        </is>
      </c>
      <c r="W142" s="35" t="n"/>
      <c r="X142" s="35" t="n"/>
      <c r="Y142" s="37" t="n"/>
      <c r="Z142" s="37" t="n"/>
      <c r="AA142" s="35" t="n"/>
      <c r="AB142" s="39">
        <f>HYPERLINK("https://www.youtube.com/watch?v=XcET3oOkGrY", "▶ Watch (Mark Lewis) ↗")</f>
        <v/>
      </c>
    </row>
    <row r="143" ht="56" customHeight="1">
      <c r="A143" s="35" t="n">
        <v>142</v>
      </c>
      <c r="B143" s="35" t="n">
        <v>21</v>
      </c>
      <c r="C143" s="36" t="n">
        <v>46437</v>
      </c>
      <c r="D143" s="37" t="inlineStr">
        <is>
          <t>Inverted File Index (IVF) &amp; Voronoi Cells</t>
        </is>
      </c>
      <c r="E143" s="37" t="inlineStr">
        <is>
          <t>IVF Indexing</t>
        </is>
      </c>
      <c r="F143" s="37" t="inlineStr">
        <is>
          <t>Coarse quantization via K-means clustering; Voronoi partition assignment; probe count nprobe trade-off</t>
        </is>
      </c>
      <c r="G143" s="37" t="inlineStr">
        <is>
          <t>YES</t>
        </is>
      </c>
      <c r="H143" s="38">
        <f>HYPERLINK("https://www.youtube.com/watch?v=-vh6huY2rgE", "FAISS Internals: Inverted File Index (IVF) and Voronoi Cells")</f>
        <v/>
      </c>
      <c r="I143" s="35" t="n">
        <v>25</v>
      </c>
      <c r="J143" s="37" t="inlineStr">
        <is>
          <t>Untimed</t>
        </is>
      </c>
      <c r="K143" s="37" t="inlineStr">
        <is>
          <t>1 hint @20min</t>
        </is>
      </c>
      <c r="L143" s="37" t="inlineStr">
        <is>
          <t>Simulate an IVF index: assign vectors to clusters, query top-nprobe clusters</t>
        </is>
      </c>
      <c r="M143" s="35" t="inlineStr">
        <is>
          <t>M</t>
        </is>
      </c>
      <c r="N143" s="35" t="n">
        <v>35</v>
      </c>
      <c r="O143" s="37" t="inlineStr">
        <is>
          <t>LC 215 Kth Largest Element in an Array (Quickselect baseline)</t>
        </is>
      </c>
      <c r="P143" s="35" t="inlineStr">
        <is>
          <t>M</t>
        </is>
      </c>
      <c r="Q143" s="35" t="n">
        <v>25</v>
      </c>
      <c r="R143" s="37" t="inlineStr">
        <is>
          <t>LC 973 K Closest Points to Origin</t>
        </is>
      </c>
      <c r="S143" s="37" t="inlineStr">
        <is>
          <t>Explain the trade-off between nlist (number of centroids) and nprobe (clusters searched during query)</t>
        </is>
      </c>
      <c r="T143" s="37" t="inlineStr">
        <is>
          <t>Why does IVF achieve sub-linear query time while sacrificing 1-2% in recall?</t>
        </is>
      </c>
      <c r="U143" s="37" t="inlineStr">
        <is>
          <t>Milvus, Pinecone, FAISS IVF index, vector database partitioners</t>
        </is>
      </c>
      <c r="V143" s="37" t="inlineStr">
        <is>
          <t>Clustered vector indexing</t>
        </is>
      </c>
      <c r="W143" s="35" t="n"/>
      <c r="X143" s="35" t="n"/>
      <c r="Y143" s="37" t="n"/>
      <c r="Z143" s="37" t="n"/>
      <c r="AA143" s="35" t="n"/>
      <c r="AB143" s="39">
        <f>HYPERLINK("https://www.youtube.com/watch?v=-vh6huY2rgE", "▶ Watch (TensorTeach) ↗")</f>
        <v/>
      </c>
    </row>
    <row r="144" ht="56" customHeight="1">
      <c r="A144" s="35" t="n">
        <v>143</v>
      </c>
      <c r="B144" s="35" t="n">
        <v>21</v>
      </c>
      <c r="C144" s="36" t="n">
        <v>46438</v>
      </c>
      <c r="D144" s="37" t="inlineStr">
        <is>
          <t>Hierarchical Navigable Small World (HNSW) Graphs: Core of Modern Vector DBs</t>
        </is>
      </c>
      <c r="E144" s="37" t="inlineStr">
        <is>
          <t>HNSW graph search</t>
        </is>
      </c>
      <c r="F144" s="37" t="inlineStr">
        <is>
          <t>Multi-layer proximity graph (skip-list on graphs); greedy routing at top layers, beam search at layer 0</t>
        </is>
      </c>
      <c r="G144" s="37" t="inlineStr">
        <is>
          <t>YES</t>
        </is>
      </c>
      <c r="H144" s="38">
        <f>HYPERLINK("https://www.youtube.com/watch?v=GY2QznJOSnk", "HNSW Algorithm: The Paper, Mathematics, and Graph Navigation")</f>
        <v/>
      </c>
      <c r="I144" s="35" t="n">
        <v>25</v>
      </c>
      <c r="J144" s="37" t="inlineStr">
        <is>
          <t>Untimed</t>
        </is>
      </c>
      <c r="K144" s="37" t="inlineStr">
        <is>
          <t>1 hint @20min</t>
        </is>
      </c>
      <c r="L144" s="37" t="inlineStr">
        <is>
          <t>Simulate HNSW greedy entry routing and Layer-0 Beam Search on a proximity graph</t>
        </is>
      </c>
      <c r="M144" s="35" t="inlineStr">
        <is>
          <t>H</t>
        </is>
      </c>
      <c r="N144" s="35" t="n">
        <v>45</v>
      </c>
      <c r="O144" s="37" t="inlineStr">
        <is>
          <t>LC 743 Network Delay Time (Dijkstra graph search comparison)</t>
        </is>
      </c>
      <c r="P144" s="35" t="inlineStr">
        <is>
          <t>M</t>
        </is>
      </c>
      <c r="Q144" s="35" t="n">
        <v>25</v>
      </c>
      <c r="R144" s="37" t="inlineStr">
        <is>
          <t>LC 215 Kth Largest Element in an Array</t>
        </is>
      </c>
      <c r="S144" s="37" t="inlineStr">
        <is>
          <t>Explain the probability distribution of assigning a vector to layer l in HNSW: l = floor(-ln(uniform) * m_L)</t>
        </is>
      </c>
      <c r="T144" s="37" t="inlineStr">
        <is>
          <t>Can you explain why HNSW achieves logarithmic search time on high-dimensional vectors?</t>
        </is>
      </c>
      <c r="U144" s="37" t="inlineStr">
        <is>
          <t>Weaviate, Qdrant, Chroma, FAISS HNSW, vector embedding retrieval engines</t>
        </is>
      </c>
      <c r="V144" s="37" t="inlineStr">
        <is>
          <t>Proximity graph navigation</t>
        </is>
      </c>
      <c r="W144" s="35" t="n"/>
      <c r="X144" s="35" t="n"/>
      <c r="Y144" s="37" t="n"/>
      <c r="Z144" s="37" t="n"/>
      <c r="AA144" s="35" t="n"/>
      <c r="AB144" s="39">
        <f>HYPERLINK("https://www.youtube.com/watch?v=GY2QznJOSnk", "▶ Watch (DataMListic) ↗")</f>
        <v/>
      </c>
    </row>
    <row r="145" ht="56" customHeight="1">
      <c r="A145" s="35" t="n">
        <v>144</v>
      </c>
      <c r="B145" s="35" t="n">
        <v>21</v>
      </c>
      <c r="C145" s="36" t="n">
        <v>46439</v>
      </c>
      <c r="D145" s="37" t="inlineStr">
        <is>
          <t>Product Quantization (PQ) &amp; Asymmetric Distance Computation (ADC)</t>
        </is>
      </c>
      <c r="E145" s="37" t="inlineStr">
        <is>
          <t>Vector quantization</t>
        </is>
      </c>
      <c r="F145" s="37" t="inlineStr">
        <is>
          <t>Splitting D-dimensional vector into M sub-vectors; codebook generation; precomputed distance lookup tables</t>
        </is>
      </c>
      <c r="G145" s="37" t="inlineStr">
        <is>
          <t>YES</t>
        </is>
      </c>
      <c r="H145" s="38">
        <f>HYPERLINK("https://www.youtube.com/watch?v=t9mRf2S5vDI", "Product Quantization (PQ) &amp; Fast Distance Computation in FAISS")</f>
        <v/>
      </c>
      <c r="I145" s="35" t="n">
        <v>25</v>
      </c>
      <c r="J145" s="37" t="inlineStr">
        <is>
          <t>Untimed</t>
        </is>
      </c>
      <c r="K145" s="37" t="inlineStr">
        <is>
          <t>1 hint @20min</t>
        </is>
      </c>
      <c r="L145" s="37" t="inlineStr">
        <is>
          <t>Simulate Product Quantization: compress vectors to M byte codes; compute ADC distance table</t>
        </is>
      </c>
      <c r="M145" s="35" t="inlineStr">
        <is>
          <t>H</t>
        </is>
      </c>
      <c r="N145" s="35" t="n">
        <v>45</v>
      </c>
      <c r="O145" s="37" t="inlineStr">
        <is>
          <t>LC 1396 Design Underground System</t>
        </is>
      </c>
      <c r="P145" s="35" t="inlineStr">
        <is>
          <t>M</t>
        </is>
      </c>
      <c r="Q145" s="35" t="n">
        <v>20</v>
      </c>
      <c r="R145" s="37" t="inlineStr">
        <is>
          <t>LC 743 Network Delay Time</t>
        </is>
      </c>
      <c r="S145" s="37" t="inlineStr">
        <is>
          <t>Explain how Product Quantization compresses a 1536-dimensional FP32 vector (6144 bytes) down to 64 bytes</t>
        </is>
      </c>
      <c r="T145" s="37" t="inlineStr">
        <is>
          <t>Why does Asymmetric Distance Computation (query uncompressed, database vectors quantized) beat Symmetric distance?</t>
        </is>
      </c>
      <c r="U145" s="37" t="inlineStr">
        <is>
          <t>Memory-constrained vector search at billion-scale, embedding index compression</t>
        </is>
      </c>
      <c r="V145" s="37" t="inlineStr">
        <is>
          <t>Vector compression analytics</t>
        </is>
      </c>
      <c r="W145" s="35" t="n"/>
      <c r="X145" s="35" t="n"/>
      <c r="Y145" s="37" t="n"/>
      <c r="Z145" s="37" t="n"/>
      <c r="AA145" s="35" t="n"/>
      <c r="AB145" s="39">
        <f>HYPERLINK("https://www.youtube.com/watch?v=t9mRf2S5vDI", "▶ Watch (James Briggs) ↗")</f>
        <v/>
      </c>
    </row>
    <row r="146" ht="56" customHeight="1">
      <c r="A146" s="35" t="n">
        <v>145</v>
      </c>
      <c r="B146" s="35" t="n">
        <v>21</v>
      </c>
      <c r="C146" s="36" t="n">
        <v>46440</v>
      </c>
      <c r="D146" s="37" t="inlineStr">
        <is>
          <t>Random Projection Trees &amp; Annoy (Approximate Nearest Neighbors Oh Yeah)</t>
        </is>
      </c>
      <c r="E146" s="37" t="inlineStr">
        <is>
          <t>Random projection trees</t>
        </is>
      </c>
      <c r="F146" s="37" t="inlineStr">
        <is>
          <t>Splitting space with random hyperplanes; cosine similarity partitions; multi-tree forest voting</t>
        </is>
      </c>
      <c r="G146" s="37" t="inlineStr">
        <is>
          <t>YES</t>
        </is>
      </c>
      <c r="H146" s="38">
        <f>HYPERLINK("https://www.youtube.com/watch?v=QkCCyLW0ehU", "Annoy &amp; Random Projection Trees for Spotify-Scale Recommendation")</f>
        <v/>
      </c>
      <c r="I146" s="35" t="n">
        <v>20</v>
      </c>
      <c r="J146" s="37" t="inlineStr">
        <is>
          <t>Untimed</t>
        </is>
      </c>
      <c r="K146" s="37" t="inlineStr">
        <is>
          <t>1 hint @20min</t>
        </is>
      </c>
      <c r="L146" s="37" t="inlineStr">
        <is>
          <t>Implement a Random Projection Tree: split points by hyperplane dot-product</t>
        </is>
      </c>
      <c r="M146" s="35" t="inlineStr">
        <is>
          <t>M</t>
        </is>
      </c>
      <c r="N146" s="35" t="n">
        <v>35</v>
      </c>
      <c r="O146" s="37" t="inlineStr">
        <is>
          <t>LC 300 Longest Increasing Subsequence (Review patience sorting)</t>
        </is>
      </c>
      <c r="P146" s="35" t="inlineStr">
        <is>
          <t>M</t>
        </is>
      </c>
      <c r="Q146" s="35" t="n">
        <v>20</v>
      </c>
      <c r="R146" s="37" t="inlineStr">
        <is>
          <t>LC 1396 Design Underground System</t>
        </is>
      </c>
      <c r="S146" s="37" t="inlineStr">
        <is>
          <t>Explain why querying multiple independent random trees increases recall exponentially</t>
        </is>
      </c>
      <c r="T146" s="37" t="inlineStr">
        <is>
          <t>How does cosine distance reduce to dot product on normalized unit vectors?</t>
        </is>
      </c>
      <c r="U146" s="37" t="inlineStr">
        <is>
          <t>Spotify recommendation search, read-only memory-mapped embedding indexes</t>
        </is>
      </c>
      <c r="V146" s="37" t="inlineStr">
        <is>
          <t>Hyperplane partition search</t>
        </is>
      </c>
      <c r="W146" s="35" t="n"/>
      <c r="X146" s="35" t="n"/>
      <c r="Y146" s="37" t="n"/>
      <c r="Z146" s="37" t="n"/>
      <c r="AA146" s="35" t="n"/>
      <c r="AB146" s="39">
        <f>HYPERLINK("https://www.youtube.com/watch?v=QkCCyLW0ehU", "▶ Watch (AI Council) ↗")</f>
        <v/>
      </c>
    </row>
    <row r="147" ht="56" customHeight="1">
      <c r="A147" s="35" t="n">
        <v>146</v>
      </c>
      <c r="B147" s="35" t="n">
        <v>21</v>
      </c>
      <c r="C147" s="36" t="n">
        <v>46441</v>
      </c>
      <c r="D147" s="37" t="inlineStr">
        <is>
          <t>Blind Vector Retrieval Session: IVF vs HNSW vs Quantization Trade-offs</t>
        </is>
      </c>
      <c r="E147" s="37" t="inlineStr">
        <is>
          <t>Blind (vector algorithms)</t>
        </is>
      </c>
      <c r="F147" s="37" t="inlineStr">
        <is>
          <t>Analyzing index build time, memory footprint, QPS latency, and Recall@K across vector indices</t>
        </is>
      </c>
      <c r="G147" s="37" t="inlineStr">
        <is>
          <t>NO</t>
        </is>
      </c>
      <c r="H147" s="37" t="inlineStr">
        <is>
          <t>-</t>
        </is>
      </c>
      <c r="I147" s="35" t="inlineStr"/>
      <c r="J147" s="37" t="inlineStr">
        <is>
          <t>Untimed</t>
        </is>
      </c>
      <c r="K147" s="37" t="inlineStr">
        <is>
          <t>No hints before 20min</t>
        </is>
      </c>
      <c r="L147" s="37" t="inlineStr">
        <is>
          <t>LC 149 Max Points on a Line (Geometric slope mapping)</t>
        </is>
      </c>
      <c r="M147" s="35" t="inlineStr">
        <is>
          <t>H</t>
        </is>
      </c>
      <c r="N147" s="35" t="n">
        <v>35</v>
      </c>
      <c r="O147" s="37" t="inlineStr">
        <is>
          <t>LC 347 Top K Frequent Elements (Review bucket vs heap)</t>
        </is>
      </c>
      <c r="P147" s="35" t="inlineStr">
        <is>
          <t>M</t>
        </is>
      </c>
      <c r="Q147" s="35" t="n">
        <v>20</v>
      </c>
      <c r="R147" s="37" t="inlineStr">
        <is>
          <t>LC 300 Longest Increasing Subsequence</t>
        </is>
      </c>
      <c r="S147" s="37" t="inlineStr">
        <is>
          <t>Write PatternCards entry for HNSW vs IVF-PQ indexing tradeoffs</t>
        </is>
      </c>
      <c r="T147" s="37" t="inlineStr">
        <is>
          <t>If an interviewer asks you to build a vector database for 10M embeddings on a single 32GB RAM instance, what index do you choose?</t>
        </is>
      </c>
      <c r="U147" s="37" t="inlineStr">
        <is>
          <t>Vector infrastructure capacity planning</t>
        </is>
      </c>
      <c r="V147" s="37" t="inlineStr">
        <is>
          <t>Vector index architectural design</t>
        </is>
      </c>
      <c r="W147" s="35" t="n"/>
      <c r="X147" s="35" t="n"/>
      <c r="Y147" s="37" t="n"/>
      <c r="Z147" s="37" t="n"/>
      <c r="AA147" s="35" t="n"/>
      <c r="AB147" s="40" t="inlineStr">
        <is>
          <t>—</t>
        </is>
      </c>
    </row>
    <row r="148" ht="56" customHeight="1">
      <c r="A148" s="35" t="n">
        <v>147</v>
      </c>
      <c r="B148" s="35" t="n">
        <v>21</v>
      </c>
      <c r="C148" s="36" t="n">
        <v>46442</v>
      </c>
      <c r="D148" s="37" t="inlineStr">
        <is>
          <t>Week 21 audit: implement HNSW Layer-0 Beam Search cold with no notes</t>
        </is>
      </c>
      <c r="E148" s="37" t="inlineStr">
        <is>
          <t>Review/audit</t>
        </is>
      </c>
      <c r="F148" s="37" t="inlineStr">
        <is>
          <t>Total command over proximity graph navigation mechanics</t>
        </is>
      </c>
      <c r="G148" s="37" t="inlineStr">
        <is>
          <t>NO</t>
        </is>
      </c>
      <c r="H148" s="37" t="inlineStr">
        <is>
          <t>-</t>
        </is>
      </c>
      <c r="I148" s="35" t="inlineStr"/>
      <c r="J148" s="37" t="inlineStr">
        <is>
          <t>Untimed</t>
        </is>
      </c>
      <c r="K148" s="37" t="inlineStr">
        <is>
          <t>Notes forbidden</t>
        </is>
      </c>
      <c r="L148" s="37" t="inlineStr">
        <is>
          <t>Rederive: HNSW Layer-0 Beam Search with visited set and candidate min-heap cold</t>
        </is>
      </c>
      <c r="M148" s="35" t="inlineStr">
        <is>
          <t>H</t>
        </is>
      </c>
      <c r="N148" s="35" t="n">
        <v>45</v>
      </c>
      <c r="O148" s="37" t="inlineStr">
        <is>
          <t>Rederive: Vector cosine similarity and Euclidean distance SIMD simulation cold</t>
        </is>
      </c>
      <c r="P148" s="35" t="inlineStr">
        <is>
          <t>M</t>
        </is>
      </c>
      <c r="Q148" s="35" t="n">
        <v>20</v>
      </c>
      <c r="R148" s="37" t="inlineStr">
        <is>
          <t>LC 149 Max Points on a Line</t>
        </is>
      </c>
      <c r="S148" s="37" t="inlineStr">
        <is>
          <t>Code the complete HNSW search algorithm in raw Python/C++; explain the efSearch parameter</t>
        </is>
      </c>
      <c r="T148" s="37" t="inlineStr">
        <is>
          <t>Can you explain how HNSW guarantees no infinite loops in cyclic proximity graphs?</t>
        </is>
      </c>
      <c r="U148" s="37" t="inlineStr">
        <is>
          <t>Vector database algorithmic mastery</t>
        </is>
      </c>
      <c r="V148" s="37" t="inlineStr">
        <is>
          <t>Proximity graph fluency</t>
        </is>
      </c>
      <c r="W148" s="35" t="n"/>
      <c r="X148" s="35" t="n"/>
      <c r="Y148" s="37" t="n"/>
      <c r="Z148" s="37" t="n"/>
      <c r="AA148" s="35" t="n"/>
      <c r="AB148" s="40" t="inlineStr">
        <is>
          <t>—</t>
        </is>
      </c>
    </row>
    <row r="149" ht="56" customHeight="1">
      <c r="A149" s="41" t="n">
        <v>148</v>
      </c>
      <c r="B149" s="41" t="n">
        <v>22</v>
      </c>
      <c r="C149" s="42" t="n">
        <v>46443</v>
      </c>
      <c r="D149" s="43" t="inlineStr">
        <is>
          <t>Heterogeneous DAG Task Scheduling: ASAP, ALAP &amp; Critical Path Method</t>
        </is>
      </c>
      <c r="E149" s="43" t="inlineStr">
        <is>
          <t>DAG scheduling</t>
        </is>
      </c>
      <c r="F149" s="43" t="inlineStr">
        <is>
          <t>Earliest Start Time (EST), Latest Start Time (LST), task slack / float; critical path identification in ML compute graphs</t>
        </is>
      </c>
      <c r="G149" s="43" t="inlineStr">
        <is>
          <t>YES</t>
        </is>
      </c>
      <c r="H149" s="44">
        <f>HYPERLINK("https://www.youtube.com/watch?v=UUKTIhxznF0", "DAG Task Scheduling &amp; Critical Path Method in ML Compilers")</f>
        <v/>
      </c>
      <c r="I149" s="41" t="n">
        <v>25</v>
      </c>
      <c r="J149" s="43" t="inlineStr">
        <is>
          <t>Untimed</t>
        </is>
      </c>
      <c r="K149" s="43" t="inlineStr">
        <is>
          <t>1 hint @20min</t>
        </is>
      </c>
      <c r="L149" s="43" t="inlineStr">
        <is>
          <t>LC 2050 Parallel Courses III (Critical Path DAG)</t>
        </is>
      </c>
      <c r="M149" s="41" t="inlineStr">
        <is>
          <t>H</t>
        </is>
      </c>
      <c r="N149" s="41" t="n">
        <v>35</v>
      </c>
      <c r="O149" s="43" t="inlineStr">
        <is>
          <t>LC 207 Course Schedule (Topological baseline)</t>
        </is>
      </c>
      <c r="P149" s="41" t="inlineStr">
        <is>
          <t>M</t>
        </is>
      </c>
      <c r="Q149" s="41" t="n">
        <v>20</v>
      </c>
      <c r="R149" s="43" t="inlineStr">
        <is>
          <t>LC 149 Max Points on a Line</t>
        </is>
      </c>
      <c r="S149" s="43" t="inlineStr">
        <is>
          <t>Write down the dynamic programming formula for critical path duration on a DAG: dist[v] = max(dist[u] + time[v])</t>
        </is>
      </c>
      <c r="T149" s="43" t="inlineStr">
        <is>
          <t>How do you identify tasks with zero slack (the critical path) from EST and LST arrays?</t>
        </is>
      </c>
      <c r="U149" s="43" t="inlineStr">
        <is>
          <t>PyTorch 2.0 Inductor graph lowering, XLA compiler fusion scheduling, distributed pipeline parallelism</t>
        </is>
      </c>
      <c r="V149" s="43" t="inlineStr">
        <is>
          <t>Pipeline latency minimization</t>
        </is>
      </c>
      <c r="W149" s="41" t="n"/>
      <c r="X149" s="41" t="n"/>
      <c r="Y149" s="43" t="n"/>
      <c r="Z149" s="43" t="n"/>
      <c r="AA149" s="41" t="n"/>
      <c r="AB149" s="45">
        <f>HYPERLINK("https://www.youtube.com/watch?v=UUKTIhxznF0", "▶ Watch (MIT OpenCourseWare) ↗")</f>
        <v/>
      </c>
    </row>
    <row r="150" ht="56" customHeight="1">
      <c r="A150" s="41" t="n">
        <v>149</v>
      </c>
      <c r="B150" s="41" t="n">
        <v>22</v>
      </c>
      <c r="C150" s="42" t="n">
        <v>46444</v>
      </c>
      <c r="D150" s="43" t="inlineStr">
        <is>
          <t>Memory-Bounded Topological Scheduling: Minimizing peak activation memory</t>
        </is>
      </c>
      <c r="E150" s="43" t="inlineStr">
        <is>
          <t>Memory-constrained DAG</t>
        </is>
      </c>
      <c r="F150" s="43" t="inlineStr">
        <is>
          <t>Scheduling operator execution order to minimize peak live tensor memory; activation recomputation (checkpointing)</t>
        </is>
      </c>
      <c r="G150" s="43" t="inlineStr">
        <is>
          <t>YES</t>
        </is>
      </c>
      <c r="H150" s="44">
        <f>HYPERLINK("https://www.youtube.com/watch?v=isc3UfOq1Bc", "Memory-Efficient DAG Scheduling &amp; Activation Checkpointing")</f>
        <v/>
      </c>
      <c r="I150" s="41" t="n">
        <v>25</v>
      </c>
      <c r="J150" s="43" t="inlineStr">
        <is>
          <t>Untimed</t>
        </is>
      </c>
      <c r="K150" s="43" t="inlineStr">
        <is>
          <t>1 hint @20min</t>
        </is>
      </c>
      <c r="L150" s="43" t="inlineStr">
        <is>
          <t>Simulate a topological scheduler that minimizes live peak memory using a greedy min-heap</t>
        </is>
      </c>
      <c r="M150" s="41" t="inlineStr">
        <is>
          <t>H</t>
        </is>
      </c>
      <c r="N150" s="41" t="n">
        <v>45</v>
      </c>
      <c r="O150" s="43" t="inlineStr">
        <is>
          <t>LC 210 Course Schedule II (Topological order)</t>
        </is>
      </c>
      <c r="P150" s="41" t="inlineStr">
        <is>
          <t>M</t>
        </is>
      </c>
      <c r="Q150" s="41" t="n">
        <v>20</v>
      </c>
      <c r="R150" s="43" t="inlineStr">
        <is>
          <t>LC 2050 Parallel Courses III</t>
        </is>
      </c>
      <c r="S150" s="43" t="inlineStr">
        <is>
          <t>Explain why standard BFS topological sort causes maximum peak memory while DFS causes minimum peak memory</t>
        </is>
      </c>
      <c r="T150" s="43" t="inlineStr">
        <is>
          <t>Can you explain the trade-off between peak live memory and parallel operator execution concurrency?</t>
        </is>
      </c>
      <c r="U150" s="43" t="inlineStr">
        <is>
          <t>Megatron-LM activation checkpointing, GPU out-of-memory (OOM) avoidance in large model training</t>
        </is>
      </c>
      <c r="V150" s="43" t="inlineStr">
        <is>
          <t>Memory-bounded scheduling</t>
        </is>
      </c>
      <c r="W150" s="41" t="n"/>
      <c r="X150" s="41" t="n"/>
      <c r="Y150" s="43" t="n"/>
      <c r="Z150" s="43" t="n"/>
      <c r="AA150" s="41" t="n"/>
      <c r="AB150" s="45">
        <f>HYPERLINK("https://www.youtube.com/watch?v=isc3UfOq1Bc", "▶ Watch (USENIX) ↗")</f>
        <v/>
      </c>
    </row>
    <row r="151" ht="56" customHeight="1">
      <c r="A151" s="41" t="n">
        <v>150</v>
      </c>
      <c r="B151" s="41" t="n">
        <v>22</v>
      </c>
      <c r="C151" s="42" t="n">
        <v>46445</v>
      </c>
      <c r="D151" s="43" t="inlineStr">
        <is>
          <t>Tensor Strided Indexing, Memory Layouts (Row-Major vs Col-Major) &amp; In-Place Transpose</t>
        </is>
      </c>
      <c r="E151" s="43" t="inlineStr">
        <is>
          <t>Strided index arithmetic</t>
        </is>
      </c>
      <c r="F151" s="43" t="inlineStr">
        <is>
          <t>Multi-dimensional offset formula: index = sum(coords[i] * strides[i]); contiguous vs non-contiguous views; cycle-following transpose</t>
        </is>
      </c>
      <c r="G151" s="43" t="inlineStr">
        <is>
          <t>YES</t>
        </is>
      </c>
      <c r="H151" s="44">
        <f>HYPERLINK("https://www.youtube.com/watch?v=--E-hW8hHzU", "Tensor Strides, Contiguity &amp; In-Place Transposition Algorithms")</f>
        <v/>
      </c>
      <c r="I151" s="41" t="n">
        <v>25</v>
      </c>
      <c r="J151" s="43" t="inlineStr">
        <is>
          <t>Untimed</t>
        </is>
      </c>
      <c r="K151" s="43" t="inlineStr">
        <is>
          <t>1 hint @20min</t>
        </is>
      </c>
      <c r="L151" s="43" t="inlineStr">
        <is>
          <t>Implement Tensor strided indexing class: view, transpose, permute without copying data</t>
        </is>
      </c>
      <c r="M151" s="41" t="inlineStr">
        <is>
          <t>M</t>
        </is>
      </c>
      <c r="N151" s="41" t="n">
        <v>35</v>
      </c>
      <c r="O151" s="43" t="inlineStr">
        <is>
          <t>LC 48 Rotate Image (In-place 2D matrix transpose)</t>
        </is>
      </c>
      <c r="P151" s="41" t="inlineStr">
        <is>
          <t>M</t>
        </is>
      </c>
      <c r="Q151" s="41" t="n">
        <v>25</v>
      </c>
      <c r="R151" s="43" t="inlineStr">
        <is>
          <t>LC 210 Course Schedule II</t>
        </is>
      </c>
      <c r="S151" s="43" t="inlineStr">
        <is>
          <t>Derive new strides after a transpose(dim1, dim2) operation without allocating new memory</t>
        </is>
      </c>
      <c r="T151" s="43" t="inlineStr">
        <is>
          <t>What condition must be satisfied for a tensor to be considered C-contiguous?</t>
        </is>
      </c>
      <c r="U151" s="43" t="inlineStr">
        <is>
          <t>PyTorch Tensor internals, Triton kernel memory layouts, FlashAttention tiled SRAM loading</t>
        </is>
      </c>
      <c r="V151" s="43" t="inlineStr">
        <is>
          <t>Zero-copy tensor math</t>
        </is>
      </c>
      <c r="W151" s="41" t="n"/>
      <c r="X151" s="41" t="n"/>
      <c r="Y151" s="43" t="n"/>
      <c r="Z151" s="43" t="n"/>
      <c r="AA151" s="41" t="n"/>
      <c r="AB151" s="45">
        <f>HYPERLINK("https://www.youtube.com/watch?v=--E-hW8hHzU", "▶ Watch (Vinh Nguyen) ↗")</f>
        <v/>
      </c>
    </row>
    <row r="152" ht="56" customHeight="1">
      <c r="A152" s="41" t="n">
        <v>151</v>
      </c>
      <c r="B152" s="41" t="n">
        <v>22</v>
      </c>
      <c r="C152" s="42" t="n">
        <v>46446</v>
      </c>
      <c r="D152" s="43" t="inlineStr">
        <is>
          <t>Parallel Prefix Scan (Blelloch Algorithm): Work-efficient parallel scan</t>
        </is>
      </c>
      <c r="E152" s="43" t="inlineStr">
        <is>
          <t>Parallel prefix scan</t>
        </is>
      </c>
      <c r="F152" s="43" t="inlineStr">
        <is>
          <t>Up-sweep (reduce) tree and down-sweep tree; work efficiency O(n) additions vs naive O(n log n); parallel scan in GPU thread blocks</t>
        </is>
      </c>
      <c r="G152" s="43" t="inlineStr">
        <is>
          <t>YES</t>
        </is>
      </c>
      <c r="H152" s="44">
        <f>HYPERLINK("https://www.youtube.com/watch?v=mmYv3Haj6uc", "The Blelloch Work-Efficient Parallel Scan Algorithm")</f>
        <v/>
      </c>
      <c r="I152" s="41" t="n">
        <v>25</v>
      </c>
      <c r="J152" s="43" t="inlineStr">
        <is>
          <t>Untimed</t>
        </is>
      </c>
      <c r="K152" s="43" t="inlineStr">
        <is>
          <t>1 hint @20min</t>
        </is>
      </c>
      <c r="L152" s="43" t="inlineStr">
        <is>
          <t>Implement Blelloch parallel scan simulator in Python: up-sweep and down-sweep passes</t>
        </is>
      </c>
      <c r="M152" s="41" t="inlineStr">
        <is>
          <t>H</t>
        </is>
      </c>
      <c r="N152" s="41" t="n">
        <v>40</v>
      </c>
      <c r="O152" s="43" t="inlineStr">
        <is>
          <t>LC 303 Range Sum Query - Immutable (Prefix baseline)</t>
        </is>
      </c>
      <c r="P152" s="41" t="inlineStr">
        <is>
          <t>E</t>
        </is>
      </c>
      <c r="Q152" s="41" t="n">
        <v>15</v>
      </c>
      <c r="R152" s="43" t="inlineStr">
        <is>
          <t>LC 48 Rotate Image</t>
        </is>
      </c>
      <c r="S152" s="43" t="inlineStr">
        <is>
          <t>Explain the down-sweep step: why does root set to 0, and what are left_child and right_child updated to?</t>
        </is>
      </c>
      <c r="T152" s="43" t="inlineStr">
        <is>
          <t>Can you explain why Blelloch scan is work-efficient (O(n) operations) compared to Hillis-Steele (O(n log n))?</t>
        </is>
      </c>
      <c r="U152" s="43" t="inlineStr">
        <is>
          <t>CUDA Thrust scan primitives, parallel token position index generation, stream compaction</t>
        </is>
      </c>
      <c r="V152" s="43" t="inlineStr">
        <is>
          <t>Parallel tree reduction</t>
        </is>
      </c>
      <c r="W152" s="41" t="n"/>
      <c r="X152" s="41" t="n"/>
      <c r="Y152" s="43" t="n"/>
      <c r="Z152" s="43" t="n"/>
      <c r="AA152" s="41" t="n"/>
      <c r="AB152" s="45">
        <f>HYPERLINK("https://www.youtube.com/watch?v=mmYv3Haj6uc", "▶ Watch (Mark Harris (NVIDIA)) ↗")</f>
        <v/>
      </c>
    </row>
    <row r="153" ht="56" customHeight="1">
      <c r="A153" s="41" t="n">
        <v>152</v>
      </c>
      <c r="B153" s="41" t="n">
        <v>22</v>
      </c>
      <c r="C153" s="42" t="n">
        <v>46447</v>
      </c>
      <c r="D153" s="43" t="inlineStr">
        <is>
          <t>Sparse Matrix Formats (COO, CSR, CSC) &amp; Sparse-Dense Matrix Multiplication (SpMM)</t>
        </is>
      </c>
      <c r="E153" s="43" t="inlineStr">
        <is>
          <t>Sparse matrix formats</t>
        </is>
      </c>
      <c r="F153" s="43" t="inlineStr">
        <is>
          <t>Coordinate format (COO), Compressed Sparse Row (CSR: values, col_indices, row_ptrs); O(nnz) operations</t>
        </is>
      </c>
      <c r="G153" s="43" t="inlineStr">
        <is>
          <t>YES</t>
        </is>
      </c>
      <c r="H153" s="44">
        <f>HYPERLINK("https://www.youtube.com/watch?v=1dGRTOwBkQs", "Sparse Matrix Representations (CSR, CSC) &amp; SpMM Algorithm")</f>
        <v/>
      </c>
      <c r="I153" s="41" t="n">
        <v>25</v>
      </c>
      <c r="J153" s="43" t="inlineStr">
        <is>
          <t>Untimed</t>
        </is>
      </c>
      <c r="K153" s="43" t="inlineStr">
        <is>
          <t>1 hint @20min</t>
        </is>
      </c>
      <c r="L153" s="43" t="inlineStr">
        <is>
          <t>Implement CSR Matrix class: from_dense(), to_dense(), and spmm_vector_multiply()</t>
        </is>
      </c>
      <c r="M153" s="41" t="inlineStr">
        <is>
          <t>M</t>
        </is>
      </c>
      <c r="N153" s="41" t="n">
        <v>35</v>
      </c>
      <c r="O153" s="43" t="inlineStr">
        <is>
          <t>LC 311 Sparse Matrix Multiplication</t>
        </is>
      </c>
      <c r="P153" s="41" t="inlineStr">
        <is>
          <t>M</t>
        </is>
      </c>
      <c r="Q153" s="41" t="n">
        <v>25</v>
      </c>
      <c r="R153" s="43" t="inlineStr">
        <is>
          <t>LC 303 Range Sum Query - Immutable</t>
        </is>
      </c>
      <c r="S153" s="43" t="inlineStr">
        <is>
          <t>Explain why row_ptrs array in CSR has length num_rows + 1; how do you find row non-zero elements in O(1)?</t>
        </is>
      </c>
      <c r="T153" s="43" t="inlineStr">
        <is>
          <t>Why is CSR optimal for row-slicing and matrix-vector product, while CSC is optimal for column operations?</t>
        </is>
      </c>
      <c r="U153" s="43" t="inlineStr">
        <is>
          <t>Graph Neural Networks (PyG), sparse mixture-of-experts (MoE) routing, sparse attention kernels</t>
        </is>
      </c>
      <c r="V153" s="43" t="inlineStr">
        <is>
          <t>Sparse linear algebra data structures</t>
        </is>
      </c>
      <c r="W153" s="41" t="n"/>
      <c r="X153" s="41" t="n"/>
      <c r="Y153" s="43" t="n"/>
      <c r="Z153" s="43" t="n"/>
      <c r="AA153" s="41" t="n"/>
      <c r="AB153" s="45">
        <f>HYPERLINK("https://www.youtube.com/watch?v=1dGRTOwBkQs", "▶ Watch (Tim Davis) ↗")</f>
        <v/>
      </c>
    </row>
    <row r="154" ht="56" customHeight="1">
      <c r="A154" s="41" t="n">
        <v>153</v>
      </c>
      <c r="B154" s="41" t="n">
        <v>22</v>
      </c>
      <c r="C154" s="42" t="n">
        <v>46448</v>
      </c>
      <c r="D154" s="43" t="inlineStr">
        <is>
          <t>Blind ML Systems Algorithmic Session</t>
        </is>
      </c>
      <c r="E154" s="43" t="inlineStr">
        <is>
          <t>Blind (ML algorithms)</t>
        </is>
      </c>
      <c r="F154" s="43" t="inlineStr">
        <is>
          <t>Synthesizing DAG scheduling, sparse matrix representations, and tensor layouts</t>
        </is>
      </c>
      <c r="G154" s="43" t="inlineStr">
        <is>
          <t>NO</t>
        </is>
      </c>
      <c r="H154" s="43" t="inlineStr">
        <is>
          <t>-</t>
        </is>
      </c>
      <c r="I154" s="41" t="inlineStr"/>
      <c r="J154" s="43" t="inlineStr">
        <is>
          <t>Untimed</t>
        </is>
      </c>
      <c r="K154" s="43" t="inlineStr">
        <is>
          <t>No hints before 20min</t>
        </is>
      </c>
      <c r="L154" s="43" t="inlineStr">
        <is>
          <t>LC 847 Shortest Path Visiting All Nodes (State-space bitmask graph)</t>
        </is>
      </c>
      <c r="M154" s="41" t="inlineStr">
        <is>
          <t>H</t>
        </is>
      </c>
      <c r="N154" s="41" t="n">
        <v>40</v>
      </c>
      <c r="O154" s="43" t="inlineStr">
        <is>
          <t>LC 133 Clone Graph</t>
        </is>
      </c>
      <c r="P154" s="41" t="inlineStr">
        <is>
          <t>M</t>
        </is>
      </c>
      <c r="Q154" s="41" t="n">
        <v>20</v>
      </c>
      <c r="R154" s="43" t="inlineStr">
        <is>
          <t>LC 311 Sparse Matrix Multiplication</t>
        </is>
      </c>
      <c r="S154" s="43" t="inlineStr">
        <is>
          <t>Write PatternCards entry for Memory-Bounded Topological Sort vs Critical Path DAG</t>
        </is>
      </c>
      <c r="T154" s="43" t="inlineStr">
        <is>
          <t>Time-to-pattern on LC 847. Did you immediately recognize the BFS on (node, mask) state-space?</t>
        </is>
      </c>
      <c r="U154" s="43" t="inlineStr">
        <is>
          <t>Compiler pass optimization, graph kernel scheduling</t>
        </is>
      </c>
      <c r="V154" s="43" t="inlineStr">
        <is>
          <t>ML systems algorithmic fluency</t>
        </is>
      </c>
      <c r="W154" s="41" t="n"/>
      <c r="X154" s="41" t="n"/>
      <c r="Y154" s="43" t="n"/>
      <c r="Z154" s="43" t="n"/>
      <c r="AA154" s="41" t="n"/>
      <c r="AB154" s="46" t="inlineStr">
        <is>
          <t>—</t>
        </is>
      </c>
    </row>
    <row r="155" ht="56" customHeight="1">
      <c r="A155" s="41" t="n">
        <v>154</v>
      </c>
      <c r="B155" s="41" t="n">
        <v>22</v>
      </c>
      <c r="C155" s="42" t="n">
        <v>46449</v>
      </c>
      <c r="D155" s="43" t="inlineStr">
        <is>
          <t>Milestone Diagnostic #7: ML Compilers, DAG Scheduling &amp; Tensor Algorithms</t>
        </is>
      </c>
      <c r="E155" s="43" t="inlineStr">
        <is>
          <t>Diagnostic</t>
        </is>
      </c>
      <c r="F155" s="43" t="inlineStr">
        <is>
          <t>Unlabelled diagnostic testing ML infrastructure algorithms under time constraints</t>
        </is>
      </c>
      <c r="G155" s="43" t="inlineStr">
        <is>
          <t>NO</t>
        </is>
      </c>
      <c r="H155" s="43" t="inlineStr">
        <is>
          <t>-</t>
        </is>
      </c>
      <c r="I155" s="41" t="inlineStr"/>
      <c r="J155" s="43" t="inlineStr">
        <is>
          <t>Diagnostic</t>
        </is>
      </c>
      <c r="K155" s="43" t="inlineStr">
        <is>
          <t>None</t>
        </is>
      </c>
      <c r="L155" s="43" t="inlineStr">
        <is>
          <t>Diagnostic 7: LC 2050, Blelloch Scan Simulator, CSR SpMM (unlabelled, 110 min)</t>
        </is>
      </c>
      <c r="M155" s="41" t="inlineStr">
        <is>
          <t>H</t>
        </is>
      </c>
      <c r="N155" s="41" t="n">
        <v>110</v>
      </c>
      <c r="O155" s="43" t="inlineStr">
        <is>
          <t>Error log + weakness classification in FailureLog</t>
        </is>
      </c>
      <c r="P155" s="41" t="inlineStr">
        <is>
          <t>-</t>
        </is>
      </c>
      <c r="Q155" s="41" t="n">
        <v>25</v>
      </c>
      <c r="R155" s="43" t="inlineStr">
        <is>
          <t>-</t>
        </is>
      </c>
      <c r="S155" s="43" t="inlineStr">
        <is>
          <t>Log performance in MockInterviews; update ProgressionCurve actuals</t>
        </is>
      </c>
      <c r="T155" s="43" t="inlineStr">
        <is>
          <t>Did you prove work-efficiency of the parallel scan and DAG schedule latency bounds?</t>
        </is>
      </c>
      <c r="U155" s="43" t="inlineStr">
        <is>
          <t>Systems interview diagnostic</t>
        </is>
      </c>
      <c r="V155" s="43" t="inlineStr">
        <is>
          <t>High-pressure synthesis</t>
        </is>
      </c>
      <c r="W155" s="41" t="n"/>
      <c r="X155" s="41" t="n"/>
      <c r="Y155" s="43" t="n"/>
      <c r="Z155" s="43" t="n"/>
      <c r="AA155" s="41" t="n"/>
      <c r="AB155" s="46" t="inlineStr">
        <is>
          <t>—</t>
        </is>
      </c>
    </row>
    <row r="156" ht="56" customHeight="1">
      <c r="A156" s="35" t="n">
        <v>155</v>
      </c>
      <c r="B156" s="35" t="n">
        <v>23</v>
      </c>
      <c r="C156" s="36" t="n">
        <v>46450</v>
      </c>
      <c r="D156" s="37" t="inlineStr">
        <is>
          <t>Reservoir Sampling (Uniform &amp; Weighted): Fair streaming sampling with bounded memory</t>
        </is>
      </c>
      <c r="E156" s="37" t="inlineStr">
        <is>
          <t>Reservoir sampling</t>
        </is>
      </c>
      <c r="F156" s="37" t="inlineStr">
        <is>
          <t>Algorithm R: keep first k, replace item i with probability k/i; A-Res weighted sampling with key u^(1/w)</t>
        </is>
      </c>
      <c r="G156" s="37" t="inlineStr">
        <is>
          <t>YES</t>
        </is>
      </c>
      <c r="H156" s="38">
        <f>HYPERLINK("https://www.youtube.com/watch?v=A1iwzSew5QY", "Reservoir Sampling: Mathematical Proof &amp; Weighted Extensions")</f>
        <v/>
      </c>
      <c r="I156" s="35" t="n">
        <v>25</v>
      </c>
      <c r="J156" s="37" t="inlineStr">
        <is>
          <t>Untimed</t>
        </is>
      </c>
      <c r="K156" s="37" t="inlineStr">
        <is>
          <t>1 hint @20min</t>
        </is>
      </c>
      <c r="L156" s="37" t="inlineStr">
        <is>
          <t>LC 382 Linked List Random Node</t>
        </is>
      </c>
      <c r="M156" s="35" t="inlineStr">
        <is>
          <t>M</t>
        </is>
      </c>
      <c r="N156" s="35" t="n">
        <v>25</v>
      </c>
      <c r="O156" s="37" t="inlineStr">
        <is>
          <t>LC 398 Random Pick Index</t>
        </is>
      </c>
      <c r="P156" s="35" t="inlineStr">
        <is>
          <t>M</t>
        </is>
      </c>
      <c r="Q156" s="35" t="n">
        <v>25</v>
      </c>
      <c r="R156" s="37" t="inlineStr">
        <is>
          <t>LC 847 Shortest Path Visiting All Nodes</t>
        </is>
      </c>
      <c r="S156" s="37" t="inlineStr">
        <is>
          <t>Write the induction proof that every item in a stream of length N has probability exactly k/N of being in reservoir</t>
        </is>
      </c>
      <c r="T156" s="37" t="inlineStr">
        <is>
          <t>Why does reservoir sampling require zero knowledge of the total stream length N beforehand?</t>
        </is>
      </c>
      <c r="U156" s="37" t="inlineStr">
        <is>
          <t>Distributed dataset shuffling in PyTorch DataLoader, online telemetry metric sampling</t>
        </is>
      </c>
      <c r="V156" s="37" t="inlineStr">
        <is>
          <t>Fair streaming sampling</t>
        </is>
      </c>
      <c r="W156" s="35" t="n"/>
      <c r="X156" s="35" t="n"/>
      <c r="Y156" s="37" t="n"/>
      <c r="Z156" s="37" t="n"/>
      <c r="AA156" s="35" t="n"/>
      <c r="AB156" s="39">
        <f>HYPERLINK("https://www.youtube.com/watch?v=A1iwzSew5QY", "▶ Watch (NeetCode) ↗")</f>
        <v/>
      </c>
    </row>
    <row r="157" ht="56" customHeight="1">
      <c r="A157" s="35" t="n">
        <v>156</v>
      </c>
      <c r="B157" s="35" t="n">
        <v>23</v>
      </c>
      <c r="C157" s="36" t="n">
        <v>46451</v>
      </c>
      <c r="D157" s="37" t="inlineStr">
        <is>
          <t>Count-Min Sketch &amp; Conservative Update: Frequency estimation over high-volume streams</t>
        </is>
      </c>
      <c r="E157" s="37" t="inlineStr">
        <is>
          <t>Count-Min Sketch</t>
        </is>
      </c>
      <c r="F157" s="37" t="inlineStr">
        <is>
          <t>d x w 2D array of counters with d hash functions; point query takes min across rows; error bound eps = e/w, delta = 1/e^d</t>
        </is>
      </c>
      <c r="G157" s="37" t="inlineStr">
        <is>
          <t>YES</t>
        </is>
      </c>
      <c r="H157" s="38">
        <f>HYPERLINK("https://www.youtube.com/watch?v=ibxXO-b14j4", "Count-Min Sketch: Approximating Stream Frequencies in Sub-Linear Space")</f>
        <v/>
      </c>
      <c r="I157" s="35" t="n">
        <v>25</v>
      </c>
      <c r="J157" s="37" t="inlineStr">
        <is>
          <t>Untimed</t>
        </is>
      </c>
      <c r="K157" s="37" t="inlineStr">
        <is>
          <t>1 hint @20min</t>
        </is>
      </c>
      <c r="L157" s="37" t="inlineStr">
        <is>
          <t>Implement Count-Min Sketch with conservative update: add(item), estimate(item)</t>
        </is>
      </c>
      <c r="M157" s="35" t="inlineStr">
        <is>
          <t>M</t>
        </is>
      </c>
      <c r="N157" s="35" t="n">
        <v>35</v>
      </c>
      <c r="O157" s="37" t="inlineStr">
        <is>
          <t>LC 1497 Check If Array Pairs Are Divisible by k (Remainder counting)</t>
        </is>
      </c>
      <c r="P157" s="35" t="inlineStr">
        <is>
          <t>M</t>
        </is>
      </c>
      <c r="Q157" s="35" t="n">
        <v>20</v>
      </c>
      <c r="R157" s="37" t="inlineStr">
        <is>
          <t>LC 382 Linked List Random Node</t>
        </is>
      </c>
      <c r="S157" s="37" t="inlineStr">
        <is>
          <t>Explain why Count-Min Sketch always overestimates and never underestimates the true frequency</t>
        </is>
      </c>
      <c r="T157" s="37" t="inlineStr">
        <is>
          <t>What does the conservative update optimization do to reduce overestimation error?</t>
        </is>
      </c>
      <c r="U157" s="37" t="inlineStr">
        <is>
          <t>Network DDoS detection, live trending hashtag counters, distributed token frequency monitoring</t>
        </is>
      </c>
      <c r="V157" s="37" t="inlineStr">
        <is>
          <t>Sublinear frequency estimation</t>
        </is>
      </c>
      <c r="W157" s="35" t="n"/>
      <c r="X157" s="35" t="n"/>
      <c r="Y157" s="37" t="n"/>
      <c r="Z157" s="37" t="n"/>
      <c r="AA157" s="35" t="n"/>
      <c r="AB157" s="39">
        <f>HYPERLINK("https://www.youtube.com/watch?v=ibxXO-b14j4", "▶ Watch (Tech Dummies (Narendra L)) ↗")</f>
        <v/>
      </c>
    </row>
    <row r="158" ht="56" customHeight="1">
      <c r="A158" s="35" t="n">
        <v>157</v>
      </c>
      <c r="B158" s="35" t="n">
        <v>23</v>
      </c>
      <c r="C158" s="36" t="n">
        <v>46452</v>
      </c>
      <c r="D158" s="37" t="inlineStr">
        <is>
          <t>HyperLogLog (HLL): Cardinality estimation of billions of unique keys</t>
        </is>
      </c>
      <c r="E158" s="37" t="inlineStr">
        <is>
          <t>HyperLogLog (HLL)</t>
        </is>
      </c>
      <c r="F158" s="37" t="inlineStr">
        <is>
          <t>Register bucket assignment from hash prefix; counting leading zeros of hash suffix; harmonic mean aggregation</t>
        </is>
      </c>
      <c r="G158" s="37" t="inlineStr">
        <is>
          <t>YES</t>
        </is>
      </c>
      <c r="H158" s="38">
        <f>HYPERLINK("https://www.youtube.com/watch?v=tOsb-tFoPCg", "HyperLogLog: How Redis &amp; Google Count Billions of Unique Elements in 1.5KB")</f>
        <v/>
      </c>
      <c r="I158" s="35" t="n">
        <v>25</v>
      </c>
      <c r="J158" s="37" t="inlineStr">
        <is>
          <t>Untimed</t>
        </is>
      </c>
      <c r="K158" s="37" t="inlineStr">
        <is>
          <t>1 hint @20min</t>
        </is>
      </c>
      <c r="L158" s="37" t="inlineStr">
        <is>
          <t>Implement minimal HyperLogLog simulator with 64 registers and leading zero count</t>
        </is>
      </c>
      <c r="M158" s="35" t="inlineStr">
        <is>
          <t>M</t>
        </is>
      </c>
      <c r="N158" s="35" t="n">
        <v>35</v>
      </c>
      <c r="O158" s="37" t="inlineStr">
        <is>
          <t>LC 128 Longest Consecutive Sequence (Review unique sets)</t>
        </is>
      </c>
      <c r="P158" s="35" t="inlineStr">
        <is>
          <t>M</t>
        </is>
      </c>
      <c r="Q158" s="35" t="n">
        <v>20</v>
      </c>
      <c r="R158" s="37" t="inlineStr">
        <is>
          <t>LC 1497 Check If Array Pairs Are Divisible by k</t>
        </is>
      </c>
      <c r="S158" s="37" t="inlineStr">
        <is>
          <t>Explain why harmonic mean is used across registers instead of geometric or arithmetic mean (outlier resistance)</t>
        </is>
      </c>
      <c r="T158" s="37" t="inlineStr">
        <is>
          <t>Why does a 12KB HyperLogLog estimate cardinality up to 10^9 unique items with standard error ~1%?</t>
        </is>
      </c>
      <c r="U158" s="37" t="inlineStr">
        <is>
          <t>Unique visitor counts in BigQuery/Snowflake, distinct token counts across petabyte LLM training corpora</t>
        </is>
      </c>
      <c r="V158" s="37" t="inlineStr">
        <is>
          <t>Logarithmic cardinality estimation</t>
        </is>
      </c>
      <c r="W158" s="35" t="n"/>
      <c r="X158" s="35" t="n"/>
      <c r="Y158" s="37" t="n"/>
      <c r="Z158" s="37" t="n"/>
      <c r="AA158" s="35" t="n"/>
      <c r="AB158" s="39">
        <f>HYPERLINK("https://www.youtube.com/watch?v=tOsb-tFoPCg", "▶ Watch (Arpit Bhayani) ↗")</f>
        <v/>
      </c>
    </row>
    <row r="159" ht="56" customHeight="1">
      <c r="A159" s="35" t="n">
        <v>158</v>
      </c>
      <c r="B159" s="35" t="n">
        <v>23</v>
      </c>
      <c r="C159" s="36" t="n">
        <v>46453</v>
      </c>
      <c r="D159" s="37" t="inlineStr">
        <is>
          <t>Heavy Hitters &amp; Misra-Gries Algorithm: Finding top-K frequent elements in streaming data</t>
        </is>
      </c>
      <c r="E159" s="37" t="inlineStr">
        <is>
          <t>Misra-Gries / Majority</t>
        </is>
      </c>
      <c r="F159" s="37" t="inlineStr">
        <is>
          <t>Maintaining at most k-1 candidate keys with decrement counters; generalisation of Boyer-Moore majority algorithm</t>
        </is>
      </c>
      <c r="G159" s="37" t="inlineStr">
        <is>
          <t>YES</t>
        </is>
      </c>
      <c r="H159" s="38">
        <f>HYPERLINK("https://www.youtube.com/watch?v=JS8QTpigTFE", "The Misra-Gries Heavy Hitters Algorithm: Streaming Top-K in O(k) space")</f>
        <v/>
      </c>
      <c r="I159" s="35" t="n">
        <v>25</v>
      </c>
      <c r="J159" s="37" t="inlineStr">
        <is>
          <t>Untimed</t>
        </is>
      </c>
      <c r="K159" s="37" t="inlineStr">
        <is>
          <t>1 hint @20min</t>
        </is>
      </c>
      <c r="L159" s="37" t="inlineStr">
        <is>
          <t>LC 169 Majority Element (Boyer-Moore 1-candidate baseline)</t>
        </is>
      </c>
      <c r="M159" s="35" t="inlineStr">
        <is>
          <t>E</t>
        </is>
      </c>
      <c r="N159" s="35" t="n">
        <v>15</v>
      </c>
      <c r="O159" s="37" t="inlineStr">
        <is>
          <t>LC 229 Majority Element II (Misra-Gries 2-candidate implementation)</t>
        </is>
      </c>
      <c r="P159" s="35" t="inlineStr">
        <is>
          <t>M</t>
        </is>
      </c>
      <c r="Q159" s="35" t="n">
        <v>25</v>
      </c>
      <c r="R159" s="37" t="inlineStr">
        <is>
          <t>LC 128 Longest Consecutive Sequence</t>
        </is>
      </c>
      <c r="S159" s="37" t="inlineStr">
        <is>
          <t>Explain why decrementing all k counters when an unfamiliar element arrives preserves the heavy hitter invariant</t>
        </is>
      </c>
      <c r="T159" s="37" t="inlineStr">
        <is>
          <t>Did you state the formal guarantee: any element with frequency &gt; N/k is guaranteed to remain in the candidate set?</t>
        </is>
      </c>
      <c r="U159" s="37" t="inlineStr">
        <is>
          <t>Hot-key detection in caching proxies, toxic query identification in search infrastructure</t>
        </is>
      </c>
      <c r="V159" s="37" t="inlineStr">
        <is>
          <t>Streaming frequency filtering</t>
        </is>
      </c>
      <c r="W159" s="35" t="n"/>
      <c r="X159" s="35" t="n"/>
      <c r="Y159" s="37" t="n"/>
      <c r="Z159" s="37" t="n"/>
      <c r="AA159" s="35" t="n"/>
      <c r="AB159" s="39">
        <f>HYPERLINK("https://www.youtube.com/watch?v=JS8QTpigTFE", "▶ Watch (Kasper Green Larsen) ↗")</f>
        <v/>
      </c>
    </row>
    <row r="160" ht="56" customHeight="1">
      <c r="A160" s="35" t="n">
        <v>159</v>
      </c>
      <c r="B160" s="35" t="n">
        <v>23</v>
      </c>
      <c r="C160" s="36" t="n">
        <v>46454</v>
      </c>
      <c r="D160" s="37" t="inlineStr">
        <is>
          <t>Quantization Algorithms: Symmetric / Asymmetric Uniform Quantization &amp; Block Floating Point (FP8)</t>
        </is>
      </c>
      <c r="E160" s="37" t="inlineStr">
        <is>
          <t>Quantization algorithms</t>
        </is>
      </c>
      <c r="F160" s="37" t="inlineStr">
        <is>
          <t>Scale factor S and zero-point Z; affine mapping q = round(x / S) + Z; clipping range [-128, 127]; outlier-preserving block quantization</t>
        </is>
      </c>
      <c r="G160" s="37" t="inlineStr">
        <is>
          <t>YES</t>
        </is>
      </c>
      <c r="H160" s="38">
        <f>HYPERLINK("https://www.youtube.com/watch?v=7xTGNNLPyMI", "Quantization for Deep Learning: INT8, FP8 &amp; Block Float Algorithms")</f>
        <v/>
      </c>
      <c r="I160" s="35" t="n">
        <v>25</v>
      </c>
      <c r="J160" s="37" t="inlineStr">
        <is>
          <t>Untimed</t>
        </is>
      </c>
      <c r="K160" s="37" t="inlineStr">
        <is>
          <t>1 hint @20min</t>
        </is>
      </c>
      <c r="L160" s="37" t="inlineStr">
        <is>
          <t>Implement Symmetric &amp; Asymmetric INT8 Quantizer/Dequantizer functions with dynamic scale calculation</t>
        </is>
      </c>
      <c r="M160" s="35" t="inlineStr">
        <is>
          <t>M</t>
        </is>
      </c>
      <c r="N160" s="35" t="n">
        <v>35</v>
      </c>
      <c r="O160" s="37" t="inlineStr">
        <is>
          <t>LC 89 Gray Code (Bitwise representations)</t>
        </is>
      </c>
      <c r="P160" s="35" t="inlineStr">
        <is>
          <t>M</t>
        </is>
      </c>
      <c r="Q160" s="35" t="n">
        <v>25</v>
      </c>
      <c r="R160" s="37" t="inlineStr">
        <is>
          <t>LC 229 Majority Element II</t>
        </is>
      </c>
      <c r="S160" s="37" t="inlineStr">
        <is>
          <t>Derive the scale S and zero-point Z formulas given floating point range [x_min, x_max]</t>
        </is>
      </c>
      <c r="T160" s="37" t="inlineStr">
        <is>
          <t>Why is symmetric quantization (Z=0) faster on GPU tensor cores than asymmetric quantization?</t>
        </is>
      </c>
      <c r="U160" s="37" t="inlineStr">
        <is>
          <t>Post-training quantization (PTQ), AWQ, bitsandbytes, TensorRT FP8 kernel acceleration</t>
        </is>
      </c>
      <c r="V160" s="37" t="inlineStr">
        <is>
          <t>Numerical precision compression</t>
        </is>
      </c>
      <c r="W160" s="35" t="n"/>
      <c r="X160" s="35" t="n"/>
      <c r="Y160" s="37" t="n"/>
      <c r="Z160" s="37" t="n"/>
      <c r="AA160" s="35" t="n"/>
      <c r="AB160" s="39">
        <f>HYPERLINK("https://www.youtube.com/watch?v=7xTGNNLPyMI", "▶ Watch (Andrej Karpathy) ↗")</f>
        <v/>
      </c>
    </row>
    <row r="161" ht="56" customHeight="1">
      <c r="A161" s="35" t="n">
        <v>160</v>
      </c>
      <c r="B161" s="35" t="n">
        <v>23</v>
      </c>
      <c r="C161" s="36" t="n">
        <v>46455</v>
      </c>
      <c r="D161" s="37" t="inlineStr">
        <is>
          <t>Blind Probabilistic &amp; Streaming Session</t>
        </is>
      </c>
      <c r="E161" s="37" t="inlineStr">
        <is>
          <t>Blind (probabilistic algorithms)</t>
        </is>
      </c>
      <c r="F161" s="37" t="inlineStr">
        <is>
          <t>Identifying whether a streaming problem needs Reservoir Sampling, Misra-Gries, or a Sketch</t>
        </is>
      </c>
      <c r="G161" s="37" t="inlineStr">
        <is>
          <t>NO</t>
        </is>
      </c>
      <c r="H161" s="37" t="inlineStr">
        <is>
          <t>-</t>
        </is>
      </c>
      <c r="I161" s="35" t="inlineStr"/>
      <c r="J161" s="37" t="inlineStr">
        <is>
          <t>Untimed</t>
        </is>
      </c>
      <c r="K161" s="37" t="inlineStr">
        <is>
          <t>No hints before 20min</t>
        </is>
      </c>
      <c r="L161" s="37" t="inlineStr">
        <is>
          <t>LC 470 Implement Rand10() Using Rand7() (Rejection sampling)</t>
        </is>
      </c>
      <c r="M161" s="35" t="inlineStr">
        <is>
          <t>M</t>
        </is>
      </c>
      <c r="N161" s="35" t="n">
        <v>25</v>
      </c>
      <c r="O161" s="37" t="inlineStr">
        <is>
          <t>LC 528 Random Pick with Weight (Prefix sum + Binary search)</t>
        </is>
      </c>
      <c r="P161" s="35" t="inlineStr">
        <is>
          <t>M</t>
        </is>
      </c>
      <c r="Q161" s="35" t="n">
        <v>25</v>
      </c>
      <c r="R161" s="37" t="inlineStr">
        <is>
          <t>LC 89 Gray Code</t>
        </is>
      </c>
      <c r="S161" s="37" t="inlineStr">
        <is>
          <t>Write PatternCards entry for Count-Min Sketch vs Misra-Gries streaming</t>
        </is>
      </c>
      <c r="T161" s="37" t="inlineStr">
        <is>
          <t>Time-to-pattern on LC 470. Did you immediately recognize the rejection sampling coordinate grid?</t>
        </is>
      </c>
      <c r="U161" s="37" t="inlineStr">
        <is>
          <t>Probabilistic data pipeline analytics</t>
        </is>
      </c>
      <c r="V161" s="37" t="inlineStr">
        <is>
          <t>Probabilistic algorithm fluency</t>
        </is>
      </c>
      <c r="W161" s="35" t="n"/>
      <c r="X161" s="35" t="n"/>
      <c r="Y161" s="37" t="n"/>
      <c r="Z161" s="37" t="n"/>
      <c r="AA161" s="35" t="n"/>
      <c r="AB161" s="40" t="inlineStr">
        <is>
          <t>—</t>
        </is>
      </c>
    </row>
    <row r="162" ht="56" customHeight="1">
      <c r="A162" s="35" t="n">
        <v>161</v>
      </c>
      <c r="B162" s="35" t="n">
        <v>23</v>
      </c>
      <c r="C162" s="36" t="n">
        <v>46456</v>
      </c>
      <c r="D162" s="37" t="inlineStr">
        <is>
          <t>Week 23 audit: implement Count-Min Sketch and Misra-Gries cold with no notes</t>
        </is>
      </c>
      <c r="E162" s="37" t="inlineStr">
        <is>
          <t>Review/audit</t>
        </is>
      </c>
      <c r="F162" s="37" t="inlineStr">
        <is>
          <t>Demonstrating command over streaming and probabilistic algorithms</t>
        </is>
      </c>
      <c r="G162" s="37" t="inlineStr">
        <is>
          <t>NO</t>
        </is>
      </c>
      <c r="H162" s="37" t="inlineStr">
        <is>
          <t>-</t>
        </is>
      </c>
      <c r="I162" s="35" t="inlineStr"/>
      <c r="J162" s="37" t="inlineStr">
        <is>
          <t>Untimed</t>
        </is>
      </c>
      <c r="K162" s="37" t="inlineStr">
        <is>
          <t>Notes forbidden</t>
        </is>
      </c>
      <c r="L162" s="37" t="inlineStr">
        <is>
          <t>Rederive: Count-Min Sketch class with conservative update cold</t>
        </is>
      </c>
      <c r="M162" s="35" t="inlineStr">
        <is>
          <t>M</t>
        </is>
      </c>
      <c r="N162" s="35" t="n">
        <v>35</v>
      </c>
      <c r="O162" s="37" t="inlineStr">
        <is>
          <t>Rederive: Misra-Gries top-K streaming candidate tracker cold</t>
        </is>
      </c>
      <c r="P162" s="35" t="inlineStr">
        <is>
          <t>M</t>
        </is>
      </c>
      <c r="Q162" s="35" t="n">
        <v>30</v>
      </c>
      <c r="R162" s="37" t="inlineStr">
        <is>
          <t>LC 528 Random Pick with Weight</t>
        </is>
      </c>
      <c r="S162" s="37" t="inlineStr">
        <is>
          <t>Write both algorithms from memory; state the mathematical error bounds for each without consulting references</t>
        </is>
      </c>
      <c r="T162" s="37" t="inlineStr">
        <is>
          <t>Can you explain the trade-offs of streaming sketches to a principal data engineer?</t>
        </is>
      </c>
      <c r="U162" s="37" t="inlineStr">
        <is>
          <t>Streaming algorithms mastery</t>
        </is>
      </c>
      <c r="V162" s="37" t="inlineStr">
        <is>
          <t>Streaming data structures</t>
        </is>
      </c>
      <c r="W162" s="35" t="n"/>
      <c r="X162" s="35" t="n"/>
      <c r="Y162" s="37" t="n"/>
      <c r="Z162" s="37" t="n"/>
      <c r="AA162" s="35" t="n"/>
      <c r="AB162" s="40" t="inlineStr">
        <is>
          <t>—</t>
        </is>
      </c>
    </row>
    <row r="163" ht="56" customHeight="1">
      <c r="A163" s="41" t="n">
        <v>162</v>
      </c>
      <c r="B163" s="41" t="n">
        <v>24</v>
      </c>
      <c r="C163" s="42" t="n">
        <v>46457</v>
      </c>
      <c r="D163" s="43" t="inlineStr">
        <is>
          <t>Memory Allocator Mechanics: Buddy Allocator</t>
        </is>
      </c>
      <c r="E163" s="43" t="inlineStr">
        <is>
          <t>Buddy allocator</t>
        </is>
      </c>
      <c r="F163" s="43" t="inlineStr">
        <is>
          <t>Power-of-two block splitting; bitwise XOR address buddy calculation (addr ^ (1 &lt;&lt; order)); free lists per order</t>
        </is>
      </c>
      <c r="G163" s="43" t="inlineStr">
        <is>
          <t>YES</t>
        </is>
      </c>
      <c r="H163" s="44">
        <f>HYPERLINK("https://www.youtube.com/watch?v=DRAHRJEAEso", "The Buddy Memory Allocator: Concepts, Bitwise Math &amp; Implementation")</f>
        <v/>
      </c>
      <c r="I163" s="41" t="n">
        <v>25</v>
      </c>
      <c r="J163" s="43" t="inlineStr">
        <is>
          <t>Untimed</t>
        </is>
      </c>
      <c r="K163" s="43" t="inlineStr">
        <is>
          <t>1 hint @20min</t>
        </is>
      </c>
      <c r="L163" s="43" t="inlineStr">
        <is>
          <t>Implement a Buddy Allocator simulator: allocate(size), free(addr) with recursive coalescing</t>
        </is>
      </c>
      <c r="M163" s="41" t="inlineStr">
        <is>
          <t>H</t>
        </is>
      </c>
      <c r="N163" s="41" t="n">
        <v>45</v>
      </c>
      <c r="O163" s="43" t="inlineStr">
        <is>
          <t>LC 41 First Missing Positive (In-place array allocation mapping)</t>
        </is>
      </c>
      <c r="P163" s="41" t="inlineStr">
        <is>
          <t>H</t>
        </is>
      </c>
      <c r="Q163" s="41" t="n">
        <v>30</v>
      </c>
      <c r="R163" s="43" t="inlineStr">
        <is>
          <t>LC 528 Random Pick with Weight</t>
        </is>
      </c>
      <c r="S163" s="43" t="inlineStr">
        <is>
          <t>Explain why the buddy of a block at address A with order K is computed as A ^ (1 &lt;&lt; K)</t>
        </is>
      </c>
      <c r="T163" s="43" t="inlineStr">
        <is>
          <t>How does the Buddy Allocator eliminate external fragmentation while trading internal fragmentation?</t>
        </is>
      </c>
      <c r="U163" s="43" t="inlineStr">
        <is>
          <t>Linux kernel page allocator, GPU device memory allocators, jemalloc size classes</t>
        </is>
      </c>
      <c r="V163" s="43" t="inlineStr">
        <is>
          <t>Physical memory management</t>
        </is>
      </c>
      <c r="W163" s="41" t="n"/>
      <c r="X163" s="41" t="n"/>
      <c r="Y163" s="43" t="n"/>
      <c r="Z163" s="43" t="n"/>
      <c r="AA163" s="41" t="n"/>
      <c r="AB163" s="45">
        <f>HYPERLINK("https://www.youtube.com/watch?v=DRAHRJEAEso", "▶ Watch (Gabriel Parmer (GWU OS)) ↗")</f>
        <v/>
      </c>
    </row>
    <row r="164" ht="56" customHeight="1">
      <c r="A164" s="41" t="n">
        <v>163</v>
      </c>
      <c r="B164" s="41" t="n">
        <v>24</v>
      </c>
      <c r="C164" s="42" t="n">
        <v>46458</v>
      </c>
      <c r="D164" s="43" t="inlineStr">
        <is>
          <t>Memory Allocator Mechanics: Slab Allocator &amp; Arena Pooling</t>
        </is>
      </c>
      <c r="E164" s="43" t="inlineStr">
        <is>
          <t>Slab / Arena allocator</t>
        </is>
      </c>
      <c r="F164" s="43" t="inlineStr">
        <is>
          <t>Pre-allocated fixed-size object caches; free-list pointers embedded in unallocated chunks; bump-pointer arena reset</t>
        </is>
      </c>
      <c r="G164" s="43" t="inlineStr">
        <is>
          <t>YES</t>
        </is>
      </c>
      <c r="H164" s="44">
        <f>HYPERLINK("https://www.youtube.com/watch?v=3IAlJSIjvH0", "The Slab Allocator &amp; Arena Allocators in High-Performance Systems")</f>
        <v/>
      </c>
      <c r="I164" s="41" t="n">
        <v>20</v>
      </c>
      <c r="J164" s="43" t="inlineStr">
        <is>
          <t>Untimed</t>
        </is>
      </c>
      <c r="K164" s="43" t="inlineStr">
        <is>
          <t>1 hint @20min</t>
        </is>
      </c>
      <c r="L164" s="43" t="inlineStr">
        <is>
          <t>Implement a Bump-Pointer Arena Allocator with fast reset() and Slab Cache for fixed structs</t>
        </is>
      </c>
      <c r="M164" s="41" t="inlineStr">
        <is>
          <t>M</t>
        </is>
      </c>
      <c r="N164" s="41" t="n">
        <v>35</v>
      </c>
      <c r="O164" s="43" t="inlineStr">
        <is>
          <t>LC 23 Merge k Sorted Lists (Review k-way merge)</t>
        </is>
      </c>
      <c r="P164" s="41" t="inlineStr">
        <is>
          <t>H</t>
        </is>
      </c>
      <c r="Q164" s="41" t="n">
        <v>25</v>
      </c>
      <c r="R164" s="43" t="inlineStr">
        <is>
          <t>LC 41 First Missing Positive</t>
        </is>
      </c>
      <c r="S164" s="43" t="inlineStr">
        <is>
          <t>Explain why an Arena allocator with bump-pointer allocation has O(1) allocation cost and zero deallocation overhead</t>
        </is>
      </c>
      <c r="T164" s="43" t="inlineStr">
        <is>
          <t>Why do game engines and web servers allocate per-request state inside an Arena rather than calling malloc()?</t>
        </is>
      </c>
      <c r="U164" s="43" t="inlineStr">
        <is>
          <t>Apache Arrow memory pools, Rust arena allocators, C++ custom STL allocators</t>
        </is>
      </c>
      <c r="V164" s="43" t="inlineStr">
        <is>
          <t>Zero-fragmentation memory design</t>
        </is>
      </c>
      <c r="W164" s="41" t="n"/>
      <c r="X164" s="41" t="n"/>
      <c r="Y164" s="43" t="n"/>
      <c r="Z164" s="43" t="n"/>
      <c r="AA164" s="41" t="n"/>
      <c r="AB164" s="45">
        <f>HYPERLINK("https://www.youtube.com/watch?v=3IAlJSIjvH0", "▶ Watch (Ryan Fleury) ↗")</f>
        <v/>
      </c>
    </row>
    <row r="165" ht="56" customHeight="1">
      <c r="A165" s="41" t="n">
        <v>164</v>
      </c>
      <c r="B165" s="41" t="n">
        <v>24</v>
      </c>
      <c r="C165" s="42" t="n">
        <v>46459</v>
      </c>
      <c r="D165" s="43" t="inlineStr">
        <is>
          <t>Capstone Mock Interview #1: Tier-1 Distributed Storage &amp; Cache Algorithm (Full verbal, unlabelled)</t>
        </is>
      </c>
      <c r="E165" s="43" t="inlineStr">
        <is>
          <t>Mock interview</t>
        </is>
      </c>
      <c r="F165" s="43" t="inlineStr">
        <is>
          <t>End-to-end interview simulation: Problem understanding, constraint derivation, algorithm design, coding, edge cases</t>
        </is>
      </c>
      <c r="G165" s="43" t="inlineStr">
        <is>
          <t>NO</t>
        </is>
      </c>
      <c r="H165" s="43" t="inlineStr">
        <is>
          <t>-</t>
        </is>
      </c>
      <c r="I165" s="41" t="inlineStr"/>
      <c r="J165" s="43" t="inlineStr">
        <is>
          <t>Timed-45</t>
        </is>
      </c>
      <c r="K165" s="43" t="inlineStr">
        <is>
          <t>None</t>
        </is>
      </c>
      <c r="L165" s="43" t="inlineStr">
        <is>
          <t>Mock #1: Complex LRU/LFU cache eviction with TTL and concurrency constraints</t>
        </is>
      </c>
      <c r="M165" s="41" t="inlineStr">
        <is>
          <t>H</t>
        </is>
      </c>
      <c r="N165" s="41" t="n">
        <v>45</v>
      </c>
      <c r="O165" s="43" t="inlineStr">
        <is>
          <t>Debrief + failure classification in FailureLog</t>
        </is>
      </c>
      <c r="P165" s="41" t="inlineStr">
        <is>
          <t>-</t>
        </is>
      </c>
      <c r="Q165" s="41" t="n">
        <v>20</v>
      </c>
      <c r="R165" s="43" t="inlineStr">
        <is>
          <t>LC 460 LFU Cache</t>
        </is>
      </c>
      <c r="S165" s="43" t="inlineStr">
        <is>
          <t>Record Mock score in MockInterviews; identify the single most critical communication or technical bottleneck</t>
        </is>
      </c>
      <c r="T165" s="43" t="inlineStr">
        <is>
          <t>Did you speak continuously throughout your derivation without going silent for more than 45 seconds?</t>
        </is>
      </c>
      <c r="U165" s="43" t="inlineStr">
        <is>
          <t>Tier-1 storage algorithm interview</t>
        </is>
      </c>
      <c r="V165" s="43" t="inlineStr">
        <is>
          <t>High-stakes communication</t>
        </is>
      </c>
      <c r="W165" s="41" t="n"/>
      <c r="X165" s="41" t="n"/>
      <c r="Y165" s="43" t="n"/>
      <c r="Z165" s="43" t="n"/>
      <c r="AA165" s="41" t="n"/>
      <c r="AB165" s="46" t="inlineStr">
        <is>
          <t>—</t>
        </is>
      </c>
    </row>
    <row r="166" ht="56" customHeight="1">
      <c r="A166" s="41" t="n">
        <v>165</v>
      </c>
      <c r="B166" s="41" t="n">
        <v>24</v>
      </c>
      <c r="C166" s="42" t="n">
        <v>46460</v>
      </c>
      <c r="D166" s="43" t="inlineStr">
        <is>
          <t>Capstone Mock Interview #2: Tier-1 ML Infra / Scheduling Algorithm (Full verbal, unlabelled)</t>
        </is>
      </c>
      <c r="E166" s="43" t="inlineStr">
        <is>
          <t>Mock interview</t>
        </is>
      </c>
      <c r="F166" s="43" t="inlineStr">
        <is>
          <t>Memory-bounded DAG operator scheduling and tensor placement under accelerator constraints</t>
        </is>
      </c>
      <c r="G166" s="43" t="inlineStr">
        <is>
          <t>NO</t>
        </is>
      </c>
      <c r="H166" s="43" t="inlineStr">
        <is>
          <t>-</t>
        </is>
      </c>
      <c r="I166" s="41" t="inlineStr"/>
      <c r="J166" s="43" t="inlineStr">
        <is>
          <t>Timed-45</t>
        </is>
      </c>
      <c r="K166" s="43" t="inlineStr">
        <is>
          <t>None</t>
        </is>
      </c>
      <c r="L166" s="43" t="inlineStr">
        <is>
          <t>Mock #2: Memory-bounded topological DAG scheduling with live tensor lifecycle tracking</t>
        </is>
      </c>
      <c r="M166" s="41" t="inlineStr">
        <is>
          <t>H</t>
        </is>
      </c>
      <c r="N166" s="41" t="n">
        <v>45</v>
      </c>
      <c r="O166" s="43" t="inlineStr">
        <is>
          <t>Debrief + failure classification in FailureLog</t>
        </is>
      </c>
      <c r="P166" s="41" t="inlineStr">
        <is>
          <t>-</t>
        </is>
      </c>
      <c r="Q166" s="41" t="n">
        <v>20</v>
      </c>
      <c r="R166" s="43" t="inlineStr">
        <is>
          <t>LC 2050 Parallel Courses III</t>
        </is>
      </c>
      <c r="S166" s="43" t="inlineStr">
        <is>
          <t>Record Mock score in MockInterviews; compare score progression vs previous mock</t>
        </is>
      </c>
      <c r="T166" s="43" t="inlineStr">
        <is>
          <t>Did you state the loop invariants and time/space complexity before writing a line of code?</t>
        </is>
      </c>
      <c r="U166" s="43" t="inlineStr">
        <is>
          <t>Tier-1 ML infra algorithm interview</t>
        </is>
      </c>
      <c r="V166" s="43" t="inlineStr">
        <is>
          <t>Systems problem derivation</t>
        </is>
      </c>
      <c r="W166" s="41" t="n"/>
      <c r="X166" s="41" t="n"/>
      <c r="Y166" s="43" t="n"/>
      <c r="Z166" s="43" t="n"/>
      <c r="AA166" s="41" t="n"/>
      <c r="AB166" s="46" t="inlineStr">
        <is>
          <t>—</t>
        </is>
      </c>
    </row>
    <row r="167" ht="56" customHeight="1">
      <c r="A167" s="41" t="n">
        <v>166</v>
      </c>
      <c r="B167" s="41" t="n">
        <v>24</v>
      </c>
      <c r="C167" s="42" t="n">
        <v>46461</v>
      </c>
      <c r="D167" s="43" t="inlineStr">
        <is>
          <t>Capstone Mock Interview #3: Tier-1 High-Dimensional Vector Search &amp; Indexing (Full verbal, unlabelled)</t>
        </is>
      </c>
      <c r="E167" s="43" t="inlineStr">
        <is>
          <t>Mock interview</t>
        </is>
      </c>
      <c r="F167" s="43" t="inlineStr">
        <is>
          <t>Proximity graph navigation and vector index selection under strict memory and latency budgets</t>
        </is>
      </c>
      <c r="G167" s="43" t="inlineStr">
        <is>
          <t>NO</t>
        </is>
      </c>
      <c r="H167" s="43" t="inlineStr">
        <is>
          <t>-</t>
        </is>
      </c>
      <c r="I167" s="41" t="inlineStr"/>
      <c r="J167" s="43" t="inlineStr">
        <is>
          <t>Timed-45</t>
        </is>
      </c>
      <c r="K167" s="43" t="inlineStr">
        <is>
          <t>None</t>
        </is>
      </c>
      <c r="L167" s="43" t="inlineStr">
        <is>
          <t>Mock #3: HNSW beam search navigation with dynamic pruning and distance metric optimization</t>
        </is>
      </c>
      <c r="M167" s="41" t="inlineStr">
        <is>
          <t>H</t>
        </is>
      </c>
      <c r="N167" s="41" t="n">
        <v>45</v>
      </c>
      <c r="O167" s="43" t="inlineStr">
        <is>
          <t>Debrief + failure classification in FailureLog</t>
        </is>
      </c>
      <c r="P167" s="41" t="inlineStr">
        <is>
          <t>-</t>
        </is>
      </c>
      <c r="Q167" s="41" t="n">
        <v>20</v>
      </c>
      <c r="R167" s="43" t="inlineStr">
        <is>
          <t>LC 743 Network Delay Time</t>
        </is>
      </c>
      <c r="S167" s="43" t="inlineStr">
        <is>
          <t>Record Mock score in MockInterviews; note any residual conceptual gaps in vector indexing</t>
        </is>
      </c>
      <c r="T167" s="43" t="inlineStr">
        <is>
          <t>Did you clearly articulate trade-offs between memory footprint, recall percentage, and QPS throughput?</t>
        </is>
      </c>
      <c r="U167" s="43" t="inlineStr">
        <is>
          <t>Tier-1 vector database algorithm interview</t>
        </is>
      </c>
      <c r="V167" s="43" t="inlineStr">
        <is>
          <t>Architectural algorithmic synthesis</t>
        </is>
      </c>
      <c r="W167" s="41" t="n"/>
      <c r="X167" s="41" t="n"/>
      <c r="Y167" s="43" t="n"/>
      <c r="Z167" s="43" t="n"/>
      <c r="AA167" s="41" t="n"/>
      <c r="AB167" s="46" t="inlineStr">
        <is>
          <t>—</t>
        </is>
      </c>
    </row>
    <row r="168" ht="56" customHeight="1">
      <c r="A168" s="41" t="n">
        <v>167</v>
      </c>
      <c r="B168" s="41" t="n">
        <v>24</v>
      </c>
      <c r="C168" s="42" t="n">
        <v>46462</v>
      </c>
      <c r="D168" s="43" t="inlineStr">
        <is>
          <t>Final Spaced-Repetition Clearance: Clear the top 15 items in ReviewQueue to 0</t>
        </is>
      </c>
      <c r="E168" s="43" t="inlineStr">
        <is>
          <t>Comprehensive review</t>
        </is>
      </c>
      <c r="F168" s="43" t="inlineStr">
        <is>
          <t>Total elimination of accumulated fragility across all 168 days</t>
        </is>
      </c>
      <c r="G168" s="43" t="inlineStr">
        <is>
          <t>NO</t>
        </is>
      </c>
      <c r="H168" s="43" t="inlineStr">
        <is>
          <t>-</t>
        </is>
      </c>
      <c r="I168" s="41" t="inlineStr"/>
      <c r="J168" s="43" t="inlineStr">
        <is>
          <t>Untimed</t>
        </is>
      </c>
      <c r="K168" s="43" t="inlineStr">
        <is>
          <t>None</t>
        </is>
      </c>
      <c r="L168" s="43" t="inlineStr">
        <is>
          <t>Solve top 3 highest-priority problems from ReviewQueue</t>
        </is>
      </c>
      <c r="M168" s="41" t="inlineStr">
        <is>
          <t>H</t>
        </is>
      </c>
      <c r="N168" s="41" t="n">
        <v>45</v>
      </c>
      <c r="O168" s="43" t="inlineStr">
        <is>
          <t>Solve next 3 highest-priority problems from ReviewQueue</t>
        </is>
      </c>
      <c r="P168" s="41" t="inlineStr">
        <is>
          <t>M</t>
        </is>
      </c>
      <c r="Q168" s="41" t="n">
        <v>40</v>
      </c>
      <c r="R168" s="43" t="inlineStr">
        <is>
          <t>ReviewQueue Rank 1-6</t>
        </is>
      </c>
      <c r="S168" s="43" t="inlineStr">
        <is>
          <t>Mark reviewed problems as 'Mastered = Yes' in ProblemDB; observe ReviewQueue repopulation</t>
        </is>
      </c>
      <c r="T168" s="43" t="inlineStr">
        <is>
          <t>Is every single high-priority problem in your ReviewQueue now cleared?</t>
        </is>
      </c>
      <c r="U168" s="43" t="inlineStr">
        <is>
          <t>Zero-backlog operational discipline</t>
        </is>
      </c>
      <c r="V168" s="43" t="inlineStr">
        <is>
          <t>Retention mastery</t>
        </is>
      </c>
      <c r="W168" s="41" t="n"/>
      <c r="X168" s="41" t="n"/>
      <c r="Y168" s="43" t="n"/>
      <c r="Z168" s="43" t="n"/>
      <c r="AA168" s="41" t="n"/>
      <c r="AB168" s="46" t="inlineStr">
        <is>
          <t>—</t>
        </is>
      </c>
    </row>
    <row r="169" ht="56" customHeight="1">
      <c r="A169" s="41" t="n">
        <v>168</v>
      </c>
      <c r="B169" s="41" t="n">
        <v>24</v>
      </c>
      <c r="C169" s="42" t="n">
        <v>46463</v>
      </c>
      <c r="D169" s="43" t="inlineStr">
        <is>
          <t>Final Grand Diagnostic &amp; Program Certification: 3 Unlabelled Multi-Domain Hard Problems</t>
        </is>
      </c>
      <c r="E169" s="43" t="inlineStr">
        <is>
          <t>Diagnostic</t>
        </is>
      </c>
      <c r="F169" s="43" t="inlineStr">
        <is>
          <t>The ultimate test: 120 minutes, 3 unfamiliar hard problems spanning Classical, Systems &amp; AI Infra DSA</t>
        </is>
      </c>
      <c r="G169" s="43" t="inlineStr">
        <is>
          <t>NO</t>
        </is>
      </c>
      <c r="H169" s="43" t="inlineStr">
        <is>
          <t>-</t>
        </is>
      </c>
      <c r="I169" s="41" t="inlineStr"/>
      <c r="J169" s="43" t="inlineStr">
        <is>
          <t>Diagnostic</t>
        </is>
      </c>
      <c r="K169" s="43" t="inlineStr">
        <is>
          <t>None</t>
        </is>
      </c>
      <c r="L169" s="43" t="inlineStr">
        <is>
          <t>Final Diagnostic: 3 Unlabelled Hard Problems from BlindProblemPool (120 min)</t>
        </is>
      </c>
      <c r="M169" s="41" t="inlineStr">
        <is>
          <t>H</t>
        </is>
      </c>
      <c r="N169" s="41" t="n">
        <v>120</v>
      </c>
      <c r="O169" s="43" t="inlineStr">
        <is>
          <t>Program completion reflection &amp; Final Interview Readiness Score certification</t>
        </is>
      </c>
      <c r="P169" s="41" t="inlineStr">
        <is>
          <t>-</t>
        </is>
      </c>
      <c r="Q169" s="41" t="n">
        <v>30</v>
      </c>
      <c r="R169" s="43" t="inlineStr">
        <is>
          <t>-</t>
        </is>
      </c>
      <c r="S169" s="43" t="inlineStr">
        <is>
          <t>Fill final diagnostic row in MockInterviews; view completed Dashboard with 100% progress</t>
        </is>
      </c>
      <c r="T169" s="43" t="inlineStr">
        <is>
          <t>Do you have concrete, data-backed evidence that you can derive any unfamiliar problem in &lt;5 minutes?</t>
        </is>
      </c>
      <c r="U169" s="43" t="inlineStr">
        <is>
          <t>Tier-1 AI Infrastructure &amp; Systems Algorithmic Specialist Certification</t>
        </is>
      </c>
      <c r="V169" s="43" t="inlineStr">
        <is>
          <t>Specialist algorithmic mastery</t>
        </is>
      </c>
      <c r="W169" s="41" t="n"/>
      <c r="X169" s="41" t="n"/>
      <c r="Y169" s="43" t="n"/>
      <c r="Z169" s="43" t="n"/>
      <c r="AA169" s="41" t="n"/>
      <c r="AB169" s="46" t="inlineStr">
        <is>
          <t>—</t>
        </is>
      </c>
    </row>
  </sheetData>
  <autoFilter ref="A1:AB169"/>
  <conditionalFormatting sqref="W2:W169">
    <cfRule type="cellIs" priority="1" operator="equal" dxfId="0">
      <formula>"Yes"</formula>
    </cfRule>
    <cfRule type="cellIs" priority="2" operator="equal" dxfId="1">
      <formula>"No"</formula>
    </cfRule>
  </conditionalFormatting>
  <conditionalFormatting sqref="M2:M169">
    <cfRule type="cellIs" priority="3" operator="equal" dxfId="1">
      <formula>"H"</formula>
    </cfRule>
    <cfRule type="cellIs" priority="4" operator="equal" dxfId="2">
      <formula>"M"</formula>
    </cfRule>
    <cfRule type="cellIs" priority="5" operator="equal" dxfId="0">
      <formula>"E"</formula>
    </cfRule>
  </conditionalFormatting>
  <conditionalFormatting sqref="P2:P169">
    <cfRule type="cellIs" priority="6" operator="equal" dxfId="1">
      <formula>"H"</formula>
    </cfRule>
    <cfRule type="cellIs" priority="7" operator="equal" dxfId="2">
      <formula>"M"</formula>
    </cfRule>
    <cfRule type="cellIs" priority="8" operator="equal" dxfId="0">
      <formula>"E"</formula>
    </cfRule>
  </conditionalFormatting>
  <conditionalFormatting sqref="G2:G169">
    <cfRule type="cellIs" priority="9" operator="equal" dxfId="3">
      <formula>"YES"</formula>
    </cfRule>
  </conditionalFormatting>
  <conditionalFormatting sqref="E2:E169">
    <cfRule type="cellIs" priority="10" operator="equal" dxfId="4">
      <formula>"Diagnostic"</formula>
    </cfRule>
    <cfRule type="cellIs" priority="11" operator="equal" dxfId="5">
      <formula>"Blind"</formula>
    </cfRule>
  </conditionalFormatting>
  <dataValidations count="7">
    <dataValidation sqref="G2:G169" showDropDown="0" showInputMessage="0" showErrorMessage="0" allowBlank="1" promptTitle="Tutorial?" type="list">
      <formula1>"Yes,No"</formula1>
    </dataValidation>
    <dataValidation sqref="J2:J169" showDropDown="0" showInputMessage="0" showErrorMessage="0" allowBlank="1" promptTitle="Mode" type="list">
      <formula1>"Untimed,Timed-30,Timed-45,Timed-60,Timed-75,Timed-90,Diagnostic"</formula1>
    </dataValidation>
    <dataValidation sqref="W2:W169" showDropDown="0" showInputMessage="0" showErrorMessage="0" allowBlank="1" promptTitle="Completed?" type="list">
      <formula1>"Yes,No"</formula1>
    </dataValidation>
    <dataValidation sqref="Z2:Z169" showDropDown="0" showInputMessage="0" showErrorMessage="0" allowBlank="1" promptTitle="Failure category" type="list">
      <formula1>"F1-Understand,F2-Pattern,F3-Derive,F4-WrongDS,F5-Complexity,F6-Implementation,F7-EdgeCase,F8-Debugging,F9-Forgot,F10-Pressure,F11-HintDependent,F12-CantExplain"</formula1>
    </dataValidation>
    <dataValidation sqref="AA2:AA169" showDropDown="0" showInputMessage="0" showErrorMessage="0" allowBlank="1" promptTitle="Found 2nd solution?" type="list">
      <formula1>"Yes,No"</formula1>
    </dataValidation>
    <dataValidation sqref="M2:M169" showDropDown="0" showInputMessage="0" showErrorMessage="0" allowBlank="1" promptTitle="P1 Diff" type="list">
      <formula1>"E,M,H"</formula1>
    </dataValidation>
    <dataValidation sqref="P2:P169" showDropDown="0" showInputMessage="0" showErrorMessage="0" allowBlank="1" promptTitle="P2 Diff" type="list">
      <formula1>"E,M,H"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22" customWidth="1" min="3" max="3"/>
    <col width="44" customWidth="1" min="4" max="4"/>
    <col width="24" customWidth="1" min="5" max="5"/>
    <col width="40" customWidth="1" min="6" max="6"/>
    <col width="18" customWidth="1" min="7" max="7"/>
    <col width="34" customWidth="1" min="8" max="8"/>
    <col width="38" customWidth="1" min="9" max="9"/>
    <col width="10" customWidth="1" min="10" max="10"/>
    <col width="10" customWidth="1" min="11" max="11"/>
    <col width="12" customWidth="1" min="12" max="12"/>
  </cols>
  <sheetData>
    <row r="1" ht="28" customHeight="1">
      <c r="A1" s="34" t="inlineStr">
        <is>
          <t>Pattern</t>
        </is>
      </c>
      <c r="B1" s="34" t="inlineStr">
        <is>
          <t>Recognition Cues</t>
        </is>
      </c>
      <c r="C1" s="34" t="inlineStr">
        <is>
          <t>Typical Constraints</t>
        </is>
      </c>
      <c r="D1" s="34" t="inlineStr">
        <is>
          <t>Core Idea</t>
        </is>
      </c>
      <c r="E1" s="34" t="inlineStr">
        <is>
          <t>Key Data Structures</t>
        </is>
      </c>
      <c r="F1" s="34" t="inlineStr">
        <is>
          <t>Common Traps</t>
        </is>
      </c>
      <c r="G1" s="34" t="inlineStr">
        <is>
          <t>Complexity Target</t>
        </is>
      </c>
      <c r="H1" s="34" t="inlineStr">
        <is>
          <t>Example Problem Types</t>
        </is>
      </c>
      <c r="I1" s="34" t="inlineStr">
        <is>
          <t>AI-Infra Relevance</t>
        </is>
      </c>
      <c r="J1" s="34" t="inlineStr">
        <is>
          <t>Mastery (1-5)</t>
        </is>
      </c>
      <c r="K1" s="34" t="inlineStr">
        <is>
          <t># times it appeared in plan</t>
        </is>
      </c>
      <c r="L1" s="34" t="inlineStr">
        <is>
          <t>Last practiced</t>
        </is>
      </c>
    </row>
    <row r="2" ht="44" customHeight="1">
      <c r="A2" s="37" t="inlineStr">
        <is>
          <t>Complexity calibration</t>
        </is>
      </c>
      <c r="B2" s="37" t="inlineStr">
        <is>
          <t>Any problem with 'efficient' + a large n stated</t>
        </is>
      </c>
      <c r="C2" s="37" t="inlineStr">
        <is>
          <t>n in constraints</t>
        </is>
      </c>
      <c r="D2" s="37" t="inlineStr">
        <is>
          <t>Derive acceptable TC from n BEFORE designing anything; eliminate approaches that cannot fit</t>
        </is>
      </c>
      <c r="E2" s="37" t="inlineStr">
        <is>
          <t>None  -  pure reasoning</t>
        </is>
      </c>
      <c r="F2" s="37" t="inlineStr">
        <is>
          <t>Assuming O(n^2) passes at n=10^5; ignoring hash/recursion constants; never doing this step</t>
        </is>
      </c>
      <c r="G2" s="37" t="inlineStr">
        <is>
          <t>Pre-code decision</t>
        </is>
      </c>
      <c r="H2" s="37" t="inlineStr">
        <is>
          <t>Every single problem</t>
        </is>
      </c>
      <c r="I2" s="37" t="inlineStr">
        <is>
          <t>Latency budgets; SLO thresholds; batch-size selection</t>
        </is>
      </c>
      <c r="J2" s="7" t="n"/>
      <c r="K2" s="47">
        <f>COUNTIF(DayPlan!$E$2:$E$169,"*Complexity*")</f>
        <v/>
      </c>
      <c r="L2" s="48">
        <f>IF(MAXIFS(ProblemDB!$F$2:$F$750,ProblemDB!$D$2:$D$750,"*Complexity*")&gt;0,MAXIFS(ProblemDB!$F$2:$F$750,ProblemDB!$D$2:$D$750,"*Complexity*"),"-")</f>
        <v/>
      </c>
    </row>
    <row r="3" ht="44" customHeight="1">
      <c r="A3" s="37" t="inlineStr">
        <is>
          <t>Frequency/counting + hashing</t>
        </is>
      </c>
      <c r="B3" s="37" t="inlineStr">
        <is>
          <t>'anagram','k most frequent','duplicates','count of','appears more than once'</t>
        </is>
      </c>
      <c r="C3" s="37" t="inlineStr">
        <is>
          <t>values bounded or hashable; n up to 10^6</t>
        </is>
      </c>
      <c r="D3" s="37" t="inlineStr">
        <is>
          <t>Replace repeated scans with one pass building counts; hash the KEY that captures the invariant</t>
        </is>
      </c>
      <c r="E3" s="37" t="inlineStr">
        <is>
          <t>hash map, count array, bucket array</t>
        </is>
      </c>
      <c r="F3" s="37" t="inlineStr">
        <is>
          <t>Counting when positions matter; wrong key granularity; using set when count needed</t>
        </is>
      </c>
      <c r="G3" s="37" t="inlineStr">
        <is>
          <t>O(n) time, O(k) space</t>
        </is>
      </c>
      <c r="H3" s="37" t="inlineStr">
        <is>
          <t>Group anagrams, top-K, majority element, first unique character</t>
        </is>
      </c>
      <c r="I3" s="37" t="inlineStr">
        <is>
          <t>Hot-key detection, metric counters, histogram-based alerting</t>
        </is>
      </c>
      <c r="J3" s="7" t="n"/>
      <c r="K3" s="47">
        <f>COUNTIF(DayPlan!$E$2:$E$169,"*Frequency*")</f>
        <v/>
      </c>
      <c r="L3" s="48">
        <f>IF(MAXIFS(ProblemDB!$F$2:$F$750,ProblemDB!$D$2:$D$750,"*Frequency*")&gt;0,MAXIFS(ProblemDB!$F$2:$F$750,ProblemDB!$D$2:$D$750,"*Frequency*"),"-")</f>
        <v/>
      </c>
    </row>
    <row r="4" ht="44" customHeight="1">
      <c r="A4" s="37" t="inlineStr">
        <is>
          <t>Prefix/suffix reasoning</t>
        </is>
      </c>
      <c r="B4" s="37" t="inlineStr">
        <is>
          <t>'subarray sum','range query','product except self','subarrays satisfying condition'</t>
        </is>
      </c>
      <c r="C4" s="37" t="inlineStr">
        <is>
          <t>static array, multiple queries, O(n) target</t>
        </is>
      </c>
      <c r="D4" s="37" t="inlineStr">
        <is>
          <t>Precompute cumulative info so any range is O(1); prefix+hash converts a condition into a lookup</t>
        </is>
      </c>
      <c r="E4" s="37" t="inlineStr">
        <is>
          <t>prefix array, hash map (prefix -&gt; count or prefix -&gt; first-index)</t>
        </is>
      </c>
      <c r="F4" s="37" t="inlineStr">
        <is>
          <t>Forgetting prefix[0]=0; using seen-set instead of count-map; applying to non-additive functions</t>
        </is>
      </c>
      <c r="G4" s="37" t="inlineStr">
        <is>
          <t>O(n) build, O(1) query</t>
        </is>
      </c>
      <c r="H4" s="37" t="inlineStr">
        <is>
          <t>Range sums, balanced subarrays, product except self, 2D regions</t>
        </is>
      </c>
      <c r="I4" s="37" t="inlineStr">
        <is>
          <t>Rolling aggregates, cumulative metrics, event-log windows</t>
        </is>
      </c>
      <c r="J4" s="7" t="n"/>
      <c r="K4" s="47">
        <f>COUNTIF(DayPlan!$E$2:$E$169,"*Prefix*")</f>
        <v/>
      </c>
      <c r="L4" s="48">
        <f>IF(MAXIFS(ProblemDB!$F$2:$F$750,ProblemDB!$D$2:$D$750,"*Prefix*")&gt;0,MAXIFS(ProblemDB!$F$2:$F$750,ProblemDB!$D$2:$D$750,"*Prefix*"),"-")</f>
        <v/>
      </c>
    </row>
    <row r="5" ht="44" customHeight="1">
      <c r="A5" s="37" t="inlineStr">
        <is>
          <t>Two pointers (opposite ends)</t>
        </is>
      </c>
      <c r="B5" s="37" t="inlineStr">
        <is>
          <t>sorted or sortable input; 'pair/triplet sums to'; 'maximum area between'</t>
        </is>
      </c>
      <c r="C5" s="37" t="inlineStr">
        <is>
          <t>sorted or O(n log n) sort acceptable</t>
        </is>
      </c>
      <c r="D5" s="37" t="inlineStr">
        <is>
          <t>Move the pointer that provably cannot improve the answer; prove no valid pair is skipped</t>
        </is>
      </c>
      <c r="E5" s="37" t="inlineStr">
        <is>
          <t>two indices into the same array</t>
        </is>
      </c>
      <c r="F5" s="37" t="inlineStr">
        <is>
          <t>Moving the wrong pointer; skipping duplicates incorrectly; not proving the discard</t>
        </is>
      </c>
      <c r="G5" s="37" t="inlineStr">
        <is>
          <t>O(n) after sort</t>
        </is>
      </c>
      <c r="H5" s="37" t="inlineStr">
        <is>
          <t>Two Sum II, 3Sum, Container With Most Water</t>
        </is>
      </c>
      <c r="I5" s="37" t="inlineStr">
        <is>
          <t>Merging sorted shard scans; two-way join on sorted data</t>
        </is>
      </c>
      <c r="J5" s="7" t="n"/>
      <c r="K5" s="47">
        <f>COUNTIF(DayPlan!$E$2:$E$169,"*opposite ends*")</f>
        <v/>
      </c>
      <c r="L5" s="48">
        <f>IF(MAXIFS(ProblemDB!$F$2:$F$750,ProblemDB!$D$2:$D$750,"*opposite ends*")&gt;0,MAXIFS(ProblemDB!$F$2:$F$750,ProblemDB!$D$2:$D$750,"*opposite ends*"),"-")</f>
        <v/>
      </c>
    </row>
    <row r="6" ht="44" customHeight="1">
      <c r="A6" s="37" t="inlineStr">
        <is>
          <t>Two pointers (same direction / read-write)</t>
        </is>
      </c>
      <c r="B6" s="37" t="inlineStr">
        <is>
          <t>'in place','remove elements','partition','k-th from end'</t>
        </is>
      </c>
      <c r="C6" s="37" t="inlineStr">
        <is>
          <t>O(1) extra space required; array mutation allowed</t>
        </is>
      </c>
      <c r="D6" s="37" t="inlineStr">
        <is>
          <t>Separate a slow write-index from a fast read-index; maintain a region invariant</t>
        </is>
      </c>
      <c r="E6" s="37" t="inlineStr">
        <is>
          <t>two indices, optional dummy node for lists</t>
        </is>
      </c>
      <c r="F6" s="37" t="inlineStr">
        <is>
          <t>Overwriting needed elements; not stating the region invariant; off-by-one</t>
        </is>
      </c>
      <c r="G6" s="37" t="inlineStr">
        <is>
          <t>O(n) time, O(1) space</t>
        </is>
      </c>
      <c r="H6" s="37" t="inlineStr">
        <is>
          <t>Remove duplicates, Sort Colors, move zeros, linked-list operations</t>
        </is>
      </c>
      <c r="I6" s="37" t="inlineStr">
        <is>
          <t>In-place buffer compaction; zero-copy stream rewriting</t>
        </is>
      </c>
      <c r="J6" s="7" t="n"/>
      <c r="K6" s="47">
        <f>COUNTIF(DayPlan!$E$2:$E$169,"*read/write*")</f>
        <v/>
      </c>
      <c r="L6" s="48">
        <f>IF(MAXIFS(ProblemDB!$F$2:$F$750,ProblemDB!$D$2:$D$750,"*read/write*")&gt;0,MAXIFS(ProblemDB!$F$2:$F$750,ProblemDB!$D$2:$D$750,"*read/write*"),"-")</f>
        <v/>
      </c>
    </row>
    <row r="7" ht="44" customHeight="1">
      <c r="A7" s="37" t="inlineStr">
        <is>
          <t>Sliding window (variable)</t>
        </is>
      </c>
      <c r="B7" s="37" t="inlineStr">
        <is>
          <t>'longest/shortest subarray/substring satisfying condition'; contiguous required</t>
        </is>
      </c>
      <c r="C7" s="37" t="inlineStr">
        <is>
          <t>monotone feasibility must hold; n up to 10^5</t>
        </is>
      </c>
      <c r="D7" s="37" t="inlineStr">
        <is>
          <t>Grow right pointer; shrink left while invalid. ONLY valid when extending cannot repair a violation.</t>
        </is>
      </c>
      <c r="E7" s="37" t="inlineStr">
        <is>
          <t>hash map or count array for window contents, two indices</t>
        </is>
      </c>
      <c r="F7" s="37" t="inlineStr">
        <is>
          <t>Applying to non-monotone conditions (e.g. sum&gt;=k with negatives); wrong shrink condition</t>
        </is>
      </c>
      <c r="G7" s="37" t="inlineStr">
        <is>
          <t>O(n)</t>
        </is>
      </c>
      <c r="H7" s="37" t="inlineStr">
        <is>
          <t>Longest unique substring, minimum size subarray sum, fruit into baskets</t>
        </is>
      </c>
      <c r="I7" s="37" t="inlineStr">
        <is>
          <t>Rate limiting, windowed quotas, token bucket</t>
        </is>
      </c>
      <c r="J7" s="7" t="n"/>
      <c r="K7" s="47">
        <f>COUNTIF(DayPlan!$E$2:$E$169,"*variable*")</f>
        <v/>
      </c>
      <c r="L7" s="48">
        <f>IF(MAXIFS(ProblemDB!$F$2:$F$750,ProblemDB!$D$2:$D$750,"*variable*")&gt;0,MAXIFS(ProblemDB!$F$2:$F$750,ProblemDB!$D$2:$D$750,"*variable*"),"-")</f>
        <v/>
      </c>
    </row>
    <row r="8" ht="44" customHeight="1">
      <c r="A8" s="37" t="inlineStr">
        <is>
          <t>Sliding window + counting</t>
        </is>
      </c>
      <c r="B8" s="37" t="inlineStr">
        <is>
          <t>'at most K distinct','replace at most k characters','subarrays with exactly k'</t>
        </is>
      </c>
      <c r="C8" s="37" t="inlineStr">
        <is>
          <t>alphabet/cardinality bounded; n up to 10^5</t>
        </is>
      </c>
      <c r="D8" s="37" t="inlineStr">
        <is>
          <t>Track frequency inside the window; exactly(K) = atMost(K) - atMost(K-1)</t>
        </is>
      </c>
      <c r="E8" s="37" t="inlineStr">
        <is>
          <t>hash map, freq array, maxFreq variable</t>
        </is>
      </c>
      <c r="F8" s="37" t="inlineStr">
        <is>
          <t>Recomputing maxFreq on every shrink; wrong atMost monotonicity assumption</t>
        </is>
      </c>
      <c r="G8" s="37" t="inlineStr">
        <is>
          <t>O(n) or O(n | |alphabet|)</t>
        </is>
      </c>
      <c r="H8" s="37" t="inlineStr">
        <is>
          <t>Longest repeating character replacement, K different integers, permutation in string</t>
        </is>
      </c>
      <c r="I8" s="37" t="inlineStr">
        <is>
          <t>Cardinality-bounded caches; distinct-key windows in streaming analytics</t>
        </is>
      </c>
      <c r="J8" s="7" t="n"/>
      <c r="K8" s="47">
        <f>COUNTIF(DayPlan!$E$2:$E$169,"*frequency*")</f>
        <v/>
      </c>
      <c r="L8" s="48">
        <f>IF(MAXIFS(ProblemDB!$F$2:$F$750,ProblemDB!$D$2:$D$750,"*frequency*")&gt;0,MAXIFS(ProblemDB!$F$2:$F$750,ProblemDB!$D$2:$D$750,"*frequency*"),"-")</f>
        <v/>
      </c>
    </row>
    <row r="9" ht="44" customHeight="1">
      <c r="A9" s="37" t="inlineStr">
        <is>
          <t>Binary search (index)</t>
        </is>
      </c>
      <c r="B9" s="37" t="inlineStr">
        <is>
          <t>sorted array; 'first/last position'; 'O(log n) required'</t>
        </is>
      </c>
      <c r="C9" s="37" t="inlineStr">
        <is>
          <t>sorted, or search space has a monotone property; n up to 10^7</t>
        </is>
      </c>
      <c r="D9" s="37" t="inlineStr">
        <is>
          <t>Maintain a half-open invariant (lo&lt;=answer&lt;hi); shrink systematically; no templates</t>
        </is>
      </c>
      <c r="E9" s="37" t="inlineStr">
        <is>
          <t>sorted array (or implicit sorted space)</t>
        </is>
      </c>
      <c r="F9" s="37" t="inlineStr">
        <is>
          <t>Off-by-one errors; lo&lt;hi vs lo&lt;=hi confusion; infinite loops; wrong mid formula</t>
        </is>
      </c>
      <c r="G9" s="37" t="inlineStr">
        <is>
          <t>O(log n)</t>
        </is>
      </c>
      <c r="H9" s="37" t="inlineStr">
        <is>
          <t>Binary search, first/last position, find minimum in rotated array</t>
        </is>
      </c>
      <c r="I9" s="37" t="inlineStr">
        <is>
          <t>SSTable lookups, sorted offset indexes, version search</t>
        </is>
      </c>
      <c r="J9" s="7" t="n"/>
      <c r="K9" s="47">
        <f>COUNTIF(DayPlan!$E$2:$E$169,"*Binary search*")</f>
        <v/>
      </c>
      <c r="L9" s="48">
        <f>IF(MAXIFS(ProblemDB!$F$2:$F$750,ProblemDB!$D$2:$D$750,"*Binary search*")&gt;0,MAXIFS(ProblemDB!$F$2:$F$750,ProblemDB!$D$2:$D$750,"*Binary search*"),"-")</f>
        <v/>
      </c>
    </row>
    <row r="10" ht="44" customHeight="1">
      <c r="A10" s="37" t="inlineStr">
        <is>
          <t>Binary search on answer</t>
        </is>
      </c>
      <c r="B10" s="37" t="inlineStr">
        <is>
          <t>'minimize the maximum','maximize the minimum','minimum capacity/speed/time'; large answer range</t>
        </is>
      </c>
      <c r="C10" s="37" t="inlineStr">
        <is>
          <t>answer &lt;= 10^9, predicate check is O(n) or O(n log n)</t>
        </is>
      </c>
      <c r="D10" s="37" t="inlineStr">
        <is>
          <t>Search the ANSWER SPACE with a monotone feasible(x) predicate; 3 validity conditions must hold</t>
        </is>
      </c>
      <c r="E10" s="37" t="inlineStr">
        <is>
          <t>feasibility predicate function + binary search loop</t>
        </is>
      </c>
      <c r="F10" s="37" t="inlineStr">
        <is>
          <t>Non-monotone predicate; wrong search bounds; predicate accidentally O(n^2)</t>
        </is>
      </c>
      <c r="G10" s="37" t="inlineStr">
        <is>
          <t>O(n log(answer_range))</t>
        </is>
      </c>
      <c r="H10" s="37" t="inlineStr">
        <is>
          <t>Koko eating bananas, ship packages, split array, min days for bouquets</t>
        </is>
      </c>
      <c r="I10" s="37" t="inlineStr">
        <is>
          <t>Capacity planning, autoscaling, SLO fitting, quota allocation</t>
        </is>
      </c>
      <c r="J10" s="7" t="n"/>
      <c r="K10" s="47">
        <f>COUNTIF(DayPlan!$E$2:$E$169,"*Binary search on answer*")</f>
        <v/>
      </c>
      <c r="L10" s="48">
        <f>IF(MAXIFS(ProblemDB!$F$2:$F$750,ProblemDB!$D$2:$D$750,"*Binary search on answer*")&gt;0,MAXIFS(ProblemDB!$F$2:$F$750,ProblemDB!$D$2:$D$750,"*Binary search on answer*"),"-")</f>
        <v/>
      </c>
    </row>
    <row r="11" ht="44" customHeight="1">
      <c r="A11" s="37" t="inlineStr">
        <is>
          <t>Sort + linear scan (preprocessing)</t>
        </is>
      </c>
      <c r="B11" s="37" t="inlineStr">
        <is>
          <t>'intervals','pairs','sorted input assumed'; O(n log n) acceptable</t>
        </is>
      </c>
      <c r="C11" s="37" t="inlineStr">
        <is>
          <t>n up to 10^5, no online queries</t>
        </is>
      </c>
      <c r="D11" s="37" t="inlineStr">
        <is>
          <t>Sorting creates a monotonicity you can then exploit with a single greedy pass</t>
        </is>
      </c>
      <c r="E11" s="37" t="inlineStr">
        <is>
          <t>sort + one or two pointers or a heap</t>
        </is>
      </c>
      <c r="F11" s="37" t="inlineStr">
        <is>
          <t>Wrong sort key (start vs end vs value); assuming stability; sorting when a heap suffices</t>
        </is>
      </c>
      <c r="G11" s="37" t="inlineStr">
        <is>
          <t>O(n log n)</t>
        </is>
      </c>
      <c r="H11" s="37" t="inlineStr">
        <is>
          <t>Merge intervals, non-overlapping intervals, sort colors, meeting rooms</t>
        </is>
      </c>
      <c r="I11" s="37" t="inlineStr">
        <is>
          <t>Log compaction ordering, sorted shard merging, LSM-tree compaction</t>
        </is>
      </c>
      <c r="J11" s="7" t="n"/>
      <c r="K11" s="47">
        <f>COUNTIF(DayPlan!$E$2:$E$169,"*Sort*")</f>
        <v/>
      </c>
      <c r="L11" s="48">
        <f>IF(MAXIFS(ProblemDB!$F$2:$F$750,ProblemDB!$D$2:$D$750,"*Sort*")&gt;0,MAXIFS(ProblemDB!$F$2:$F$750,ProblemDB!$D$2:$D$750,"*Sort*"),"-")</f>
        <v/>
      </c>
    </row>
    <row r="12" ht="44" customHeight="1">
      <c r="A12" s="37" t="inlineStr">
        <is>
          <t>Interval / sweep line</t>
        </is>
      </c>
      <c r="B12" s="37" t="inlineStr">
        <is>
          <t>'overlapping intervals','maximum concurrent events','resources needed at peak'</t>
        </is>
      </c>
      <c r="C12" s="37" t="inlineStr">
        <is>
          <t>intervals, events with timestamps; n up to 10^5</t>
        </is>
      </c>
      <c r="D12" s="37" t="inlineStr">
        <is>
          <t>Convert intervals to +1/-1 events and sweep; or maintain a min-heap of active end times</t>
        </is>
      </c>
      <c r="E12" s="37" t="inlineStr">
        <is>
          <t>sorted events array, min-heap of end times</t>
        </is>
      </c>
      <c r="F12" s="37" t="inlineStr">
        <is>
          <t>Tie-breaking between end and start at the same time; off-by-one on closed intervals</t>
        </is>
      </c>
      <c r="G12" s="37" t="inlineStr">
        <is>
          <t>O(n log n)</t>
        </is>
      </c>
      <c r="H12" s="37" t="inlineStr">
        <is>
          <t>Meeting rooms II, car pooling, calendar, task scheduler</t>
        </is>
      </c>
      <c r="I12" s="37" t="inlineStr">
        <is>
          <t>Concurrent resource counting (GPU/CPU slots), admission control</t>
        </is>
      </c>
      <c r="J12" s="7" t="n"/>
      <c r="K12" s="47">
        <f>COUNTIF(DayPlan!$E$2:$E$169,"*Interval*")</f>
        <v/>
      </c>
      <c r="L12" s="48">
        <f>IF(MAXIFS(ProblemDB!$F$2:$F$750,ProblemDB!$D$2:$D$750,"*Interval*")&gt;0,MAXIFS(ProblemDB!$F$2:$F$750,ProblemDB!$D$2:$D$750,"*Interval*"),"-")</f>
        <v/>
      </c>
    </row>
    <row r="13" ht="44" customHeight="1">
      <c r="A13" s="37" t="inlineStr">
        <is>
          <t>Monotonic stack</t>
        </is>
      </c>
      <c r="B13" s="37" t="inlineStr">
        <is>
          <t>'next greater/smaller element','previous smaller','span','largest rectangle'</t>
        </is>
      </c>
      <c r="C13" s="37" t="inlineStr">
        <is>
          <t>array; n up to 10^5</t>
        </is>
      </c>
      <c r="D13" s="37" t="inlineStr">
        <is>
          <t>Keep a monotone stack; each pop resolves one answer; total pops &lt;= n  -&gt;  amortized O(n)</t>
        </is>
      </c>
      <c r="E13" s="37" t="inlineStr">
        <is>
          <t>stack of indices (not values)</t>
        </is>
      </c>
      <c r="F13" s="37" t="inlineStr">
        <is>
          <t>Storing values not indices; equal-element double counting; missing sentinel flush at end</t>
        </is>
      </c>
      <c r="G13" s="37" t="inlineStr">
        <is>
          <t>O(n) amortized</t>
        </is>
      </c>
      <c r="H13" s="37" t="inlineStr">
        <is>
          <t>Daily temperatures, next greater element, largest rectangle in histogram, subarray minimums</t>
        </is>
      </c>
      <c r="I13" s="37" t="inlineStr">
        <is>
          <t>Monotone-break detection in metric streams, backpressure onset</t>
        </is>
      </c>
      <c r="J13" s="7" t="n"/>
      <c r="K13" s="47">
        <f>COUNTIF(DayPlan!$E$2:$E$169,"*Monotonic stack*")</f>
        <v/>
      </c>
      <c r="L13" s="48">
        <f>IF(MAXIFS(ProblemDB!$F$2:$F$750,ProblemDB!$D$2:$D$750,"*Monotonic stack*")&gt;0,MAXIFS(ProblemDB!$F$2:$F$750,ProblemDB!$D$2:$D$750,"*Monotonic stack*"),"-")</f>
        <v/>
      </c>
    </row>
    <row r="14" ht="44" customHeight="1">
      <c r="A14" s="37" t="inlineStr">
        <is>
          <t>Monotonic deque</t>
        </is>
      </c>
      <c r="B14" s="37" t="inlineStr">
        <is>
          <t>'maximum/minimum of every window of size k','sliding extremum','windowed DP'</t>
        </is>
      </c>
      <c r="C14" s="37" t="inlineStr">
        <is>
          <t>fixed or bounded window; n up to 10^6</t>
        </is>
      </c>
      <c r="D14" s="37" t="inlineStr">
        <is>
          <t>Maintain a deque of indices in monotone order; evict out-of-window and dominated candidates</t>
        </is>
      </c>
      <c r="E14" s="37" t="inlineStr">
        <is>
          <t>deque of indices</t>
        </is>
      </c>
      <c r="F14" s="37" t="inlineStr">
        <is>
          <t>Not evicting expired indices; storing values not indices; wrong eviction order</t>
        </is>
      </c>
      <c r="G14" s="37" t="inlineStr">
        <is>
          <t>O(n)</t>
        </is>
      </c>
      <c r="H14" s="37" t="inlineStr">
        <is>
          <t>Sliding window maximum, jump game VI, constrained subsequence sum</t>
        </is>
      </c>
      <c r="I14" s="37" t="inlineStr">
        <is>
          <t>Rolling max latency, watermarks, windowed DP in schedulers</t>
        </is>
      </c>
      <c r="J14" s="7" t="n"/>
      <c r="K14" s="47">
        <f>COUNTIF(DayPlan!$E$2:$E$169,"*Monotonic deque*")</f>
        <v/>
      </c>
      <c r="L14" s="48">
        <f>IF(MAXIFS(ProblemDB!$F$2:$F$750,ProblemDB!$D$2:$D$750,"*Monotonic deque*")&gt;0,MAXIFS(ProblemDB!$F$2:$F$750,ProblemDB!$D$2:$D$750,"*Monotonic deque*"),"-")</f>
        <v/>
      </c>
    </row>
    <row r="15" ht="44" customHeight="1">
      <c r="A15" s="37" t="inlineStr">
        <is>
          <t>Heap / top-K / streaming extremum</t>
        </is>
      </c>
      <c r="B15" s="37" t="inlineStr">
        <is>
          <t>'k largest/smallest','median of stream','schedule next available resource'</t>
        </is>
      </c>
      <c r="C15" s="37" t="inlineStr">
        <is>
          <t>k&lt;&lt;n or online data; n up to 10^6</t>
        </is>
      </c>
      <c r="D15" s="37" t="inlineStr">
        <is>
          <t>Partial order is enough; a heap gives the extreme in O(log n); heapify is O(n)</t>
        </is>
      </c>
      <c r="E15" s="37" t="inlineStr">
        <is>
          <t>min-heap or max-heap; two heaps for median; heap of (key, cursor) for merge</t>
        </is>
      </c>
      <c r="F15" s="37" t="inlineStr">
        <is>
          <t>Full sort when k is tiny; wrong polarity; not using lazy deletion for stale entries</t>
        </is>
      </c>
      <c r="G15" s="37" t="inlineStr">
        <is>
          <t>O(n log k) or O(log n) per operation</t>
        </is>
      </c>
      <c r="H15" s="37" t="inlineStr">
        <is>
          <t>Kth largest, k closest, find median from stream, merge k sorted lists, task scheduler</t>
        </is>
      </c>
      <c r="I15" s="37" t="inlineStr">
        <is>
          <t>Top-K hot keys, p99 estimation, eviction candidate selection, priority scheduling</t>
        </is>
      </c>
      <c r="J15" s="7" t="n"/>
      <c r="K15" s="47">
        <f>COUNTIF(DayPlan!$E$2:$E$169,"*Heap*")</f>
        <v/>
      </c>
      <c r="L15" s="48">
        <f>IF(MAXIFS(ProblemDB!$F$2:$F$750,ProblemDB!$D$2:$D$750,"*Heap*")&gt;0,MAXIFS(ProblemDB!$F$2:$F$750,ProblemDB!$D$2:$D$750,"*Heap*"),"-")</f>
        <v/>
      </c>
    </row>
    <row r="16" ht="44" customHeight="1">
      <c r="A16" s="37" t="inlineStr">
        <is>
          <t>Greedy invariants</t>
        </is>
      </c>
      <c r="B16" s="37" t="inlineStr">
        <is>
          <t>'maximum number of','minimum steps','locally safe choice'; often after sorting</t>
        </is>
      </c>
      <c r="C16" s="37" t="inlineStr">
        <is>
          <t>exchange argument must hold; usually O(n log n)</t>
        </is>
      </c>
      <c r="D16" s="37" t="inlineStr">
        <is>
          <t>Prove by exchange or staying-ahead that the local choice is in some optimal solution</t>
        </is>
      </c>
      <c r="E16" s="37" t="inlineStr">
        <is>
          <t>sort + counters, heap, or simple scan</t>
        </is>
      </c>
      <c r="F16" s="37" t="inlineStr">
        <is>
          <t>Unproven greedy; missing a counterexample that breaks it; using greedy where DP is required</t>
        </is>
      </c>
      <c r="G16" s="37" t="inlineStr">
        <is>
          <t>O(n log n) typically</t>
        </is>
      </c>
      <c r="H16" s="37" t="inlineStr">
        <is>
          <t>Jump game II, gas station, partition labels, refueling stops</t>
        </is>
      </c>
      <c r="I16" s="37" t="inlineStr">
        <is>
          <t>Admission control, retry budgets, checkpoint placement</t>
        </is>
      </c>
      <c r="J16" s="7" t="n"/>
      <c r="K16" s="47">
        <f>COUNTIF(DayPlan!$E$2:$E$169,"*Greedy*")</f>
        <v/>
      </c>
      <c r="L16" s="48">
        <f>IF(MAXIFS(ProblemDB!$F$2:$F$750,ProblemDB!$D$2:$D$750,"*Greedy*")&gt;0,MAXIFS(ProblemDB!$F$2:$F$750,ProblemDB!$D$2:$D$750,"*Greedy*"),"-")</f>
        <v/>
      </c>
    </row>
    <row r="17" ht="44" customHeight="1">
      <c r="A17" s="37" t="inlineStr">
        <is>
          <t>Design / structure composition</t>
        </is>
      </c>
      <c r="B17" s="37" t="inlineStr">
        <is>
          <t>'implement X with O(1) get/put/delete','LRU','LFU','getRandom'</t>
        </is>
      </c>
      <c r="C17" s="37" t="inlineStr">
        <is>
          <t>operation TC is the spec; n up to 10^5 ops</t>
        </is>
      </c>
      <c r="D17" s="37" t="inlineStr">
        <is>
          <t>Compose two structures so each required operation is O(1)/O(log n); API dictates structures</t>
        </is>
      </c>
      <c r="E17" s="37" t="inlineStr">
        <is>
          <t>hash map + doubly linked list (LRU), freq buckets + maps (LFU), array + index map (getRandom)</t>
        </is>
      </c>
      <c r="F17" s="37" t="inlineStr">
        <is>
          <t>Choosing structures by habit not by API; forgetting to keep both structures in sync on every path</t>
        </is>
      </c>
      <c r="G17" s="37" t="inlineStr">
        <is>
          <t>O(1) per operation</t>
        </is>
      </c>
      <c r="H17" s="37" t="inlineStr">
        <is>
          <t>LRU cache, LFU cache, RandomizedSet, TimeMap, hit counter</t>
        </is>
      </c>
      <c r="I17" s="37" t="inlineStr">
        <is>
          <t>Page/feature/embedding caches, KV stores, rate limiters, versioned stores</t>
        </is>
      </c>
      <c r="J17" s="7" t="n"/>
      <c r="K17" s="47">
        <f>COUNTIF(DayPlan!$E$2:$E$169,"*Design*")</f>
        <v/>
      </c>
      <c r="L17" s="48">
        <f>IF(MAXIFS(ProblemDB!$F$2:$F$750,ProblemDB!$D$2:$D$750,"*Design*")&gt;0,MAXIFS(ProblemDB!$F$2:$F$750,ProblemDB!$D$2:$D$750,"*Design*"),"-")</f>
        <v/>
      </c>
    </row>
    <row r="18" ht="44" customHeight="1">
      <c r="A18" s="37" t="inlineStr">
        <is>
          <t>Bit manipulation</t>
        </is>
      </c>
      <c r="B18" s="37" t="inlineStr">
        <is>
          <t>'subset of at most 20 items','XOR','without extra space','count bits','feature flags'</t>
        </is>
      </c>
      <c r="C18" s="37" t="inlineStr">
        <is>
          <t>n&lt;=20 for subset enumeration; 32/64-bit word for bit tricks</t>
        </is>
      </c>
      <c r="D18" s="37" t="inlineStr">
        <is>
          <t>A bitmask is a tiny set with O(1) set operations; XOR cancels pairs; use popcount for size</t>
        </is>
      </c>
      <c r="E18" s="37" t="inlineStr">
        <is>
          <t>integer masks, popcount, __builtin_ctz</t>
        </is>
      </c>
      <c r="F18" s="37" t="inlineStr">
        <is>
          <t>Signed right-shifts; operator precedence bugs (use parentheses); overflow on mask&lt;&lt;1</t>
        </is>
      </c>
      <c r="G18" s="37" t="inlineStr">
        <is>
          <t>O(1) per mask op; O(2^n) for full enumeration</t>
        </is>
      </c>
      <c r="H18" s="37" t="inlineStr">
        <is>
          <t>Single number II, sum without +, missing number, subset enumeration</t>
        </is>
      </c>
      <c r="I18" s="37" t="inlineStr">
        <is>
          <t>Bitmaps, feature flags, GPU lane/warp masks, bloom filter ops</t>
        </is>
      </c>
      <c r="J18" s="7" t="n"/>
      <c r="K18" s="47">
        <f>COUNTIF(DayPlan!$E$2:$E$169,"*Bit*")</f>
        <v/>
      </c>
      <c r="L18" s="48">
        <f>IF(MAXIFS(ProblemDB!$F$2:$F$750,ProblemDB!$D$2:$D$750,"*Bit*")&gt;0,MAXIFS(ProblemDB!$F$2:$F$750,ProblemDB!$D$2:$D$750,"*Bit*"),"-")</f>
        <v/>
      </c>
    </row>
    <row r="19" ht="44" customHeight="1">
      <c r="A19" s="37" t="inlineStr">
        <is>
          <t>Tree recursion (contract-first)</t>
        </is>
      </c>
      <c r="B19" s="37" t="inlineStr">
        <is>
          <t>'depth','balanced','path sum','subtree property','lowest common ancestor'</t>
        </is>
      </c>
      <c r="C19" s="37" t="inlineStr">
        <is>
          <t>n up to 10^5; beware recursion depth on skewed trees</t>
        </is>
      </c>
      <c r="D19" s="37" t="inlineStr">
        <is>
          <t>Define exactly what the function returns for a subtree; write it in English before coding; then trust it</t>
        </is>
      </c>
      <c r="E19" s="37" t="inlineStr">
        <is>
          <t>recursion, call stack, optional memoisation</t>
        </is>
      </c>
      <c r="F19" s="37" t="inlineStr">
        <is>
          <t>Vague contracts; mixing 'answer' with 'return value'; stack overflow on skewed trees</t>
        </is>
      </c>
      <c r="G19" s="37" t="inlineStr">
        <is>
          <t>O(n)</t>
        </is>
      </c>
      <c r="H19" s="37" t="inlineStr">
        <is>
          <t>Depth, balanced, diameter, max path sum, LCA, validate BST</t>
        </is>
      </c>
      <c r="I19" s="37" t="inlineStr">
        <is>
          <t>Recursive dependency evaluation, nested config resolution</t>
        </is>
      </c>
      <c r="J19" s="7" t="n"/>
      <c r="K19" s="47">
        <f>COUNTIF(DayPlan!$E$2:$E$169,"*Tree recursion*")</f>
        <v/>
      </c>
      <c r="L19" s="48">
        <f>IF(MAXIFS(ProblemDB!$F$2:$F$750,ProblemDB!$D$2:$D$750,"*Tree recursion*")&gt;0,MAXIFS(ProblemDB!$F$2:$F$750,ProblemDB!$D$2:$D$750,"*Tree recursion*"),"-")</f>
        <v/>
      </c>
    </row>
    <row r="20" ht="44" customHeight="1">
      <c r="A20" s="37" t="inlineStr">
        <is>
          <t>Tree DP (post-order)</t>
        </is>
      </c>
      <c r="B20" s="37" t="inlineStr">
        <is>
          <t>'max path','rob houses in tree','distribute coins','max sum with no adjacent'</t>
        </is>
      </c>
      <c r="C20" s="37" t="inlineStr">
        <is>
          <t>tree, single-pass wanted</t>
        </is>
      </c>
      <c r="D20" s="37" t="inlineStr">
        <is>
          <t>Combine children's return values at the parent; return one value upward; update global answer separately</t>
        </is>
      </c>
      <c r="E20" s="37" t="inlineStr">
        <is>
          <t>recursion + tuple return (gain upward, answer updated)</t>
        </is>
      </c>
      <c r="F20" s="37" t="inlineStr">
        <is>
          <t>Returning the global answer upward; double-counting the root node; forgetting to clamp negatives</t>
        </is>
      </c>
      <c r="G20" s="37" t="inlineStr">
        <is>
          <t>O(n)</t>
        </is>
      </c>
      <c r="H20" s="37" t="inlineStr">
        <is>
          <t>Diameter, max path sum, house robber III, distribute coins</t>
        </is>
      </c>
      <c r="I20" s="37" t="inlineStr">
        <is>
          <t>Aggregating metrics up a topology/ownership tree</t>
        </is>
      </c>
      <c r="J20" s="7" t="n"/>
      <c r="K20" s="47">
        <f>COUNTIF(DayPlan!$E$2:$E$169,"*Tree DP*")</f>
        <v/>
      </c>
      <c r="L20" s="48">
        <f>IF(MAXIFS(ProblemDB!$F$2:$F$750,ProblemDB!$D$2:$D$750,"*Tree DP*")&gt;0,MAXIFS(ProblemDB!$F$2:$F$750,ProblemDB!$D$2:$D$750,"*Tree DP*"),"-")</f>
        <v/>
      </c>
    </row>
    <row r="21" ht="44" customHeight="1">
      <c r="A21" s="37" t="inlineStr">
        <is>
          <t>BST ordering</t>
        </is>
      </c>
      <c r="B21" s="37" t="inlineStr">
        <is>
          <t>'validate BST','k-th smallest in BST','BST range queries'</t>
        </is>
      </c>
      <c r="C21" s="37" t="inlineStr">
        <is>
          <t>BST given, may be unbalanced</t>
        </is>
      </c>
      <c r="D21" s="37" t="inlineStr">
        <is>
          <t>In-order traversal is sorted; propagate valid range (lo, hi) top-down instead of comparing parent-child</t>
        </is>
      </c>
      <c r="E21" s="37" t="inlineStr">
        <is>
          <t>recursion with range bounds, iterative inorder stack</t>
        </is>
      </c>
      <c r="F21" s="37" t="inlineStr">
        <is>
          <t>Comparing only parent-child (misses deep violations); ignoring duplicate policy</t>
        </is>
      </c>
      <c r="G21" s="37" t="inlineStr">
        <is>
          <t>O(h) per operation</t>
        </is>
      </c>
      <c r="H21" s="37" t="inlineStr">
        <is>
          <t>Validate BST, kth smallest, insert/delete, range queries</t>
        </is>
      </c>
      <c r="I21" s="37" t="inlineStr">
        <is>
          <t>Ordered indexes, range scans, B-tree node invariants</t>
        </is>
      </c>
      <c r="J21" s="7" t="n"/>
      <c r="K21" s="47">
        <f>COUNTIF(DayPlan!$E$2:$E$169,"*BST*")</f>
        <v/>
      </c>
      <c r="L21" s="48">
        <f>IF(MAXIFS(ProblemDB!$F$2:$F$750,ProblemDB!$D$2:$D$750,"*BST*")&gt;0,MAXIFS(ProblemDB!$F$2:$F$750,ProblemDB!$D$2:$D$750,"*BST*"),"-")</f>
        <v/>
      </c>
    </row>
    <row r="22" ht="44" customHeight="1">
      <c r="A22" s="37" t="inlineStr">
        <is>
          <t>BFS levels / shortest hops</t>
        </is>
      </c>
      <c r="B22" s="37" t="inlineStr">
        <is>
          <t>'minimum steps','level order','nearest X','spread from source'</t>
        </is>
      </c>
      <c r="C22" s="37" t="inlineStr">
        <is>
          <t>unweighted graph or grid; n up to 10^5</t>
        </is>
      </c>
      <c r="D22" s="37" t="inlineStr">
        <is>
          <t>First visit = shortest distance; seed all sources at level 0 for multi-source; expand in layers</t>
        </is>
      </c>
      <c r="E22" s="37" t="inlineStr">
        <is>
          <t>queue, visited set/array</t>
        </is>
      </c>
      <c r="F22" s="37" t="inlineStr">
        <is>
          <t>Marking visited on pop (causes exponential blowup); mixing level boundaries</t>
        </is>
      </c>
      <c r="G22" s="37" t="inlineStr">
        <is>
          <t>O(V+E)</t>
        </is>
      </c>
      <c r="H22" s="37" t="inlineStr">
        <is>
          <t>Rotting oranges, word ladder, open the lock, right side view, 01-matrix</t>
        </is>
      </c>
      <c r="I22" s="37" t="inlineStr">
        <is>
          <t>Hop counts, blast-radius analysis, BFS-based propagation</t>
        </is>
      </c>
      <c r="J22" s="7" t="n"/>
      <c r="K22" s="47">
        <f>COUNTIF(DayPlan!$E$2:$E$169,"*BFS*")</f>
        <v/>
      </c>
      <c r="L22" s="48">
        <f>IF(MAXIFS(ProblemDB!$F$2:$F$750,ProblemDB!$D$2:$D$750,"*BFS*")&gt;0,MAXIFS(ProblemDB!$F$2:$F$750,ProblemDB!$D$2:$D$750,"*BFS*"),"-")</f>
        <v/>
      </c>
    </row>
    <row r="23" ht="44" customHeight="1">
      <c r="A23" s="37" t="inlineStr">
        <is>
          <t>Graph DFS / components</t>
        </is>
      </c>
      <c r="B23" s="37" t="inlineStr">
        <is>
          <t>'islands','connected components','clone graph','cycle detection','safe states'</t>
        </is>
      </c>
      <c r="C23" s="37" t="inlineStr">
        <is>
          <t>grid or adjacency list; n up to 10^5</t>
        </is>
      </c>
      <c r="D23" s="37" t="inlineStr">
        <is>
          <t>Explore exhaustively; component identity or cycle colour (white/grey/black) is the output</t>
        </is>
      </c>
      <c r="E23" s="37" t="inlineStr">
        <is>
          <t>recursion or explicit stack, visited array, colour array for directed cycles</t>
        </is>
      </c>
      <c r="F23" s="37" t="inlineStr">
        <is>
          <t>Recursion depth on large grids; not handling multiple components; directed vs undirected cycle logic</t>
        </is>
      </c>
      <c r="G23" s="37" t="inlineStr">
        <is>
          <t>O(V+E)</t>
        </is>
      </c>
      <c r="H23" s="37" t="inlineStr">
        <is>
          <t>Number of islands, clone graph, find eventual safe states, course schedule</t>
        </is>
      </c>
      <c r="I23" s="37" t="inlineStr">
        <is>
          <t>Topology discovery, cluster membership, service-graph crawling</t>
        </is>
      </c>
      <c r="J23" s="7" t="n"/>
      <c r="K23" s="47">
        <f>COUNTIF(DayPlan!$E$2:$E$169,"*Graph*")</f>
        <v/>
      </c>
      <c r="L23" s="48">
        <f>IF(MAXIFS(ProblemDB!$F$2:$F$750,ProblemDB!$D$2:$D$750,"*Graph*")&gt;0,MAXIFS(ProblemDB!$F$2:$F$750,ProblemDB!$D$2:$D$750,"*Graph*"),"-")</f>
        <v/>
      </c>
    </row>
    <row r="24" ht="44" customHeight="1">
      <c r="A24" s="37" t="inlineStr">
        <is>
          <t>Union Find (DSU)</t>
        </is>
      </c>
      <c r="B24" s="37" t="inlineStr">
        <is>
          <t>'connected components that grow','merge groups','edges arrive incrementally','redundant edge'</t>
        </is>
      </c>
      <c r="C24" s="37" t="inlineStr">
        <is>
          <t>n up to 10^6; many merges and find queries</t>
        </is>
      </c>
      <c r="D24" s="37" t="inlineStr">
        <is>
          <t>Maintain disjoint sets with path compression + union by size for near-O(1) amortized ops</t>
        </is>
      </c>
      <c r="E24" s="37" t="inlineStr">
        <is>
          <t>parent array + size array</t>
        </is>
      </c>
      <c r="F24" s="37" t="inlineStr">
        <is>
          <t>Forgetting BOTH optimizations; using DSU where order of nodes matters; O(n) find without compression</t>
        </is>
      </c>
      <c r="G24" s="37" t="inlineStr">
        <is>
          <t>O(alpha(n)) amortized per op</t>
        </is>
      </c>
      <c r="H24" s="37" t="inlineStr">
        <is>
          <t>Number of provinces, accounts merge, redundant connection, dynamic connectivity</t>
        </is>
      </c>
      <c r="I24" s="37" t="inlineStr">
        <is>
          <t>Cluster membership, shard grouping, entity dedup, dynamic edge-stream connectivity</t>
        </is>
      </c>
      <c r="J24" s="7" t="n"/>
      <c r="K24" s="47">
        <f>COUNTIF(DayPlan!$E$2:$E$169,"*Union Find*")</f>
        <v/>
      </c>
      <c r="L24" s="48">
        <f>IF(MAXIFS(ProblemDB!$F$2:$F$750,ProblemDB!$D$2:$D$750,"*Union Find*")&gt;0,MAXIFS(ProblemDB!$F$2:$F$750,ProblemDB!$D$2:$D$750,"*Union Find*"),"-")</f>
        <v/>
      </c>
    </row>
    <row r="25" ht="44" customHeight="1">
      <c r="A25" s="37" t="inlineStr">
        <is>
          <t>Topological sorting</t>
        </is>
      </c>
      <c r="B25" s="37" t="inlineStr">
        <is>
          <t>'prerequisites','build order','dependency resolution','detect cycle in directed graph'</t>
        </is>
      </c>
      <c r="C25" s="37" t="inlineStr">
        <is>
          <t>DAG (or detect if not); V+E up to 10^5</t>
        </is>
      </c>
      <c r="D25" s="37" t="inlineStr">
        <is>
          <t>Remove in-degree-0 nodes repeatedly (Kahn); or DFS with 3 colours; cycle = fewer than n emitted</t>
        </is>
      </c>
      <c r="E25" s="37" t="inlineStr">
        <is>
          <t>in-degree array + queue (Kahn), or recursion + colour array (DFS)</t>
        </is>
      </c>
      <c r="F25" s="37" t="inlineStr">
        <is>
          <t>Not detecting cycles; assuming a unique ordering exists; skipping isolated nodes</t>
        </is>
      </c>
      <c r="G25" s="37" t="inlineStr">
        <is>
          <t>O(V+E)</t>
        </is>
      </c>
      <c r="H25" s="37" t="inlineStr">
        <is>
          <t>Course schedule I/II, alien dictionary, task order, build systems</t>
        </is>
      </c>
      <c r="I25" s="37" t="inlineStr">
        <is>
          <t>DAG job scheduling, ML pipeline orchestration, build dependency resolution</t>
        </is>
      </c>
      <c r="J25" s="7" t="n"/>
      <c r="K25" s="47">
        <f>COUNTIF(DayPlan!$E$2:$E$169,"*Topological*")</f>
        <v/>
      </c>
      <c r="L25" s="48">
        <f>IF(MAXIFS(ProblemDB!$F$2:$F$750,ProblemDB!$D$2:$D$750,"*Topological*")&gt;0,MAXIFS(ProblemDB!$F$2:$F$750,ProblemDB!$D$2:$D$750,"*Topological*"),"-")</f>
        <v/>
      </c>
    </row>
    <row r="26" ht="44" customHeight="1">
      <c r="A26" s="37" t="inlineStr">
        <is>
          <t>Dijkstra / weighted shortest path</t>
        </is>
      </c>
      <c r="B26" s="37" t="inlineStr">
        <is>
          <t>'minimum cost/time path','non-negative edge weights','network delay'</t>
        </is>
      </c>
      <c r="C26" s="37" t="inlineStr">
        <is>
          <t>weights &gt;= 0; E up to 10^5</t>
        </is>
      </c>
      <c r="D26" s="37" t="inlineStr">
        <is>
          <t>Greedily finalize the closest unfinished node; the popped distance is final (non-negative weights only)</t>
        </is>
      </c>
      <c r="E26" s="37" t="inlineStr">
        <is>
          <t>min-heap of (distance, node) + dist array</t>
        </is>
      </c>
      <c r="F26" s="37" t="inlineStr">
        <is>
          <t>Using on negative weights; not skipping stale heap entries; wrong objective (min-max vs min-sum)</t>
        </is>
      </c>
      <c r="G26" s="37" t="inlineStr">
        <is>
          <t>O(E log V)</t>
        </is>
      </c>
      <c r="H26" s="37" t="inlineStr">
        <is>
          <t>Network delay, path with max probability, min effort, cheapest flights</t>
        </is>
      </c>
      <c r="I26" s="37" t="inlineStr">
        <is>
          <t>Latency-aware routing, cost-based placement, weighted service graphs</t>
        </is>
      </c>
      <c r="J26" s="7" t="n"/>
      <c r="K26" s="47">
        <f>COUNTIF(DayPlan!$E$2:$E$169,"*Dijkstra*")</f>
        <v/>
      </c>
      <c r="L26" s="48">
        <f>IF(MAXIFS(ProblemDB!$F$2:$F$750,ProblemDB!$D$2:$D$750,"*Dijkstra*")&gt;0,MAXIFS(ProblemDB!$F$2:$F$750,ProblemDB!$D$2:$D$750,"*Dijkstra*"),"-")</f>
        <v/>
      </c>
    </row>
    <row r="27" ht="44" customHeight="1">
      <c r="A27" s="37" t="inlineStr">
        <is>
          <t>State-space BFS/Dijkstra</t>
        </is>
      </c>
      <c r="B27" s="37" t="inlineStr">
        <is>
          <t>'minimum moves with a resource budget','compound state','configuration reachability'</t>
        </is>
      </c>
      <c r="C27" s="37" t="inlineStr">
        <is>
          <t>state space bounded and enumerable; states up to ~10^6</t>
        </is>
      </c>
      <c r="D27" s="37" t="inlineStr">
        <is>
          <t>Nodes are FULL STATES (not just position); encode the state tuple; visited keyed on the complete state</t>
        </is>
      </c>
      <c r="E27" s="37" t="inlineStr">
        <is>
          <t>queue or min-heap, visited set of encoded state tuples</t>
        </is>
      </c>
      <c r="F27" s="37" t="inlineStr">
        <is>
          <t>Visited keyed on partial state (silent wrong answer); unbounded state space; expensive encoding</t>
        </is>
      </c>
      <c r="G27" s="37" t="inlineStr">
        <is>
          <t>O(states * transitions)</t>
        </is>
      </c>
      <c r="H27" s="37" t="inlineStr">
        <is>
          <t>Sliding puzzle, obstacle elimination, open the lock, minimum genetic mutation</t>
        </is>
      </c>
      <c r="I27" s="37" t="inlineStr">
        <is>
          <t>Scheduler/config state exploration, rollout planning, deployment state machines</t>
        </is>
      </c>
      <c r="J27" s="7" t="n"/>
      <c r="K27" s="47">
        <f>COUNTIF(DayPlan!$E$2:$E$169,"*State-space*")</f>
        <v/>
      </c>
      <c r="L27" s="48">
        <f>IF(MAXIFS(ProblemDB!$F$2:$F$750,ProblemDB!$D$2:$D$750,"*State-space*")&gt;0,MAXIFS(ProblemDB!$F$2:$F$750,ProblemDB!$D$2:$D$750,"*State-space*"),"-")</f>
        <v/>
      </c>
    </row>
    <row r="28" ht="44" customHeight="1">
      <c r="A28" s="37" t="inlineStr">
        <is>
          <t>Backtracking + pruning</t>
        </is>
      </c>
      <c r="B28" s="37" t="inlineStr">
        <is>
          <t>'all combinations/permutations/partitions','place N items with constraints'</t>
        </is>
      </c>
      <c r="C28" s="37" t="inlineStr">
        <is>
          <t>n small (&lt;=20) or with heavy pruning; exponential in theory</t>
        </is>
      </c>
      <c r="D28" s="37" t="inlineStr">
        <is>
          <t>Choose, explore, unchoose; the real skill is pruning branches that cannot lead to valid solutions</t>
        </is>
      </c>
      <c r="E28" s="37" t="inlineStr">
        <is>
          <t>recursion, path array, bitmasks for O(1) constraint checks</t>
        </is>
      </c>
      <c r="F28" s="37" t="inlineStr">
        <is>
          <t>No pruning; incorrect dedup; mutating shared state without restoring it</t>
        </is>
      </c>
      <c r="G28" s="37" t="inlineStr">
        <is>
          <t>Exponential with pruning factor</t>
        </is>
      </c>
      <c r="H28" s="37" t="inlineStr">
        <is>
          <t>Subsets, permutations, N-Queens, sudoku, palindrome partitioning, word search</t>
        </is>
      </c>
      <c r="I28" s="37" t="inlineStr">
        <is>
          <t>Config search, placement under conflict constraints, hyperparameter enumeration</t>
        </is>
      </c>
      <c r="J28" s="7" t="n"/>
      <c r="K28" s="47">
        <f>COUNTIF(DayPlan!$E$2:$E$169,"*Backtracking*")</f>
        <v/>
      </c>
      <c r="L28" s="48">
        <f>IF(MAXIFS(ProblemDB!$F$2:$F$750,ProblemDB!$D$2:$D$750,"*Backtracking*")&gt;0,MAXIFS(ProblemDB!$F$2:$F$750,ProblemDB!$D$2:$D$750,"*Backtracking*"),"-")</f>
        <v/>
      </c>
    </row>
    <row r="29" ht="44" customHeight="1">
      <c r="A29" s="37" t="inlineStr">
        <is>
          <t>Trie / prefix tree</t>
        </is>
      </c>
      <c r="B29" s="37" t="inlineStr">
        <is>
          <t>'prefix queries','dictionary of words','autocomplete','search with wildcards'</t>
        </is>
      </c>
      <c r="C29" s="37" t="inlineStr">
        <is>
          <t>alphabet size small (&lt;=26); many words/queries</t>
        </is>
      </c>
      <c r="D29" s="37" t="inlineStr">
        <is>
          <t>Share prefixes to make prefix queries proportional to word length; enables DFS pruning</t>
        </is>
      </c>
      <c r="E29" s="37" t="inlineStr">
        <is>
          <t>trie nodes (array or hash map per node) with end flags</t>
        </is>
      </c>
      <c r="F29" s="37" t="inlineStr">
        <is>
          <t>Memory blowup on large alphabets; using a trie where a hashset is simpler and sufficient</t>
        </is>
      </c>
      <c r="G29" s="37" t="inlineStr">
        <is>
          <t>O(L) per operation (L = word length)</t>
        </is>
      </c>
      <c r="H29" s="37" t="inlineStr">
        <is>
          <t>Implement trie, word search II, add and search words, longest prefix match</t>
        </is>
      </c>
      <c r="I29" s="37" t="inlineStr">
        <is>
          <t>Autocomplete, tokenizer vocabularies, longest-prefix-match routing</t>
        </is>
      </c>
      <c r="J29" s="7" t="n"/>
      <c r="K29" s="47">
        <f>COUNTIF(DayPlan!$E$2:$E$169,"*Trie*")</f>
        <v/>
      </c>
      <c r="L29" s="48">
        <f>IF(MAXIFS(ProblemDB!$F$2:$F$750,ProblemDB!$D$2:$D$750,"*Trie*")&gt;0,MAXIFS(ProblemDB!$F$2:$F$750,ProblemDB!$D$2:$D$750,"*Trie*"),"-")</f>
        <v/>
      </c>
    </row>
    <row r="30" ht="44" customHeight="1">
      <c r="A30" s="37" t="inlineStr">
        <is>
          <t>DP (1D state design)</t>
        </is>
      </c>
      <c r="B30" s="37" t="inlineStr">
        <is>
          <t>'number of ways','min/max cost','can we reach target','decisions at each step'</t>
        </is>
      </c>
      <c r="C30" s="37" t="inlineStr">
        <is>
          <t>n up to 10^5; clear stages or positions</t>
        </is>
      </c>
      <c r="D30" s="37" t="inlineStr">
        <is>
          <t>Define state  -&gt;  transition  -&gt;  base case  -&gt;  evaluation order  -&gt;  answer location (in that exact order)</t>
        </is>
      </c>
      <c r="E30" s="37" t="inlineStr">
        <is>
          <t>1D array or hash map</t>
        </is>
      </c>
      <c r="F30" s="37" t="inlineStr">
        <is>
          <t>Defining transition before state; wrong evaluation order; reading answer from wrong position</t>
        </is>
      </c>
      <c r="G30" s="37" t="inlineStr">
        <is>
          <t>O(n * states_per_position)</t>
        </is>
      </c>
      <c r="H30" s="37" t="inlineStr">
        <is>
          <t>Climbing stairs, house robber, decode ways, jump game, coin change</t>
        </is>
      </c>
      <c r="I30" s="37" t="inlineStr">
        <is>
          <t>Stage-wise cost optimisation, pipeline configuration selection</t>
        </is>
      </c>
      <c r="J30" s="7" t="n"/>
      <c r="K30" s="47">
        <f>COUNTIF(DayPlan!$E$2:$E$169,"*DP (1D)*")</f>
        <v/>
      </c>
      <c r="L30" s="48">
        <f>IF(MAXIFS(ProblemDB!$F$2:$F$750,ProblemDB!$D$2:$D$750,"*DP (1D)*")&gt;0,MAXIFS(ProblemDB!$F$2:$F$750,ProblemDB!$D$2:$D$750,"*DP (1D)*"),"-")</f>
        <v/>
      </c>
    </row>
    <row r="31" ht="44" customHeight="1">
      <c r="A31" s="37" t="inlineStr">
        <is>
          <t>DP (knapsack family)</t>
        </is>
      </c>
      <c r="B31" s="37" t="inlineStr">
        <is>
          <t>'subset sum','choose items under capacity budget','coin change','ways to make amount'</t>
        </is>
      </c>
      <c r="C31" s="37" t="inlineStr">
        <is>
          <t>capacity/sum bounded (pseudo-polynomial); n * capacity &lt;= 10^7</t>
        </is>
      </c>
      <c r="D31" s="37" t="inlineStr">
        <is>
          <t>Capacity is a DP dimension; loop order encodes 0/1 (descending) vs unbounded (ascending)</t>
        </is>
      </c>
      <c r="E31" s="37" t="inlineStr">
        <is>
          <t>1D or 2D DP arrays</t>
        </is>
      </c>
      <c r="F31" s="37" t="inlineStr">
        <is>
          <t>Wrong loop order; counting permutations vs combinations; not handling 0-capacity base case</t>
        </is>
      </c>
      <c r="G31" s="37" t="inlineStr">
        <is>
          <t>O(n * capacity)</t>
        </is>
      </c>
      <c r="H31" s="37" t="inlineStr">
        <is>
          <t>Partition equal subset, coin change I/II, ones and zeroes, target sum</t>
        </is>
      </c>
      <c r="I31" s="37" t="inlineStr">
        <is>
          <t>Memory/GPU packing, multi-resource quota allocation</t>
        </is>
      </c>
      <c r="J31" s="7" t="n"/>
      <c r="K31" s="47">
        <f>COUNTIF(DayPlan!$E$2:$E$169,"*knapsack*")</f>
        <v/>
      </c>
      <c r="L31" s="48">
        <f>IF(MAXIFS(ProblemDB!$F$2:$F$750,ProblemDB!$D$2:$D$750,"*knapsack*")&gt;0,MAXIFS(ProblemDB!$F$2:$F$750,ProblemDB!$D$2:$D$750,"*knapsack*"),"-")</f>
        <v/>
      </c>
    </row>
    <row r="32" ht="44" customHeight="1">
      <c r="A32" s="37" t="inlineStr">
        <is>
          <t>DP (two sequences)</t>
        </is>
      </c>
      <c r="B32" s="37" t="inlineStr">
        <is>
          <t>'two strings','edit distance','common subsequence','interleaving'</t>
        </is>
      </c>
      <c r="C32" s="37" t="inlineStr">
        <is>
          <t>m, n up to ~1000</t>
        </is>
      </c>
      <c r="D32" s="37" t="inlineStr">
        <is>
          <t>dp[i][j] over prefixes of both sequences; derive transitions from the problem definition</t>
        </is>
      </c>
      <c r="E32" s="37" t="inlineStr">
        <is>
          <t>2D array or rolling 1D for space optimization</t>
        </is>
      </c>
      <c r="F32" s="37" t="inlineStr">
        <is>
          <t>Index confusion (i=0 means empty prefix); wrong base cases; optimizing space before correctness</t>
        </is>
      </c>
      <c r="G32" s="37" t="inlineStr">
        <is>
          <t>O(mn) time, O(min(m,n)) space with rolling</t>
        </is>
      </c>
      <c r="H32" s="37" t="inlineStr">
        <is>
          <t>LCS, edit distance, interleaving strings, distinct subsequences</t>
        </is>
      </c>
      <c r="I32" s="37" t="inlineStr">
        <is>
          <t>Diffing, log/sequence alignment, tokenizer alignment</t>
        </is>
      </c>
      <c r="J32" s="7" t="n"/>
      <c r="K32" s="47">
        <f>COUNTIF(DayPlan!$E$2:$E$169,"*sequences*")</f>
        <v/>
      </c>
      <c r="L32" s="48">
        <f>IF(MAXIFS(ProblemDB!$F$2:$F$750,ProblemDB!$D$2:$D$750,"*sequences*")&gt;0,MAXIFS(ProblemDB!$F$2:$F$750,ProblemDB!$D$2:$D$750,"*sequences*"),"-")</f>
        <v/>
      </c>
    </row>
    <row r="33" ht="44" customHeight="1">
      <c r="A33" s="37" t="inlineStr">
        <is>
          <t>DP (interval)</t>
        </is>
      </c>
      <c r="B33" s="37" t="inlineStr">
        <is>
          <t>'optimal order of operations on a range','merge/burst/remove from a subarray'</t>
        </is>
      </c>
      <c r="C33" s="37" t="inlineStr">
        <is>
          <t>n up to ~500 (O(n^3) acceptable)</t>
        </is>
      </c>
      <c r="D33" s="37" t="inlineStr">
        <is>
          <t>Solve shorter ranges first; pick the LAST operation (not first) to keep subproblems independent</t>
        </is>
      </c>
      <c r="E33" s="37" t="inlineStr">
        <is>
          <t>2D DP array dp[left][right]</t>
        </is>
      </c>
      <c r="F33" s="37" t="inlineStr">
        <is>
          <t>Picking the first operation instead of the last; wrong iteration order (must go by length)</t>
        </is>
      </c>
      <c r="G33" s="37" t="inlineStr">
        <is>
          <t>O(n^3)</t>
        </is>
      </c>
      <c r="H33" s="37" t="inlineStr">
        <is>
          <t>Burst balloons, longest palindromic subsequence, matrix chain, minimum cost to merge stones</t>
        </is>
      </c>
      <c r="I33" s="37" t="inlineStr">
        <is>
          <t>Optimal chunking, merge ordering, compaction cost minimisation</t>
        </is>
      </c>
      <c r="J33" s="7" t="n"/>
      <c r="K33" s="47">
        <f>COUNTIF(DayPlan!$E$2:$E$169,"*interval*")</f>
        <v/>
      </c>
      <c r="L33" s="48">
        <f>IF(MAXIFS(ProblemDB!$F$2:$F$750,ProblemDB!$D$2:$D$750,"*interval*")&gt;0,MAXIFS(ProblemDB!$F$2:$F$750,ProblemDB!$D$2:$D$750,"*interval*"),"-")</f>
        <v/>
      </c>
    </row>
    <row r="34" ht="44" customHeight="1">
      <c r="A34" s="37" t="inlineStr">
        <is>
          <t>DP (bitmask)</t>
        </is>
      </c>
      <c r="B34" s="37" t="inlineStr">
        <is>
          <t>'n&lt;=20','visit all nodes','assign items to groups','travelling salesman variant'</t>
        </is>
      </c>
      <c r="C34" s="37" t="inlineStr">
        <is>
          <t>n&lt;=20 (2^n states must fit in memory)</t>
        </is>
      </c>
      <c r="D34" s="37" t="inlineStr">
        <is>
          <t>State includes a subset bitmask; transition adds one element; (mask, position) is the full state</t>
        </is>
      </c>
      <c r="E34" s="37" t="inlineStr">
        <is>
          <t>dp[mask][...] arrays</t>
        </is>
      </c>
      <c r="F34" s="37" t="inlineStr">
        <is>
          <t>Not recognising the n&lt;=20 signal; state explosion; recomputing popcount in the inner loop</t>
        </is>
      </c>
      <c r="G34" s="37" t="inlineStr">
        <is>
          <t>O(2^n | n) or O(2^n | n^2)</t>
        </is>
      </c>
      <c r="H34" s="37" t="inlineStr">
        <is>
          <t>Shortest path visiting all nodes, matchsticks to square, assignment, TSP-variants</t>
        </is>
      </c>
      <c r="I34" s="37" t="inlineStr">
        <is>
          <t>Job-to-machine assignment, small-scale optimal placement</t>
        </is>
      </c>
      <c r="J34" s="7" t="n"/>
      <c r="K34" s="47">
        <f>COUNTIF(DayPlan!$E$2:$E$169,"*bitmask*")</f>
        <v/>
      </c>
      <c r="L34" s="48">
        <f>IF(MAXIFS(ProblemDB!$F$2:$F$750,ProblemDB!$D$2:$D$750,"*bitmask*")&gt;0,MAXIFS(ProblemDB!$F$2:$F$750,ProblemDB!$D$2:$D$750,"*bitmask*"),"-")</f>
        <v/>
      </c>
    </row>
    <row r="35" ht="44" customHeight="1">
      <c r="A35" s="37" t="inlineStr">
        <is>
          <t>DP optimization (deque/heap in transition)</t>
        </is>
      </c>
      <c r="B35" s="37" t="inlineStr">
        <is>
          <t>naive DP transition is O(nk) or O(n^2) and n&gt;10^3</t>
        </is>
      </c>
      <c r="C35" s="37" t="inlineStr">
        <is>
          <t>tight time limit + large n</t>
        </is>
      </c>
      <c r="D35" s="37" t="inlineStr">
        <is>
          <t>Optimize the transition by hiding a sliding-window maximum/minimum (monotonic deque) inside it</t>
        </is>
      </c>
      <c r="E35" s="37" t="inlineStr">
        <is>
          <t>DP array + monotonic deque or heap or prefix max array</t>
        </is>
      </c>
      <c r="F35" s="37" t="inlineStr">
        <is>
          <t>Optimizing before the naive recurrence is correct and verified; breaking the window bound</t>
        </is>
      </c>
      <c r="G35" s="37" t="inlineStr">
        <is>
          <t>O(n) or O(n log n)</t>
        </is>
      </c>
      <c r="H35" s="37" t="inlineStr">
        <is>
          <t>Jump game VI, constrained subsequence sum, LIS in O(n log n)</t>
        </is>
      </c>
      <c r="I35" s="37" t="inlineStr">
        <is>
          <t>Streaming DP with bounded lookback; windowed online decisions</t>
        </is>
      </c>
      <c r="J35" s="7" t="n"/>
      <c r="K35" s="47">
        <f>COUNTIF(DayPlan!$E$2:$E$169,"*deque*")</f>
        <v/>
      </c>
      <c r="L35" s="48">
        <f>IF(MAXIFS(ProblemDB!$F$2:$F$750,ProblemDB!$D$2:$D$750,"*deque*")&gt;0,MAXIFS(ProblemDB!$F$2:$F$750,ProblemDB!$D$2:$D$750,"*deque*"),"-")</f>
        <v/>
      </c>
    </row>
    <row r="36" ht="44" customHeight="1">
      <c r="A36" s="37" t="inlineStr">
        <is>
          <t>Fenwick Tree (BIT)</t>
        </is>
      </c>
      <c r="B36" s="37" t="inlineStr">
        <is>
          <t>'mutable range sum','inversion count','point update + prefix query'</t>
        </is>
      </c>
      <c r="C36" s="37" t="inlineStr">
        <is>
          <t>values coordinate-compressed; n up to 10^6</t>
        </is>
      </c>
      <c r="D36" s="37" t="inlineStr">
        <is>
          <t>Lowest set bit (i &amp; -i) tree decomposition; O(log n) update and query with tiny constant factor</t>
        </is>
      </c>
      <c r="E36" s="37" t="inlineStr">
        <is>
          <t>1D array (1-indexed)</t>
        </is>
      </c>
      <c r="F36" s="37" t="inlineStr">
        <is>
          <t>0-indexing off-by-one; using when range updates needed without difference array</t>
        </is>
      </c>
      <c r="G36" s="37" t="inlineStr">
        <is>
          <t>O(log n) update/query</t>
        </is>
      </c>
      <c r="H36" s="37" t="inlineStr">
        <is>
          <t>Range sum query, smaller numbers after self, reverse pairs</t>
        </is>
      </c>
      <c r="I36" s="37" t="inlineStr">
        <is>
          <t>High-frequency telemetry counters, rolling latency meters</t>
        </is>
      </c>
      <c r="J36" s="7" t="n"/>
      <c r="K36" s="47">
        <f>COUNTIF(DayPlan!$E$2:$E$169,"*Fenwick*")</f>
        <v/>
      </c>
      <c r="L36" s="48">
        <f>IF(MAXIFS(ProblemDB!$F$2:$F$750,ProblemDB!$D$2:$D$750,"*Fenwick*")&gt;0,MAXIFS(ProblemDB!$F$2:$F$750,ProblemDB!$D$2:$D$750,"*Fenwick*"),"-")</f>
        <v/>
      </c>
    </row>
    <row r="37" ht="44" customHeight="1">
      <c r="A37" s="37" t="inlineStr">
        <is>
          <t>Segment Tree (range query)</t>
        </is>
      </c>
      <c r="B37" s="37" t="inlineStr">
        <is>
          <t>'range min/max/sum/gcd query','point or range updates'; associative function</t>
        </is>
      </c>
      <c r="C37" s="37" t="inlineStr">
        <is>
          <t>array size n up to 5 * 10^5, associative operator</t>
        </is>
      </c>
      <c r="D37" s="37" t="inlineStr">
        <is>
          <t>Divide-and-conquer binary tree over array intervals; 4n array representation; lazy propagation</t>
        </is>
      </c>
      <c r="E37" s="37" t="inlineStr">
        <is>
          <t>tree array, lazy array</t>
        </is>
      </c>
      <c r="F37" s="37" t="inlineStr">
        <is>
          <t>Size 2n instead of 4n; forgetting push_down before inspecting children; non-associative ops</t>
        </is>
      </c>
      <c r="G37" s="37" t="inlineStr">
        <is>
          <t>O(n) build, O(log n) update/query</t>
        </is>
      </c>
      <c r="H37" s="37" t="inlineStr">
        <is>
          <t>Skyline, falling squares, range module, calendar booking</t>
        </is>
      </c>
      <c r="I37" s="37" t="inlineStr">
        <is>
          <t>Distributed SLA monitoring, physical memory reservation maps</t>
        </is>
      </c>
      <c r="J37" s="7" t="n"/>
      <c r="K37" s="47">
        <f>COUNTIF(DayPlan!$E$2:$E$169,"*Segment Tree*")</f>
        <v/>
      </c>
      <c r="L37" s="48">
        <f>IF(MAXIFS(ProblemDB!$F$2:$F$750,ProblemDB!$D$2:$D$750,"*Segment Tree*")&gt;0,MAXIFS(ProblemDB!$F$2:$F$750,ProblemDB!$D$2:$D$750,"*Segment Tree*"),"-")</f>
        <v/>
      </c>
    </row>
    <row r="38" ht="44" customHeight="1">
      <c r="A38" s="37" t="inlineStr">
        <is>
          <t>Tarjan's DFS (bridges &amp; SCC)</t>
        </is>
      </c>
      <c r="B38" s="37" t="inlineStr">
        <is>
          <t>'critical connections','single point of failure','strongly connected components'</t>
        </is>
      </c>
      <c r="C38" s="37" t="inlineStr">
        <is>
          <t>directed or undirected graph, O(V + E) target</t>
        </is>
      </c>
      <c r="D38" s="37" t="inlineStr">
        <is>
          <t>Discovery time tin[u] and lowest ancestor low[u]; back-edge detection; condensation DAG</t>
        </is>
      </c>
      <c r="E38" s="37" t="inlineStr">
        <is>
          <t>tin array, low array, visited stack</t>
        </is>
      </c>
      <c r="F38" s="37" t="inlineStr">
        <is>
          <t>Updating low[u] from parent edge in undirected graph; not popping stack up to u in SCC</t>
        </is>
      </c>
      <c r="G38" s="37" t="inlineStr">
        <is>
          <t>O(V + E)</t>
        </is>
      </c>
      <c r="H38" s="37" t="inlineStr">
        <is>
          <t>Critical connections, graph disconnect, condensation DAG</t>
        </is>
      </c>
      <c r="I38" s="37" t="inlineStr">
        <is>
          <t>Fault-domain isolation, deadlock detection, build dependency validation</t>
        </is>
      </c>
      <c r="J38" s="7" t="n"/>
      <c r="K38" s="47">
        <f>COUNTIF(DayPlan!$E$2:$E$169,"*Tarjan*")</f>
        <v/>
      </c>
      <c r="L38" s="48">
        <f>IF(MAXIFS(ProblemDB!$F$2:$F$750,ProblemDB!$D$2:$D$750,"*Tarjan*")&gt;0,MAXIFS(ProblemDB!$F$2:$F$750,ProblemDB!$D$2:$D$750,"*Tarjan*"),"-")</f>
        <v/>
      </c>
    </row>
    <row r="39" ht="44" customHeight="1">
      <c r="A39" s="37" t="inlineStr">
        <is>
          <t>Hardware / Cache calibration</t>
        </is>
      </c>
      <c r="B39" s="37" t="inlineStr">
        <is>
          <t>high throughput, 10M+ QPS, low latency SLO, memory-constrained traversal</t>
        </is>
      </c>
      <c r="C39" s="37" t="inlineStr">
        <is>
          <t>CPU cache line 64 bytes, DRAM access 60ns vs L1 1ns</t>
        </is>
      </c>
      <c r="D39" s="37" t="inlineStr">
        <is>
          <t>Structure data contiguously (AOS vs SOA); eliminate pointer chasing; size blocks to L1/L2 cache</t>
        </is>
      </c>
      <c r="E39" s="37" t="inlineStr">
        <is>
          <t>flat contiguous buffers, cyclic arrays</t>
        </is>
      </c>
      <c r="F39" s="37" t="inlineStr">
        <is>
          <t>Using linked lists / pointer trees in hot paths; ignoring false sharing and cache-line bouncing</t>
        </is>
      </c>
      <c r="G39" s="37" t="inlineStr">
        <is>
          <t>O(n) with 10x lower constant factor</t>
        </is>
      </c>
      <c r="H39" s="37" t="inlineStr">
        <is>
          <t>Matrix transposition, ring buffers, flat hash tables</t>
        </is>
      </c>
      <c r="I39" s="37" t="inlineStr">
        <is>
          <t>Tensor memory layouts, GPU shared memory tiling, low-latency trading</t>
        </is>
      </c>
      <c r="J39" s="7" t="n"/>
      <c r="K39" s="47">
        <f>COUNTIF(DayPlan!$E$2:$E$169,"*Hardware*")</f>
        <v/>
      </c>
      <c r="L39" s="48">
        <f>IF(MAXIFS(ProblemDB!$F$2:$F$750,ProblemDB!$D$2:$D$750,"*Hardware*")&gt;0,MAXIFS(ProblemDB!$F$2:$F$750,ProblemDB!$D$2:$D$750,"*Hardware*"),"-")</f>
        <v/>
      </c>
    </row>
    <row r="40" ht="44" customHeight="1">
      <c r="A40" s="37" t="inlineStr">
        <is>
          <t>High-performance hashing</t>
        </is>
      </c>
      <c r="B40" s="37" t="inlineStr">
        <is>
          <t>zero tail-latency, low collision variance, predictable lookup time</t>
        </is>
      </c>
      <c r="C40" s="37" t="inlineStr">
        <is>
          <t>in-memory key-value store, load factor 0.8 - 0.9</t>
        </is>
      </c>
      <c r="D40" s="37" t="inlineStr">
        <is>
          <t>Robin Hood displacement or Cuckoo two-table hashing; bounded worst-case probe lengths</t>
        </is>
      </c>
      <c r="E40" s="37" t="inlineStr">
        <is>
          <t>flat key/value array + probe count byte</t>
        </is>
      </c>
      <c r="F40" s="37" t="inlineStr">
        <is>
          <t>Infinite loops during cuckoo cycles without stash; bad hash functions</t>
        </is>
      </c>
      <c r="G40" s="37" t="inlineStr">
        <is>
          <t>O(1) average and worst-case</t>
        </is>
      </c>
      <c r="H40" s="37" t="inlineStr">
        <is>
          <t>In-memory KV store, RocksDB cache, Swiss table</t>
        </is>
      </c>
      <c r="I40" s="37" t="inlineStr">
        <is>
          <t>Storage engine block caches, Memcached, Redis hash tables</t>
        </is>
      </c>
      <c r="J40" s="7" t="n"/>
      <c r="K40" s="47">
        <f>COUNTIF(DayPlan!$E$2:$E$169,"*hashing*")</f>
        <v/>
      </c>
      <c r="L40" s="48">
        <f>IF(MAXIFS(ProblemDB!$F$2:$F$750,ProblemDB!$D$2:$D$750,"*hashing*")&gt;0,MAXIFS(ProblemDB!$F$2:$F$750,ProblemDB!$D$2:$D$750,"*hashing*"),"-")</f>
        <v/>
      </c>
    </row>
    <row r="41" ht="44" customHeight="1">
      <c r="A41" s="37" t="inlineStr">
        <is>
          <t>Adaptive Cache (ARC)</t>
        </is>
      </c>
      <c r="B41" s="37" t="inlineStr">
        <is>
          <t>dynamic workload with mixed scans and recurring loops; hit ratio optimization</t>
        </is>
      </c>
      <c r="C41" s="37" t="inlineStr">
        <is>
          <t>fixed cache memory budget c</t>
        </is>
      </c>
      <c r="D41" s="37" t="inlineStr">
        <is>
          <t>Balance recency (T1) and frequency (T2) dynamically using ghost history lists (B1, B2)</t>
        </is>
      </c>
      <c r="E41" s="37" t="inlineStr">
        <is>
          <t>4 LRU lists (T1, T2, B1, B2) + hash map</t>
        </is>
      </c>
      <c r="F41" s="37" t="inlineStr">
        <is>
          <t>Losing ghost entries on eviction; incorrect target size p boundary clipping [0, c]</t>
        </is>
      </c>
      <c r="G41" s="37" t="inlineStr">
        <is>
          <t>O(1) per lookup and update</t>
        </is>
      </c>
      <c r="H41" s="37" t="inlineStr">
        <is>
          <t>ZFS storage ARC, buffer pool management, LLM prompt cache</t>
        </is>
      </c>
      <c r="I41" s="37" t="inlineStr">
        <is>
          <t>Database buffer managers, kernel page caches, multi-tenant AI caching</t>
        </is>
      </c>
      <c r="J41" s="7" t="n"/>
      <c r="K41" s="47">
        <f>COUNTIF(DayPlan!$E$2:$E$169,"*ARC*")</f>
        <v/>
      </c>
      <c r="L41" s="48">
        <f>IF(MAXIFS(ProblemDB!$F$2:$F$750,ProblemDB!$D$2:$D$750,"*ARC*")&gt;0,MAXIFS(ProblemDB!$F$2:$F$750,ProblemDB!$D$2:$D$750,"*ARC*"),"-")</f>
        <v/>
      </c>
    </row>
    <row r="42" ht="44" customHeight="1">
      <c r="A42" s="37" t="inlineStr">
        <is>
          <t>Lock-free ring buffer</t>
        </is>
      </c>
      <c r="B42" s="37" t="inlineStr">
        <is>
          <t>high-speed inter-thread message passing; zero lock contention; producer-consumer</t>
        </is>
      </c>
      <c r="C42" s="37" t="inlineStr">
        <is>
          <t>single producer single consumer (SPSC) or MPMC; power-of-two size</t>
        </is>
      </c>
      <c r="D42" s="37" t="inlineStr">
        <is>
          <t>Head and tail indices advancing monotonically; masking with (size - 1); cache line padding (64 bytes)</t>
        </is>
      </c>
      <c r="E42" s="37" t="inlineStr">
        <is>
          <t>atomic size_t head, tail; contiguous array buffer</t>
        </is>
      </c>
      <c r="F42" s="37" t="inlineStr">
        <is>
          <t>False sharing between head and tail; missing memory barriers (acquire/release); ABA problem in MPMC</t>
        </is>
      </c>
      <c r="G42" s="37" t="inlineStr">
        <is>
          <t>O(1) wait-free SPSC / lock-free MPMC</t>
        </is>
      </c>
      <c r="H42" s="37" t="inlineStr">
        <is>
          <t>Circular queue, circular deque, bounded blocking queue</t>
        </is>
      </c>
      <c r="I42" s="37" t="inlineStr">
        <is>
          <t>LMAX Disruptor, GPU command rings, high-throughput network packet ingestion</t>
        </is>
      </c>
      <c r="J42" s="7" t="n"/>
      <c r="K42" s="47">
        <f>COUNTIF(DayPlan!$E$2:$E$169,"*Lock-free*")</f>
        <v/>
      </c>
      <c r="L42" s="48">
        <f>IF(MAXIFS(ProblemDB!$F$2:$F$750,ProblemDB!$D$2:$D$750,"*Lock-free*")&gt;0,MAXIFS(ProblemDB!$F$2:$F$750,ProblemDB!$D$2:$D$750,"*Lock-free*"),"-")</f>
        <v/>
      </c>
    </row>
    <row r="43" ht="44" customHeight="1">
      <c r="A43" s="37" t="inlineStr">
        <is>
          <t>HNSW graph search</t>
        </is>
      </c>
      <c r="B43" s="37" t="inlineStr">
        <is>
          <t>approximate nearest neighbor (ANN), vector similarity, high dimensionality (d=128 to 1536)</t>
        </is>
      </c>
      <c r="C43" s="37" t="inlineStr">
        <is>
          <t>dataset N up to 10^8 vectors, query latency &lt; 5ms</t>
        </is>
      </c>
      <c r="D43" s="37" t="inlineStr">
        <is>
          <t>Multi-layer proximity graph (skip-list concept); greedy routing on coarse upper layers, beam search on layer 0</t>
        </is>
      </c>
      <c r="E43" s="37" t="inlineStr">
        <is>
          <t>layered adjacency list, candidate priority queue, visited set</t>
        </is>
      </c>
      <c r="F43" s="37" t="inlineStr">
        <is>
          <t>Local minima traps with too small efSearch; cyclic graph infinite loops without visited filter</t>
        </is>
      </c>
      <c r="G43" s="37" t="inlineStr">
        <is>
          <t>O(log N) average query time</t>
        </is>
      </c>
      <c r="H43" s="37" t="inlineStr">
        <is>
          <t>Vector embeddings, multimodal search, semantic retrieval</t>
        </is>
      </c>
      <c r="I43" s="37" t="inlineStr">
        <is>
          <t>Vector databases (Milvus, Pinecone, Qdrant, FAISS), RAG pipelines</t>
        </is>
      </c>
      <c r="J43" s="7" t="n"/>
      <c r="K43" s="47">
        <f>COUNTIF(DayPlan!$E$2:$E$169,"*HNSW*")</f>
        <v/>
      </c>
      <c r="L43" s="48">
        <f>IF(MAXIFS(ProblemDB!$F$2:$F$750,ProblemDB!$D$2:$D$750,"*HNSW*")&gt;0,MAXIFS(ProblemDB!$F$2:$F$750,ProblemDB!$D$2:$D$750,"*HNSW*"),"-")</f>
        <v/>
      </c>
    </row>
  </sheetData>
  <autoFilter ref="A1:L43"/>
  <conditionalFormatting sqref="J2:J43">
    <cfRule type="colorScale" priority="1">
      <colorScale>
        <cfvo type="num" val="1"/>
        <cfvo type="num" val="3"/>
        <cfvo type="num" val="5"/>
        <color rgb="00DC2626"/>
        <color rgb="00CA8A04"/>
        <color rgb="0016A34A"/>
      </colorScale>
    </cfRule>
  </conditionalFormatting>
  <dataValidations count="1">
    <dataValidation sqref="J2:J43" showDropDown="0" showInputMessage="0" showErrorMessage="0" allowBlank="1" promptTitle="Mastery 1-5"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40" customWidth="1" min="3" max="3"/>
    <col width="42" customWidth="1" min="4" max="4"/>
    <col width="28" customWidth="1" min="5" max="5"/>
    <col width="40" customWidth="1" min="6" max="6"/>
    <col width="26" customWidth="1" min="7" max="7"/>
    <col width="44" customWidth="1" min="8" max="8"/>
    <col width="40" customWidth="1" min="9" max="9"/>
    <col width="34" customWidth="1" min="10" max="10"/>
    <col width="12" customWidth="1" min="11" max="11"/>
    <col width="12" customWidth="1" min="12" max="12"/>
  </cols>
  <sheetData>
    <row r="1" ht="28" customHeight="1">
      <c r="A1" s="34" t="inlineStr">
        <is>
          <t>Anchor Problem</t>
        </is>
      </c>
      <c r="B1" s="34" t="inlineStr">
        <is>
          <t>Pattern</t>
        </is>
      </c>
      <c r="C1" s="34" t="inlineStr">
        <is>
          <t>Trigger [pre-filled]</t>
        </is>
      </c>
      <c r="D1" s="34" t="inlineStr">
        <is>
          <t>Core Insight [YOU fill from memory]</t>
        </is>
      </c>
      <c r="E1" s="34" t="inlineStr">
        <is>
          <t>Data Structure + why [pre-filled]</t>
        </is>
      </c>
      <c r="F1" s="34" t="inlineStr">
        <is>
          <t>Invariant [YOU fill from memory]</t>
        </is>
      </c>
      <c r="G1" s="34" t="inlineStr">
        <is>
          <t>Complexity + argument [pre-filled]</t>
        </is>
      </c>
      <c r="H1" s="34" t="inlineStr">
        <is>
          <t>Failure Mode of average candidate</t>
        </is>
      </c>
      <c r="I1" s="34" t="inlineStr">
        <is>
          <t>Interviewer Variations</t>
        </is>
      </c>
      <c r="J1" s="34" t="inlineStr">
        <is>
          <t>Recognition Cue (next time)</t>
        </is>
      </c>
      <c r="K1" s="34" t="inlineStr">
        <is>
          <t>Last reconstructed</t>
        </is>
      </c>
      <c r="L1" s="34" t="inlineStr">
        <is>
          <t>Reconstruction score (1-5)</t>
        </is>
      </c>
    </row>
    <row r="2" ht="52" customHeight="1">
      <c r="A2" s="37" t="inlineStr">
        <is>
          <t>LC 560 Subarray Sum Equals K</t>
        </is>
      </c>
      <c r="B2" s="37" t="inlineStr">
        <is>
          <t>Prefix + hash</t>
        </is>
      </c>
      <c r="C2" s="37" t="inlineStr">
        <is>
          <t>'count subarrays with sum = k' + negatives present  -&gt;  window fails</t>
        </is>
      </c>
      <c r="D2" s="37" t="n"/>
      <c r="E2" s="37" t="inlineStr">
        <is>
          <t>hash map prefix -&gt; count; store what you've seen; look up (prefix - k)</t>
        </is>
      </c>
      <c r="F2" s="37" t="n"/>
      <c r="G2" s="37" t="inlineStr">
        <is>
          <t>O(n) time O(n) space: one pass, O(1) map ops</t>
        </is>
      </c>
      <c r="H2" s="37" t="inlineStr">
        <is>
          <t>F11: tries sliding window; fails because negatives break monotonicity</t>
        </is>
      </c>
      <c r="I2" s="37" t="inlineStr">
        <is>
          <t>Return the longest such subarray; 2D version; sum divisible by k</t>
        </is>
      </c>
      <c r="J2" s="37" t="inlineStr">
        <is>
          <t>Contiguous + sum + negatives = prefix hash, not window</t>
        </is>
      </c>
      <c r="K2" s="49" t="n"/>
      <c r="L2" s="35" t="n"/>
    </row>
    <row r="3" ht="52" customHeight="1">
      <c r="A3" s="37" t="inlineStr">
        <is>
          <t>LC 76 Minimum Window Substring</t>
        </is>
      </c>
      <c r="B3" s="37" t="inlineStr">
        <is>
          <t>Sliding window + counting</t>
        </is>
      </c>
      <c r="C3" s="37" t="inlineStr">
        <is>
          <t>'minimum window containing all characters of t'</t>
        </is>
      </c>
      <c r="D3" s="37" t="n"/>
      <c r="E3" s="37" t="inlineStr">
        <is>
          <t>need/have counters + two pointers; expand right, shrink left when have==need</t>
        </is>
      </c>
      <c r="F3" s="37" t="n"/>
      <c r="G3" s="37" t="inlineStr">
        <is>
          <t>O(n+m): amortized pointer movement</t>
        </is>
      </c>
      <c r="H3" s="37" t="inlineStr">
        <is>
          <t>F6: recomputes the whole counter check each step  -&gt;  O(n^2)</t>
        </is>
      </c>
      <c r="I3" s="37" t="inlineStr">
        <is>
          <t>Multiple pattern strings; window over a stream; minimum window subsequence</t>
        </is>
      </c>
      <c r="J3" s="37" t="inlineStr">
        <is>
          <t>Shortest valid window = expand right first, shrink left aggressively</t>
        </is>
      </c>
      <c r="K3" s="49" t="n"/>
      <c r="L3" s="35" t="n"/>
    </row>
    <row r="4" ht="52" customHeight="1">
      <c r="A4" s="37" t="inlineStr">
        <is>
          <t>LC 875 Koko Eating Bananas</t>
        </is>
      </c>
      <c r="B4" s="37" t="inlineStr">
        <is>
          <t>Binary search on answer</t>
        </is>
      </c>
      <c r="C4" s="37" t="inlineStr">
        <is>
          <t>'minimum speed such that all piles eaten within h hours'</t>
        </is>
      </c>
      <c r="D4" s="37" t="n"/>
      <c r="E4" s="37" t="inlineStr">
        <is>
          <t>feasible(speed) = all(ceil(p/speed) for p in piles) &lt;= h; monotone decreasing as speed grows</t>
        </is>
      </c>
      <c r="F4" s="37" t="n"/>
      <c r="G4" s="37" t="inlineStr">
        <is>
          <t>O(n log(max_pile)): predicate is O(n)</t>
        </is>
      </c>
      <c r="H4" s="37" t="inlineStr">
        <is>
          <t>F3: tries greedy or average; doesn't see the monotone predicate</t>
        </is>
      </c>
      <c r="I4" s="37" t="inlineStr">
        <is>
          <t>Non-integer speeds; per-pile costs; maximize instead of minimize</t>
        </is>
      </c>
      <c r="J4" s="37" t="inlineStr">
        <is>
          <t>'minimum X such that condition holds' = BS on answer</t>
        </is>
      </c>
      <c r="K4" s="49" t="n"/>
      <c r="L4" s="35" t="n"/>
    </row>
    <row r="5" ht="52" customHeight="1">
      <c r="A5" s="37" t="inlineStr">
        <is>
          <t>LC 84 Largest Rectangle in Histogram</t>
        </is>
      </c>
      <c r="B5" s="37" t="inlineStr">
        <is>
          <t>Monotonic stack</t>
        </is>
      </c>
      <c r="C5" s="37" t="inlineStr">
        <is>
          <t>'largest rectangle area under bars'</t>
        </is>
      </c>
      <c r="D5" s="37" t="n"/>
      <c r="E5" s="37" t="inlineStr">
        <is>
          <t>maintain increasing-height stack of indices; on each pop, compute the rectangle using right-left-1</t>
        </is>
      </c>
      <c r="F5" s="37" t="n"/>
      <c r="G5" s="37" t="inlineStr">
        <is>
          <t>O(n) amortized: each index pushed and popped exactly once</t>
        </is>
      </c>
      <c r="H5" s="37" t="inlineStr">
        <is>
          <t>F6: nested loops O(n^2); mishandles equal heights or the end-of-array flush</t>
        </is>
      </c>
      <c r="I5" s="37" t="inlineStr">
        <is>
          <t>Maximal rectangle in binary matrix; 3D variant; sum of subarray minimums</t>
        </is>
      </c>
      <c r="J5" s="37" t="inlineStr">
        <is>
          <t>Need previous-smaller and next-smaller boundaries simultaneously = monotonic stack</t>
        </is>
      </c>
      <c r="K5" s="49" t="n"/>
      <c r="L5" s="35" t="n"/>
    </row>
    <row r="6" ht="52" customHeight="1">
      <c r="A6" s="37" t="inlineStr">
        <is>
          <t>LC 295 Find Median from Data Stream</t>
        </is>
      </c>
      <c r="B6" s="37" t="inlineStr">
        <is>
          <t>Two heaps (streaming)</t>
        </is>
      </c>
      <c r="C6" s="37" t="inlineStr">
        <is>
          <t>'median of a stream' + online insertion</t>
        </is>
      </c>
      <c r="D6" s="37" t="n"/>
      <c r="E6" s="37" t="inlineStr">
        <is>
          <t>max-heap for lower half + min-heap for upper half; rebalance so sizes differ by at most 1</t>
        </is>
      </c>
      <c r="F6" s="37" t="n"/>
      <c r="G6" s="37" t="inlineStr">
        <is>
          <t>O(log n) insert, O(1) median query</t>
        </is>
      </c>
      <c r="H6" s="37" t="inlineStr">
        <is>
          <t>F3: re-sorts on every query; O(n log n) per call</t>
        </is>
      </c>
      <c r="I6" s="37" t="inlineStr">
        <is>
          <t>Sliding-window median; arbitrary percentile; distributed streaming quantiles</t>
        </is>
      </c>
      <c r="J6" s="37" t="inlineStr">
        <is>
          <t>Online order statistic = two heaps or segment tree + BIT</t>
        </is>
      </c>
      <c r="K6" s="49" t="n"/>
      <c r="L6" s="35" t="n"/>
    </row>
    <row r="7" ht="52" customHeight="1">
      <c r="A7" s="37" t="inlineStr">
        <is>
          <t>LC 146 LRU Cache</t>
        </is>
      </c>
      <c r="B7" s="37" t="inlineStr">
        <is>
          <t>Design composition</t>
        </is>
      </c>
      <c r="C7" s="37" t="inlineStr">
        <is>
          <t>'O(1) get and put with LRU eviction'</t>
        </is>
      </c>
      <c r="D7" s="37" t="n"/>
      <c r="E7" s="37" t="inlineStr">
        <is>
          <t>hash map for O(1) lookup + doubly linked list for O(1) move-to-front and O(1) eviction from tail</t>
        </is>
      </c>
      <c r="F7" s="37" t="n"/>
      <c r="G7" s="37" t="inlineStr">
        <is>
          <t>O(1) per operation</t>
        </is>
      </c>
      <c r="H7" s="37" t="inlineStr">
        <is>
          <t>F4: uses array/list  -&gt;  O(n) moves; or forgets to update the map on eviction</t>
        </is>
      </c>
      <c r="I7" s="37" t="inlineStr">
        <is>
          <t>TTL eviction; thread-safe LRU; LFU; write-through/write-back</t>
        </is>
      </c>
      <c r="J7" s="37" t="inlineStr">
        <is>
          <t>O(1) ordered access = hash map + doubly linked list</t>
        </is>
      </c>
      <c r="K7" s="49" t="n"/>
      <c r="L7" s="35" t="n"/>
    </row>
    <row r="8" ht="52" customHeight="1">
      <c r="A8" s="37" t="inlineStr">
        <is>
          <t>LC 460 LFU Cache</t>
        </is>
      </c>
      <c r="B8" s="37" t="inlineStr">
        <is>
          <t>Design composition</t>
        </is>
      </c>
      <c r="C8" s="37" t="inlineStr">
        <is>
          <t>'O(1) get and put with LFU eviction'</t>
        </is>
      </c>
      <c r="D8" s="37" t="n"/>
      <c r="E8" s="37" t="inlineStr">
        <is>
          <t>freq -&gt; OrderedDict bucket map + key -&gt; (val,freq) map + minFreq pointer</t>
        </is>
      </c>
      <c r="F8" s="37" t="n"/>
      <c r="G8" s="37" t="inlineStr">
        <is>
          <t>O(1) per operation</t>
        </is>
      </c>
      <c r="H8" s="37" t="inlineStr">
        <is>
          <t>F3: scans for min frequency O(n); loses the minFreq invariant on edge cases</t>
        </is>
      </c>
      <c r="I8" s="37" t="inlineStr">
        <is>
          <t>Aging/decay of counts; window LFU; hybrid ARC policy</t>
        </is>
      </c>
      <c r="J8" s="37" t="inlineStr">
        <is>
          <t>Frequency-ordered eviction = bucketed frequency lists with a minFreq pointer</t>
        </is>
      </c>
      <c r="K8" s="49" t="n"/>
      <c r="L8" s="35" t="n"/>
    </row>
    <row r="9" ht="52" customHeight="1">
      <c r="A9" s="37" t="inlineStr">
        <is>
          <t>LC 124 Binary Tree Maximum Path Sum</t>
        </is>
      </c>
      <c r="B9" s="37" t="inlineStr">
        <is>
          <t>Tree DP post-order</t>
        </is>
      </c>
      <c r="C9" s="37" t="inlineStr">
        <is>
          <t>'maximum path sum' where path can bend at any node</t>
        </is>
      </c>
      <c r="D9" s="37" t="n"/>
      <c r="E9" s="37" t="inlineStr">
        <is>
          <t>at each node, return max(0, node.val + best_downward) for parent; update global answer with left+node+right</t>
        </is>
      </c>
      <c r="F9" s="37" t="n"/>
      <c r="G9" s="37" t="inlineStr">
        <is>
          <t>O(n): one visit per node</t>
        </is>
      </c>
      <c r="H9" s="37" t="inlineStr">
        <is>
          <t>F3: returns the bent path upward; forgets to clamp negative downward gains to 0</t>
        </is>
      </c>
      <c r="I9" s="37" t="inlineStr">
        <is>
          <t>Path with at most k turns; count of maximum paths; k-ary tree variant</t>
        </is>
      </c>
      <c r="J9" s="37" t="inlineStr">
        <is>
          <t>Global answer updated at node != value returned to parent</t>
        </is>
      </c>
      <c r="K9" s="49" t="n"/>
      <c r="L9" s="35" t="n"/>
    </row>
    <row r="10" ht="52" customHeight="1">
      <c r="A10" s="37" t="inlineStr">
        <is>
          <t>LC 297 Serialize/Deserialize Tree</t>
        </is>
      </c>
      <c r="B10" s="37" t="inlineStr">
        <is>
          <t>Encoding design</t>
        </is>
      </c>
      <c r="C10" s="37" t="inlineStr">
        <is>
          <t>'serialize a tree to a string and deserialize it back'</t>
        </is>
      </c>
      <c r="D10" s="37" t="n"/>
      <c r="E10" s="37" t="inlineStr">
        <is>
          <t>preorder traversal + null markers; use a queue/index cursor during deserialization</t>
        </is>
      </c>
      <c r="F10" s="37" t="n"/>
      <c r="G10" s="37" t="inlineStr">
        <is>
          <t>O(n) both directions</t>
        </is>
      </c>
      <c r="H10" s="37" t="inlineStr">
        <is>
          <t>F1: improvises the format; cannot parse back an ambiguous encoding</t>
        </is>
      </c>
      <c r="I10" s="37" t="inlineStr">
        <is>
          <t>N-ary tree; BST-optimized encoding (no nulls needed); compact binary format</t>
        </is>
      </c>
      <c r="J10" s="37" t="inlineStr">
        <is>
          <t>Define the grammar BEFORE writing code  -&gt;  guaranteed decodability</t>
        </is>
      </c>
      <c r="K10" s="49" t="n"/>
      <c r="L10" s="35" t="n"/>
    </row>
    <row r="11" ht="52" customHeight="1">
      <c r="A11" s="37" t="inlineStr">
        <is>
          <t>LC 207 Course Schedule (topological sort)</t>
        </is>
      </c>
      <c r="B11" s="37" t="inlineStr">
        <is>
          <t>Topological sort</t>
        </is>
      </c>
      <c r="C11" s="37" t="inlineStr">
        <is>
          <t>'prerequisites exist','valid ordering required','detect cycle in directed graph'</t>
        </is>
      </c>
      <c r="D11" s="37" t="n"/>
      <c r="E11" s="37" t="inlineStr">
        <is>
          <t>Kahn: maintain in-degree array + queue; emit when in-degree reaches 0; cycle if emitted &lt; n</t>
        </is>
      </c>
      <c r="F11" s="37" t="n"/>
      <c r="G11" s="37" t="inlineStr">
        <is>
          <t>O(V+E)</t>
        </is>
      </c>
      <c r="H11" s="37" t="inlineStr">
        <is>
          <t>F6: cannot detect cycles; assumes unique ordering</t>
        </is>
      </c>
      <c r="I11" s="37" t="inlineStr">
        <is>
          <t>Lexicographically smallest order; parallel scheduling with k workers; critical path</t>
        </is>
      </c>
      <c r="J11" s="37" t="inlineStr">
        <is>
          <t>'ordering with dependencies' = topological sort (Kahn or DFS-colours)</t>
        </is>
      </c>
      <c r="K11" s="49" t="n"/>
      <c r="L11" s="35" t="n"/>
    </row>
    <row r="12" ht="52" customHeight="1">
      <c r="A12" s="37" t="inlineStr">
        <is>
          <t>LC 743 Network Delay Time</t>
        </is>
      </c>
      <c r="B12" s="37" t="inlineStr">
        <is>
          <t>Dijkstra</t>
        </is>
      </c>
      <c r="C12" s="37" t="inlineStr">
        <is>
          <t>'minimum time for signal to reach all nodes' + non-negative weights</t>
        </is>
      </c>
      <c r="D12" s="37" t="n"/>
      <c r="E12" s="37" t="inlineStr">
        <is>
          <t>standard Dijkstra; answer = max of all shortest distances; -1 if any node unreachable</t>
        </is>
      </c>
      <c r="F12" s="37" t="n"/>
      <c r="G12" s="37" t="inlineStr">
        <is>
          <t>O(E log V)</t>
        </is>
      </c>
      <c r="H12" s="37" t="inlineStr">
        <is>
          <t>F3: uses plain BFS on weighted edges; or forgets to skip stale heap entries</t>
        </is>
      </c>
      <c r="I12" s="37" t="inlineStr">
        <is>
          <t>Negative weights (use Bellman-Ford); k-hop limit (add hop dimension); multi-source</t>
        </is>
      </c>
      <c r="J12" s="37" t="inlineStr">
        <is>
          <t>Weighted min cost + non-negative weights = Dijkstra</t>
        </is>
      </c>
      <c r="K12" s="49" t="n"/>
      <c r="L12" s="35" t="n"/>
    </row>
    <row r="13" ht="52" customHeight="1">
      <c r="A13" s="37" t="inlineStr">
        <is>
          <t>LC 787 Cheapest Flights Within K Stops</t>
        </is>
      </c>
      <c r="B13" s="37" t="inlineStr">
        <is>
          <t>Layered DP / Bellman-Ford</t>
        </is>
      </c>
      <c r="C13" s="37" t="inlineStr">
        <is>
          <t>'cheapest path with at most k stops' = extra constraint on path length</t>
        </is>
      </c>
      <c r="D13" s="37" t="n"/>
      <c r="E13" s="37" t="inlineStr">
        <is>
          <t>dp[t][v] = min cost to reach v using at most t hops; iterate t from 1 to k+1</t>
        </is>
      </c>
      <c r="F13" s="37" t="n"/>
      <c r="G13" s="37" t="inlineStr">
        <is>
          <t>O(k | E): k+1 rounds of edge relaxation</t>
        </is>
      </c>
      <c r="H13" s="37" t="inlineStr">
        <is>
          <t>F3: runs plain Dijkstra and ignores the stop constraint; or modifies dist in-place breaking the layer</t>
        </is>
      </c>
      <c r="I13" s="37" t="inlineStr">
        <is>
          <t>Exactly k stops; time windows; multiple path constraints</t>
        </is>
      </c>
      <c r="J13" s="37" t="inlineStr">
        <is>
          <t>Extra constraint on a path = add a state dimension (hops, resources, keys)</t>
        </is>
      </c>
      <c r="K13" s="49" t="n"/>
      <c r="L13" s="35" t="n"/>
    </row>
    <row r="14" ht="52" customHeight="1">
      <c r="A14" s="37" t="inlineStr">
        <is>
          <t>LC 1293 Shortest Path Grid with Obstacles</t>
        </is>
      </c>
      <c r="B14" s="37" t="inlineStr">
        <is>
          <t>State-space BFS</t>
        </is>
      </c>
      <c r="C14" s="37" t="inlineStr">
        <is>
          <t>'minimum steps' + 'budget of k removals'</t>
        </is>
      </c>
      <c r="D14" s="37" t="n"/>
      <c r="E14" s="37" t="inlineStr">
        <is>
          <t>BFS over state = (row, col, remaining_removals); visited is a 3D array</t>
        </is>
      </c>
      <c r="F14" s="37" t="n"/>
      <c r="G14" s="37" t="inlineStr">
        <is>
          <t>O(rows | cols | k)</t>
        </is>
      </c>
      <c r="H14" s="37" t="inlineStr">
        <is>
          <t>F3: keys visited on (r,c) only  -&gt;  finds a path but not necessarily the minimum (wrong answer silently)</t>
        </is>
      </c>
      <c r="I14" s="37" t="inlineStr">
        <is>
          <t>Multiple resource budgets; weighted removals  -&gt;  Dijkstra over states</t>
        </is>
      </c>
      <c r="J14" s="37" t="inlineStr">
        <is>
          <t>Budget/resource in problem = extra state dimension  -&gt;  state-space search</t>
        </is>
      </c>
      <c r="K14" s="49" t="n"/>
      <c r="L14" s="35" t="n"/>
    </row>
    <row r="15" ht="52" customHeight="1">
      <c r="A15" s="37" t="inlineStr">
        <is>
          <t>LC 51 N-Queens</t>
        </is>
      </c>
      <c r="B15" s="37" t="inlineStr">
        <is>
          <t>Backtracking + pruning</t>
        </is>
      </c>
      <c r="C15" s="37" t="inlineStr">
        <is>
          <t>'place n non-attacking queens on n*n board'</t>
        </is>
      </c>
      <c r="D15" s="37" t="n"/>
      <c r="E15" s="37" t="inlineStr">
        <is>
          <t>recurse row by row; track occupied cols, main diags, anti-diags with bitmasks for O(1) conflict check</t>
        </is>
      </c>
      <c r="F15" s="37" t="n"/>
      <c r="G15" s="37" t="inlineStr">
        <is>
          <t>O(n!) with heavy pruning</t>
        </is>
      </c>
      <c r="H15" s="37" t="inlineStr">
        <is>
          <t>F6: no incremental conflict tracking; rescans the board each step</t>
        </is>
      </c>
      <c r="I15" s="37" t="inlineStr">
        <is>
          <t>Count only; n&lt;=15 with bitmask DP; other piece types; hexagonal boards</t>
        </is>
      </c>
      <c r="J15" s="37" t="inlineStr">
        <is>
          <t>Constraint placement = backtracking with O(1) conflict checks via bitmasks</t>
        </is>
      </c>
      <c r="K15" s="49" t="n"/>
      <c r="L15" s="35" t="n"/>
    </row>
    <row r="16" ht="52" customHeight="1">
      <c r="A16" s="37" t="inlineStr">
        <is>
          <t>LC 300 Longest Increasing Subsequence</t>
        </is>
      </c>
      <c r="B16" s="37" t="inlineStr">
        <is>
          <t>DP + binary search</t>
        </is>
      </c>
      <c r="C16" s="37" t="inlineStr">
        <is>
          <t>'longest strictly increasing subsequence'</t>
        </is>
      </c>
      <c r="D16" s="37" t="n"/>
      <c r="E16" s="37" t="inlineStr">
        <is>
          <t>tails[i] = smallest tail of all LIS of length i+1; binary search to find insertion point</t>
        </is>
      </c>
      <c r="F16" s="37" t="n"/>
      <c r="G16" s="37" t="inlineStr">
        <is>
          <t>O(n log n); naive DP is O(n^2)</t>
        </is>
      </c>
      <c r="H16" s="37" t="inlineStr">
        <is>
          <t>F3: confuses tails with an actual subsequence; or uses wrong bound (lower vs upper)</t>
        </is>
      </c>
      <c r="I16" s="37" t="inlineStr">
        <is>
          <t>Count of LIS; 2D (envelopes); non-strict version; print one LIS</t>
        </is>
      </c>
      <c r="J16" s="37" t="inlineStr">
        <is>
          <t>Subsequence + order constraint = DP; optimize with patience sorting (tails + binary search)</t>
        </is>
      </c>
      <c r="K16" s="49" t="n"/>
      <c r="L16" s="35" t="n"/>
    </row>
    <row r="17" ht="52" customHeight="1">
      <c r="A17" s="37" t="inlineStr">
        <is>
          <t>LC 312 Burst Balloons</t>
        </is>
      </c>
      <c r="B17" s="37" t="inlineStr">
        <is>
          <t>Interval DP</t>
        </is>
      </c>
      <c r="C17" s="37" t="inlineStr">
        <is>
          <t>'optimal order of removals from a range', 'multiply with neighbors'</t>
        </is>
      </c>
      <c r="D17" s="37" t="n"/>
      <c r="E17" s="37" t="inlineStr">
        <is>
          <t>dp[l][r] = max coins when all balloons in (l,r) are burst; try each k as the LAST to burst in range</t>
        </is>
      </c>
      <c r="F17" s="37" t="n"/>
      <c r="G17" s="37" t="inlineStr">
        <is>
          <t>O(n^3)</t>
        </is>
      </c>
      <c r="H17" s="37" t="inlineStr">
        <is>
          <t>F3: picks the FIRST burst  -&gt;  subproblems overlap; the key is reversing to think about the last operation</t>
        </is>
      </c>
      <c r="I17" s="37" t="inlineStr">
        <is>
          <t>Merge stones; matrix chain; k-way merges; removing elements with range penalties</t>
        </is>
      </c>
      <c r="J17" s="37" t="inlineStr">
        <is>
          <t>Order-of-operations optimum = interval DP with 'last operation' framing</t>
        </is>
      </c>
      <c r="K17" s="49" t="n"/>
      <c r="L17" s="35" t="n"/>
    </row>
    <row r="18" ht="52" customHeight="1">
      <c r="A18" s="37" t="inlineStr">
        <is>
          <t>LC 847 Shortest Path Visiting All Nodes</t>
        </is>
      </c>
      <c r="B18" s="37" t="inlineStr">
        <is>
          <t>Bitmask BFS</t>
        </is>
      </c>
      <c r="C18" s="37" t="inlineStr">
        <is>
          <t>'shortest path visiting all n nodes', n&lt;=12</t>
        </is>
      </c>
      <c r="D18" s="37" t="n"/>
      <c r="E18" s="37" t="inlineStr">
        <is>
          <t>BFS over state = (node, visited_mask); seed with all (node, 1&lt;&lt;node) states at distance 0</t>
        </is>
      </c>
      <c r="F18" s="37" t="n"/>
      <c r="G18" s="37" t="inlineStr">
        <is>
          <t>O(2^n | n^2)</t>
        </is>
      </c>
      <c r="H18" s="37" t="inlineStr">
        <is>
          <t>F2: misses the n&lt;=12 constraint; tries shortest path ignoring the 'visit all' constraint</t>
        </is>
      </c>
      <c r="I18" s="37" t="inlineStr">
        <is>
          <t>Weighted edges (Dijkstra over states); must return to start; k-of-n visits</t>
        </is>
      </c>
      <c r="J18" s="37" t="inlineStr">
        <is>
          <t>Tiny n + 'visit all' = bitmask state space</t>
        </is>
      </c>
      <c r="K18" s="49" t="n"/>
      <c r="L18" s="35" t="n"/>
    </row>
    <row r="19" ht="52" customHeight="1">
      <c r="A19" s="37" t="inlineStr">
        <is>
          <t>LC 1425 Constrained Subsequence Sum</t>
        </is>
      </c>
      <c r="B19" s="37" t="inlineStr">
        <is>
          <t>DP + monotonic deque</t>
        </is>
      </c>
      <c r="C19" s="37" t="inlineStr">
        <is>
          <t>'maximum subsequence sum where index gap &lt;= k'</t>
        </is>
      </c>
      <c r="D19" s="37" t="n"/>
      <c r="E19" s="37" t="inlineStr">
        <is>
          <t>dp[i] = max(nums[i], max(dp[j] for j in [i-k, i-1]) + nums[i]); optimize with a deque max</t>
        </is>
      </c>
      <c r="F19" s="37" t="n"/>
      <c r="G19" s="37" t="inlineStr">
        <is>
          <t>O(n) after optimizing from O(nk)</t>
        </is>
      </c>
      <c r="H19" s="37" t="inlineStr">
        <is>
          <t>F5: writes O(nk) and times out; or optimizes before verifying correctness of the recurrence</t>
        </is>
      </c>
      <c r="I19" s="37" t="inlineStr">
        <is>
          <t>Two-sided constraints; weighted gaps; streaming variant with a sliding window</t>
        </is>
      </c>
      <c r="J19" s="37" t="inlineStr">
        <is>
          <t>Sliding-window maximum hidden inside a DP transition = monotonic deque</t>
        </is>
      </c>
      <c r="K19" s="49" t="n"/>
      <c r="L19" s="35" t="n"/>
    </row>
    <row r="20" ht="52" customHeight="1">
      <c r="A20" s="37" t="inlineStr">
        <is>
          <t>LC 380 Insert Delete GetRandom O(1)</t>
        </is>
      </c>
      <c r="B20" s="37" t="inlineStr">
        <is>
          <t>Design composition</t>
        </is>
      </c>
      <c r="C20" s="37" t="inlineStr">
        <is>
          <t>'O(1) insert, delete, and uniform random element'</t>
        </is>
      </c>
      <c r="D20" s="37" t="n"/>
      <c r="E20" s="37" t="inlineStr">
        <is>
          <t>array for O(1) random access + hash map (val -&gt; index) for O(1) lookup; delete by swap-with-last</t>
        </is>
      </c>
      <c r="F20" s="37" t="n"/>
      <c r="G20" s="37" t="inlineStr">
        <is>
          <t>O(1) per operation amortized</t>
        </is>
      </c>
      <c r="H20" s="37" t="inlineStr">
        <is>
          <t>F4: uses a set  -&gt;  cannot do O(1) uniform random sample</t>
        </is>
      </c>
      <c r="I20" s="37" t="inlineStr">
        <is>
          <t>Duplicates allowed; weighted random; distributed sampling</t>
        </is>
      </c>
      <c r="J20" s="37" t="inlineStr">
        <is>
          <t>Uniform random + O(1) delete = array + index map (swap-with-last)</t>
        </is>
      </c>
      <c r="K20" s="49" t="n"/>
      <c r="L20" s="35" t="n"/>
    </row>
    <row r="21" ht="52" customHeight="1">
      <c r="A21" s="37" t="inlineStr">
        <is>
          <t>LC 410 Split Array Largest Sum</t>
        </is>
      </c>
      <c r="B21" s="37" t="inlineStr">
        <is>
          <t>BS on answer + DP (2-sol)</t>
        </is>
      </c>
      <c r="C21" s="37" t="inlineStr">
        <is>
          <t>'split array into m parts to minimize the largest part sum'</t>
        </is>
      </c>
      <c r="D21" s="37" t="n"/>
      <c r="E21" s="37" t="inlineStr">
        <is>
          <t>BS: feasible(mid) = can we split with each part &lt;= mid?  -  greedy O(n); DP: dp[k][i]=min largest for k parts in A[i:]</t>
        </is>
      </c>
      <c r="F21" s="37" t="n"/>
      <c r="G21" s="37" t="inlineStr">
        <is>
          <t>O(n log(sum)); DP: O(mn^2)</t>
        </is>
      </c>
      <c r="H21" s="37" t="inlineStr">
        <is>
          <t>F3: jumps to DP and times out; or writes a non-monotone predicate</t>
        </is>
      </c>
      <c r="I21" s="37" t="inlineStr">
        <is>
          <t>Return the actual split; k as a variable; weights; minimize sum of maximums</t>
        </is>
      </c>
      <c r="J21" s="37" t="inlineStr">
        <is>
          <t>'Minimize the maximum' = binary search on answer + greedy feasibility check</t>
        </is>
      </c>
      <c r="K21" s="49" t="n"/>
      <c r="L21" s="35" t="n"/>
    </row>
    <row r="22" ht="52" customHeight="1">
      <c r="A22" s="37" t="inlineStr">
        <is>
          <t>LC 307 Range Sum Query - Mutable</t>
        </is>
      </c>
      <c r="B22" s="37" t="inlineStr">
        <is>
          <t>Segment Tree / BIT</t>
        </is>
      </c>
      <c r="C22" s="37" t="inlineStr">
        <is>
          <t>'mutable array with dynamic range sum queries'</t>
        </is>
      </c>
      <c r="D22" s="37" t="n"/>
      <c r="E22" s="37" t="inlineStr">
        <is>
          <t>binary tree over array intervals OR lowest-set-bit tree (i &amp; -i); O(log n) update and query</t>
        </is>
      </c>
      <c r="F22" s="37" t="n"/>
      <c r="G22" s="37" t="inlineStr">
        <is>
          <t>O(log n) update, O(log n) query</t>
        </is>
      </c>
      <c r="H22" s="37" t="inlineStr">
        <is>
          <t>F6: writes O(n) scan on query or O(n) rebuild on update; TLE on frequent updates</t>
        </is>
      </c>
      <c r="I22" s="37" t="inlineStr">
        <is>
          <t>Range minimum/maximum query; lazy propagation for range updates; 2D Fenwick</t>
        </is>
      </c>
      <c r="J22" s="37" t="inlineStr">
        <is>
          <t>Mutable array + frequent range queries = Segment Tree or BIT</t>
        </is>
      </c>
      <c r="K22" s="49" t="n"/>
      <c r="L22" s="35" t="n"/>
    </row>
    <row r="23" ht="52" customHeight="1">
      <c r="A23" s="37" t="inlineStr">
        <is>
          <t>LC 1192 Critical Connections in a Network</t>
        </is>
      </c>
      <c r="B23" s="37" t="inlineStr">
        <is>
          <t>Tarjan's DFS</t>
        </is>
      </c>
      <c r="C23" s="37" t="inlineStr">
        <is>
          <t>'edges whose removal disconnects the graph (bridges)'</t>
        </is>
      </c>
      <c r="D23" s="37" t="n"/>
      <c r="E23" s="37" t="inlineStr">
        <is>
          <t>DFS tracking discovery time tin[u] and lowest reachable ancestor low[u]; bridge if low[v] &gt; tin[u]</t>
        </is>
      </c>
      <c r="F23" s="37" t="n"/>
      <c r="G23" s="37" t="inlineStr">
        <is>
          <t>O(V + E) time, O(V) space</t>
        </is>
      </c>
      <c r="H23" s="37" t="inlineStr">
        <is>
          <t>F3: removes each edge and runs BFS O(E * (V+E)) -&gt; TLE; forgets to skip parent edge in low calculation</t>
        </is>
      </c>
      <c r="I23" s="37" t="inlineStr">
        <is>
          <t>Articulation points (cut vertices); strongly connected components (condensation DAG)</t>
        </is>
      </c>
      <c r="J23" s="37" t="inlineStr">
        <is>
          <t>Single point of failure / bridge edge = Tarjan tin/low DFS</t>
        </is>
      </c>
      <c r="K23" s="49" t="n"/>
      <c r="L23" s="35" t="n"/>
    </row>
    <row r="24" ht="52" customHeight="1">
      <c r="A24" s="37" t="inlineStr">
        <is>
          <t>LC 332 Reconstruct Itinerary</t>
        </is>
      </c>
      <c r="B24" s="37" t="inlineStr">
        <is>
          <t>Eulerian Path</t>
        </is>
      </c>
      <c r="C24" s="37" t="inlineStr">
        <is>
          <t>'visit every directed edge exactly once in lexicographical order'</t>
        </is>
      </c>
      <c r="D24" s="37" t="n"/>
      <c r="E24" s="37" t="inlineStr">
        <is>
          <t>Hierholzer's algorithm: post-order DFS with sorted adjacency lists; prepend to path on return</t>
        </is>
      </c>
      <c r="F24" s="37" t="n"/>
      <c r="G24" s="37" t="inlineStr">
        <is>
          <t>O(E log E) due to sorting edges</t>
        </is>
      </c>
      <c r="H24" s="37" t="inlineStr">
        <is>
          <t>F6: greedy DFS gets stuck in dead ends without backtracking; does not reverse post-order traversal</t>
        </is>
      </c>
      <c r="I24" s="37" t="inlineStr">
        <is>
          <t>De Bruijn sequence; DNA fragment reconstruction; network packet trace</t>
        </is>
      </c>
      <c r="J24" s="37" t="inlineStr">
        <is>
          <t>Visit all edges exactly once = Hierholzer Eulerian traversal</t>
        </is>
      </c>
      <c r="K24" s="49" t="n"/>
      <c r="L24" s="35" t="n"/>
    </row>
    <row r="25" ht="52" customHeight="1">
      <c r="A25" s="37" t="inlineStr">
        <is>
          <t>LC 28 Find First Occurrence in String</t>
        </is>
      </c>
      <c r="B25" s="37" t="inlineStr">
        <is>
          <t>KMP pattern matching</t>
        </is>
      </c>
      <c r="C25" s="37" t="inlineStr">
        <is>
          <t>'find needle in haystack in linear time without backtracking'</t>
        </is>
      </c>
      <c r="D25" s="37" t="n"/>
      <c r="E25" s="37" t="inlineStr">
        <is>
          <t>precompute prefix function pi[i] (longest proper prefix also a suffix); transition state machine</t>
        </is>
      </c>
      <c r="F25" s="37" t="n"/>
      <c r="G25" s="37" t="inlineStr">
        <is>
          <t>O(N + M) time, O(M) space</t>
        </is>
      </c>
      <c r="H25" s="37" t="inlineStr">
        <is>
          <t>F6: resets haystack pointer on mismatch -&gt; O(N*M) worst case on repeating patterns</t>
        </is>
      </c>
      <c r="I25" s="37" t="inlineStr">
        <is>
          <t>Aho-Corasick multi-pattern search; shortest palindrome prefix; cyclic shift check</t>
        </is>
      </c>
      <c r="J25" s="37" t="inlineStr">
        <is>
          <t>Linear string matching without backtracking = KMP prefix function</t>
        </is>
      </c>
      <c r="K25" s="49" t="n"/>
      <c r="L25" s="35" t="n"/>
    </row>
    <row r="26" ht="52" customHeight="1">
      <c r="A26" s="37" t="inlineStr">
        <is>
          <t>Adaptive Replacement Cache (ARC)</t>
        </is>
      </c>
      <c r="B26" s="37" t="inlineStr">
        <is>
          <t>Self-tuning cache</t>
        </is>
      </c>
      <c r="C26" s="37" t="inlineStr">
        <is>
          <t>'cache workload with mixed sequential scans and recurring hot loops'</t>
        </is>
      </c>
      <c r="D26" s="37" t="n"/>
      <c r="E26" s="37" t="inlineStr">
        <is>
          <t>four lists (T1 recent, T2 frequent, B1 ghost recent, B2 ghost frequent); adapt target size p</t>
        </is>
      </c>
      <c r="F26" s="37" t="n"/>
      <c r="G26" s="37" t="inlineStr">
        <is>
          <t>O(1) per lookup, insertion, and eviction</t>
        </is>
      </c>
      <c r="H26" s="37" t="inlineStr">
        <is>
          <t>F4: uses standard LRU; single sequential scan flushes all frequent pages out of memory</t>
        </is>
      </c>
      <c r="I26" s="37" t="inlineStr">
        <is>
          <t>2Q cache; Clock-Pro page replacement; LRFU with exponential decay</t>
        </is>
      </c>
      <c r="J26" s="37" t="inlineStr">
        <is>
          <t>Scan-resistant self-tuning caching = ARC 4-list architecture</t>
        </is>
      </c>
      <c r="K26" s="49" t="n"/>
      <c r="L26" s="35" t="n"/>
    </row>
    <row r="27" ht="52" customHeight="1">
      <c r="A27" s="37" t="inlineStr">
        <is>
          <t>Lock-Free SPSC Ring Buffer</t>
        </is>
      </c>
      <c r="B27" s="37" t="inlineStr">
        <is>
          <t>Concurrency primitive</t>
        </is>
      </c>
      <c r="C27" s="37" t="inlineStr">
        <is>
          <t>'ultra-low latency producer-consumer message queue without mutexes'</t>
        </is>
      </c>
      <c r="D27" s="37" t="n"/>
      <c r="E27" s="37" t="inlineStr">
        <is>
          <t>head and tail indices with power-of-two mask; cache-line padding (64 bytes); acquire-release semantics</t>
        </is>
      </c>
      <c r="F27" s="37" t="n"/>
      <c r="G27" s="37" t="inlineStr">
        <is>
          <t>O(1) wait-free operations</t>
        </is>
      </c>
      <c r="H27" s="37" t="inlineStr">
        <is>
          <t>F10: places head and tail in the same cache line -&gt; massive false sharing penalty; uses slow modulo</t>
        </is>
      </c>
      <c r="I27" s="37" t="inlineStr">
        <is>
          <t>MPMC bounded queue; work-stealing deque; ring buffer stream compaction</t>
        </is>
      </c>
      <c r="J27" s="37" t="inlineStr">
        <is>
          <t>Wait-free single-producer single-consumer = padded lock-free ring buffer</t>
        </is>
      </c>
      <c r="K27" s="49" t="n"/>
      <c r="L27" s="35" t="n"/>
    </row>
    <row r="28" ht="52" customHeight="1">
      <c r="A28" s="37" t="inlineStr">
        <is>
          <t>Chase-Lev Work-Stealing Deque</t>
        </is>
      </c>
      <c r="B28" s="37" t="inlineStr">
        <is>
          <t>Work runtime scheduling</t>
        </is>
      </c>
      <c r="C28" s="37" t="inlineStr">
        <is>
          <t>'thread pool scheduler with private fast-path and concurrent stealing'</t>
        </is>
      </c>
      <c r="D28" s="37" t="n"/>
      <c r="E28" s="37" t="inlineStr">
        <is>
          <t>owner pushes and pops LIFO at bottom (no CAS needed); thief workers steal FIFO at top with atomic CAS</t>
        </is>
      </c>
      <c r="F28" s="37" t="n"/>
      <c r="G28" s="37" t="inlineStr">
        <is>
          <t>O(1) owner amortized, O(1) concurrent steal</t>
        </is>
      </c>
      <c r="H28" s="37" t="inlineStr">
        <is>
          <t>F6: synchronizes owner operations with global mutex; destroys parallel scalability</t>
        </is>
      </c>
      <c r="I28" s="37" t="inlineStr">
        <is>
          <t>Go runtime scheduler; Tokio async runtime; Ray distributed execution engine</t>
        </is>
      </c>
      <c r="J28" s="37" t="inlineStr">
        <is>
          <t>Task pool with fast owner + concurrent steal = Chase-Lev Deque</t>
        </is>
      </c>
      <c r="K28" s="49" t="n"/>
      <c r="L28" s="35" t="n"/>
    </row>
    <row r="29" ht="52" customHeight="1">
      <c r="A29" s="37" t="inlineStr">
        <is>
          <t>HNSW Vector Proximity Graph</t>
        </is>
      </c>
      <c r="B29" s="37" t="inlineStr">
        <is>
          <t>Vector search index</t>
        </is>
      </c>
      <c r="C29" s="37" t="inlineStr">
        <is>
          <t>'approximate nearest neighbor search on high-dimensional vectors in &lt;5ms'</t>
        </is>
      </c>
      <c r="D29" s="37" t="n"/>
      <c r="E29" s="37" t="inlineStr">
        <is>
          <t>hierarchical proximity graph; greedy search at top sparse layers; beam search on dense layer 0</t>
        </is>
      </c>
      <c r="F29" s="37" t="n"/>
      <c r="G29" s="37" t="inlineStr">
        <is>
          <t>O(log N) query time, O(N * M) space</t>
        </is>
      </c>
      <c r="H29" s="37" t="inlineStr">
        <is>
          <t>F3: uses KD-Tree for d=1536 -&gt; degrades to O(N) exhaustive scan due to curse of dimensionality</t>
        </is>
      </c>
      <c r="I29" s="37" t="inlineStr">
        <is>
          <t>IVF-PQ indexing; random projection trees (Annoy); ScaNN anisotropic vector quantization</t>
        </is>
      </c>
      <c r="J29" s="37" t="inlineStr">
        <is>
          <t>High-dimensional vector search = HNSW proximity graph navigation</t>
        </is>
      </c>
      <c r="K29" s="49" t="n"/>
      <c r="L29" s="35" t="n"/>
    </row>
    <row r="30" ht="52" customHeight="1">
      <c r="A30" s="37" t="inlineStr">
        <is>
          <t>LC 2050 Parallel Courses III</t>
        </is>
      </c>
      <c r="B30" s="37" t="inlineStr">
        <is>
          <t>Critical Path DAG</t>
        </is>
      </c>
      <c r="C30" s="37" t="inlineStr">
        <is>
          <t>'minimum time to complete all tasks with precedence constraints and task durations'</t>
        </is>
      </c>
      <c r="D30" s="37" t="n"/>
      <c r="E30" s="37" t="inlineStr">
        <is>
          <t>topological sort computing longest path on DAG: dist[v] = max(dist[u] + time[v])</t>
        </is>
      </c>
      <c r="F30" s="37" t="n"/>
      <c r="G30" s="37" t="inlineStr">
        <is>
          <t>O(V + E) time, O(V) space</t>
        </is>
      </c>
      <c r="H30" s="37" t="inlineStr">
        <is>
          <t>F3: tries Dijkstra with shortest path; critical path is LONGEST path in a DAG</t>
        </is>
      </c>
      <c r="I30" s="37" t="inlineStr">
        <is>
          <t>Memory-bounded operator scheduling; heterogeneous device placement; pipeline latency</t>
        </is>
      </c>
      <c r="J30" s="37" t="inlineStr">
        <is>
          <t>Precedence constraints + duration = Critical Path DAG scheduling</t>
        </is>
      </c>
      <c r="K30" s="49" t="n"/>
      <c r="L30" s="35" t="n"/>
    </row>
    <row r="31" ht="52" customHeight="1">
      <c r="A31" s="37" t="inlineStr">
        <is>
          <t>Count-Min Sketch &amp; Misra-Gries</t>
        </is>
      </c>
      <c r="B31" s="37" t="inlineStr">
        <is>
          <t>Streaming algorithms</t>
        </is>
      </c>
      <c r="C31" s="37" t="inlineStr">
        <is>
          <t>'estimate item frequencies and find top-K heavy hitters in sub-linear space'</t>
        </is>
      </c>
      <c r="D31" s="37" t="n"/>
      <c r="E31" s="37" t="inlineStr">
        <is>
          <t>d x w 2D counter array with independent hash functions; Misra-Gries k-1 candidate pool</t>
        </is>
      </c>
      <c r="F31" s="37" t="n"/>
      <c r="G31" s="37" t="inlineStr">
        <is>
          <t>O(1) per update, O(w * d) space</t>
        </is>
      </c>
      <c r="H31" s="37" t="inlineStr">
        <is>
          <t>F4: stores all unique keys in hash map -&gt; O(N) memory explosion on streaming big data</t>
        </is>
      </c>
      <c r="I31" s="37" t="inlineStr">
        <is>
          <t>HyperLogLog cardinality; Bloom filter set membership; Reservoir sampling</t>
        </is>
      </c>
      <c r="J31" s="37" t="inlineStr">
        <is>
          <t>Streaming top-K and frequency in bounded space = Count-Min Sketch + Misra-Gries</t>
        </is>
      </c>
      <c r="K31" s="49" t="n"/>
      <c r="L31" s="35" t="n"/>
    </row>
  </sheetData>
  <autoFilter ref="A1:L31"/>
  <conditionalFormatting sqref="D2:D31">
    <cfRule type="expression" priority="1" dxfId="2">
      <formula>ISBLANK($D2)</formula>
    </cfRule>
  </conditionalFormatting>
  <conditionalFormatting sqref="F2:F31">
    <cfRule type="expression" priority="2" dxfId="2">
      <formula>ISBLANK($F2)</formula>
    </cfRule>
  </conditionalFormatting>
  <dataValidations count="1">
    <dataValidation sqref="L2:L31" showDropDown="0" showInputMessage="0" showErrorMessage="0" allowBlank="1" promptTitle="Reconstruction score"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9" customWidth="1" min="3" max="3"/>
    <col width="22" customWidth="1" min="4" max="4"/>
    <col width="20" customWidth="1" min="5" max="5"/>
    <col width="12" customWidth="1" min="6" max="6"/>
    <col width="12" customWidth="1" min="7" max="7"/>
    <col width="9" customWidth="1" min="8" max="8"/>
    <col width="8" customWidth="1" min="9" max="9"/>
    <col width="11" customWidth="1" min="10" max="10"/>
    <col width="16" customWidth="1" min="11" max="11"/>
    <col width="14" customWidth="1" min="12" max="12"/>
    <col width="18" customWidth="1" min="13" max="13"/>
    <col width="44" customWidth="1" min="14" max="14"/>
    <col width="34" customWidth="1" min="15" max="15"/>
    <col width="12" customWidth="1" min="16" max="16"/>
    <col width="12" customWidth="1" min="17" max="17"/>
    <col width="12" customWidth="1" min="18" max="18"/>
    <col width="10" customWidth="1" min="19" max="19"/>
    <col width="34" customWidth="1" min="20" max="20"/>
    <col width="6" customWidth="1" min="21" max="21"/>
    <col width="9" customWidth="1" min="22" max="22"/>
    <col width="10" customWidth="1" min="23" max="23"/>
    <col width="12" customWidth="1" min="24" max="24"/>
  </cols>
  <sheetData>
    <row r="1" ht="28" customHeight="1">
      <c r="A1" s="34" t="inlineStr">
        <is>
          <t>Problem</t>
        </is>
      </c>
      <c r="B1" s="34" t="inlineStr">
        <is>
          <t>Platform</t>
        </is>
      </c>
      <c r="C1" s="34" t="inlineStr">
        <is>
          <t>Difficulty</t>
        </is>
      </c>
      <c r="D1" s="34" t="inlineStr">
        <is>
          <t>Pattern</t>
        </is>
      </c>
      <c r="E1" s="34" t="inlineStr">
        <is>
          <t>Sub-pattern</t>
        </is>
      </c>
      <c r="F1" s="34" t="inlineStr">
        <is>
          <t>First Attempt</t>
        </is>
      </c>
      <c r="G1" s="34" t="inlineStr">
        <is>
          <t>Solved Independently?</t>
        </is>
      </c>
      <c r="H1" s="34" t="inlineStr">
        <is>
          <t>Time Taken (min)</t>
        </is>
      </c>
      <c r="I1" s="34" t="inlineStr">
        <is>
          <t>Hints Used</t>
        </is>
      </c>
      <c r="J1" s="34" t="inlineStr">
        <is>
          <t>Solution Viewed?</t>
        </is>
      </c>
      <c r="K1" s="34" t="inlineStr">
        <is>
          <t>TC</t>
        </is>
      </c>
      <c r="L1" s="34" t="inlineStr">
        <is>
          <t>SC</t>
        </is>
      </c>
      <c r="M1" s="34" t="inlineStr">
        <is>
          <t>Mistake Category</t>
        </is>
      </c>
      <c r="N1" s="34" t="inlineStr">
        <is>
          <t>Key Insight (one line)</t>
        </is>
      </c>
      <c r="O1" s="34" t="inlineStr">
        <is>
          <t>Recognition Cue</t>
        </is>
      </c>
      <c r="P1" s="34" t="inlineStr">
        <is>
          <t>Next Review</t>
        </is>
      </c>
      <c r="Q1" s="34" t="inlineStr">
        <is>
          <t>Review 2</t>
        </is>
      </c>
      <c r="R1" s="34" t="inlineStr">
        <is>
          <t>Review 3</t>
        </is>
      </c>
      <c r="S1" s="34" t="inlineStr">
        <is>
          <t>Mastered?</t>
        </is>
      </c>
      <c r="T1" s="34" t="inlineStr">
        <is>
          <t>Notes</t>
        </is>
      </c>
      <c r="U1" s="34" t="inlineStr">
        <is>
          <t>Week</t>
        </is>
      </c>
      <c r="V1" s="34" t="inlineStr">
        <is>
          <t>Priority Score</t>
        </is>
      </c>
      <c r="W1" s="34" t="inlineStr">
        <is>
          <t>Days To Due</t>
        </is>
      </c>
      <c r="X1" s="34" t="inlineStr">
        <is>
          <t>2nd Solution Found?</t>
        </is>
      </c>
    </row>
    <row r="2">
      <c r="A2" s="50" t="inlineStr">
        <is>
          <t>LC 1 Two Sum</t>
        </is>
      </c>
      <c r="B2" s="47" t="inlineStr">
        <is>
          <t>LeetCode</t>
        </is>
      </c>
      <c r="C2" s="47" t="inlineStr">
        <is>
          <t>E</t>
        </is>
      </c>
      <c r="D2" s="50" t="inlineStr">
        <is>
          <t>Frequency/hashing</t>
        </is>
      </c>
      <c r="E2" s="50" t="inlineStr">
        <is>
          <t>complement lookup</t>
        </is>
      </c>
      <c r="F2" s="48" t="n">
        <v>46296</v>
      </c>
      <c r="G2" s="47" t="inlineStr">
        <is>
          <t>Yes</t>
        </is>
      </c>
      <c r="H2" s="47" t="n">
        <v>12</v>
      </c>
      <c r="I2" s="47" t="n">
        <v>0</v>
      </c>
      <c r="J2" s="47" t="inlineStr">
        <is>
          <t>No</t>
        </is>
      </c>
      <c r="K2" s="47" t="inlineStr">
        <is>
          <t>O(n)</t>
        </is>
      </c>
      <c r="L2" s="47" t="inlineStr">
        <is>
          <t>O(n)</t>
        </is>
      </c>
      <c r="M2" s="50" t="inlineStr"/>
      <c r="N2" s="50" t="inlineStr">
        <is>
          <t>Store the complement you need, not the values you have seen</t>
        </is>
      </c>
      <c r="O2" s="50" t="inlineStr">
        <is>
          <t>'pair sums to target' + unsorted -&gt; hash complement</t>
        </is>
      </c>
      <c r="P2" s="48">
        <f>IF($F2="","",IF($J2="Yes",$F2+1,IF($G2="No",$F2+2,IF(N($I2)&gt;2,$F2+3,IF(N($I2)&gt;0,$F2+5,$F2+7)))))</f>
        <v/>
      </c>
      <c r="Q2" s="48">
        <f>IF($P2="","",IF($J2="Yes",$P2+3,IF($G2="No",$P2+5,IF(N($I2)&gt;0,$P2+7,$P2+14))))</f>
        <v/>
      </c>
      <c r="R2" s="48">
        <f>IF($Q2="","",IF($J2="Yes",$Q2+7,IF($G2="No",$Q2+14,$Q2+30)))</f>
        <v/>
      </c>
      <c r="S2" s="47" t="inlineStr">
        <is>
          <t>No</t>
        </is>
      </c>
      <c r="T2" s="50" t="inlineStr">
        <is>
          <t>Starter example entry</t>
        </is>
      </c>
      <c r="U2" s="47">
        <f>IF($F2="","",MIN(24,MAX(1,ROUNDUP(($F2-DayPlan!$C$2+1)/7,0))))</f>
        <v/>
      </c>
      <c r="V2" s="47">
        <f>IF($A2=""," ",4*($J2="Yes")+3*($G2="No")+2*(N($I2)&gt;0)+1*(AND(ISNUMBER($H2),$H2&gt;45))+3*(AND(ISNUMBER($P2),$P2&lt;=TODAY()))-6*($S2="Yes")+(750-ROW())/100000)</f>
        <v/>
      </c>
      <c r="W2" s="47">
        <f>IF(OR($A2="",NOT(ISNUMBER($P2))),"",INT($P2-TODAY()))</f>
        <v/>
      </c>
      <c r="X2" s="47" t="inlineStr">
        <is>
          <t>No</t>
        </is>
      </c>
    </row>
    <row r="3">
      <c r="A3" s="50" t="n"/>
      <c r="B3" s="47" t="n"/>
      <c r="C3" s="47" t="n"/>
      <c r="D3" s="50" t="n"/>
      <c r="E3" s="50" t="n"/>
      <c r="F3" s="48" t="n"/>
      <c r="G3" s="47" t="n"/>
      <c r="H3" s="47" t="n"/>
      <c r="I3" s="47" t="n"/>
      <c r="J3" s="47" t="n"/>
      <c r="K3" s="47" t="n"/>
      <c r="L3" s="47" t="n"/>
      <c r="M3" s="50" t="n"/>
      <c r="N3" s="50" t="n"/>
      <c r="O3" s="50" t="n"/>
      <c r="P3" s="48">
        <f>IF($F3="","",IF($J3="Yes",$F3+1,IF($G3="No",$F3+2,IF(N($I3)&gt;2,$F3+3,IF(N($I3)&gt;0,$F3+5,$F3+7)))))</f>
        <v/>
      </c>
      <c r="Q3" s="48">
        <f>IF($P3="","",IF($J3="Yes",$P3+3,IF($G3="No",$P3+5,IF(N($I3)&gt;0,$P3+7,$P3+14))))</f>
        <v/>
      </c>
      <c r="R3" s="48">
        <f>IF($Q3="","",IF($J3="Yes",$Q3+7,IF($G3="No",$Q3+14,$Q3+30)))</f>
        <v/>
      </c>
      <c r="S3" s="47" t="n"/>
      <c r="T3" s="50" t="n"/>
      <c r="U3" s="47">
        <f>IF($F3="","",MIN(24,MAX(1,ROUNDUP(($F3-DayPlan!$C$2+1)/7,0))))</f>
        <v/>
      </c>
      <c r="V3" s="47">
        <f>IF($A3=""," ",4*($J3="Yes")+3*($G3="No")+2*(N($I3)&gt;0)+1*(AND(ISNUMBER($H3),$H3&gt;45))+3*(AND(ISNUMBER($P3),$P3&lt;=TODAY()))-6*($S3="Yes")+(750-ROW())/100000)</f>
        <v/>
      </c>
      <c r="W3" s="47">
        <f>IF(OR($A3="",NOT(ISNUMBER($P3))),"",INT($P3-TODAY()))</f>
        <v/>
      </c>
      <c r="X3" s="47" t="n"/>
    </row>
    <row r="4">
      <c r="A4" s="50" t="n"/>
      <c r="B4" s="47" t="n"/>
      <c r="C4" s="47" t="n"/>
      <c r="D4" s="50" t="n"/>
      <c r="E4" s="50" t="n"/>
      <c r="F4" s="48" t="n"/>
      <c r="G4" s="47" t="n"/>
      <c r="H4" s="47" t="n"/>
      <c r="I4" s="47" t="n"/>
      <c r="J4" s="47" t="n"/>
      <c r="K4" s="47" t="n"/>
      <c r="L4" s="47" t="n"/>
      <c r="M4" s="50" t="n"/>
      <c r="N4" s="50" t="n"/>
      <c r="O4" s="50" t="n"/>
      <c r="P4" s="48">
        <f>IF($F4="","",IF($J4="Yes",$F4+1,IF($G4="No",$F4+2,IF(N($I4)&gt;2,$F4+3,IF(N($I4)&gt;0,$F4+5,$F4+7)))))</f>
        <v/>
      </c>
      <c r="Q4" s="48">
        <f>IF($P4="","",IF($J4="Yes",$P4+3,IF($G4="No",$P4+5,IF(N($I4)&gt;0,$P4+7,$P4+14))))</f>
        <v/>
      </c>
      <c r="R4" s="48">
        <f>IF($Q4="","",IF($J4="Yes",$Q4+7,IF($G4="No",$Q4+14,$Q4+30)))</f>
        <v/>
      </c>
      <c r="S4" s="47" t="n"/>
      <c r="T4" s="50" t="n"/>
      <c r="U4" s="47">
        <f>IF($F4="","",MIN(24,MAX(1,ROUNDUP(($F4-DayPlan!$C$2+1)/7,0))))</f>
        <v/>
      </c>
      <c r="V4" s="47">
        <f>IF($A4=""," ",4*($J4="Yes")+3*($G4="No")+2*(N($I4)&gt;0)+1*(AND(ISNUMBER($H4),$H4&gt;45))+3*(AND(ISNUMBER($P4),$P4&lt;=TODAY()))-6*($S4="Yes")+(750-ROW())/100000)</f>
        <v/>
      </c>
      <c r="W4" s="47">
        <f>IF(OR($A4="",NOT(ISNUMBER($P4))),"",INT($P4-TODAY()))</f>
        <v/>
      </c>
      <c r="X4" s="47" t="n"/>
    </row>
    <row r="5">
      <c r="A5" s="50" t="n"/>
      <c r="B5" s="47" t="n"/>
      <c r="C5" s="47" t="n"/>
      <c r="D5" s="50" t="n"/>
      <c r="E5" s="50" t="n"/>
      <c r="F5" s="48" t="n"/>
      <c r="G5" s="47" t="n"/>
      <c r="H5" s="47" t="n"/>
      <c r="I5" s="47" t="n"/>
      <c r="J5" s="47" t="n"/>
      <c r="K5" s="47" t="n"/>
      <c r="L5" s="47" t="n"/>
      <c r="M5" s="50" t="n"/>
      <c r="N5" s="50" t="n"/>
      <c r="O5" s="50" t="n"/>
      <c r="P5" s="48">
        <f>IF($F5="","",IF($J5="Yes",$F5+1,IF($G5="No",$F5+2,IF(N($I5)&gt;2,$F5+3,IF(N($I5)&gt;0,$F5+5,$F5+7)))))</f>
        <v/>
      </c>
      <c r="Q5" s="48">
        <f>IF($P5="","",IF($J5="Yes",$P5+3,IF($G5="No",$P5+5,IF(N($I5)&gt;0,$P5+7,$P5+14))))</f>
        <v/>
      </c>
      <c r="R5" s="48">
        <f>IF($Q5="","",IF($J5="Yes",$Q5+7,IF($G5="No",$Q5+14,$Q5+30)))</f>
        <v/>
      </c>
      <c r="S5" s="47" t="n"/>
      <c r="T5" s="50" t="n"/>
      <c r="U5" s="47">
        <f>IF($F5="","",MIN(24,MAX(1,ROUNDUP(($F5-DayPlan!$C$2+1)/7,0))))</f>
        <v/>
      </c>
      <c r="V5" s="47">
        <f>IF($A5=""," ",4*($J5="Yes")+3*($G5="No")+2*(N($I5)&gt;0)+1*(AND(ISNUMBER($H5),$H5&gt;45))+3*(AND(ISNUMBER($P5),$P5&lt;=TODAY()))-6*($S5="Yes")+(750-ROW())/100000)</f>
        <v/>
      </c>
      <c r="W5" s="47">
        <f>IF(OR($A5="",NOT(ISNUMBER($P5))),"",INT($P5-TODAY()))</f>
        <v/>
      </c>
      <c r="X5" s="47" t="n"/>
    </row>
    <row r="6">
      <c r="A6" s="50" t="n"/>
      <c r="B6" s="47" t="n"/>
      <c r="C6" s="47" t="n"/>
      <c r="D6" s="50" t="n"/>
      <c r="E6" s="50" t="n"/>
      <c r="F6" s="48" t="n"/>
      <c r="G6" s="47" t="n"/>
      <c r="H6" s="47" t="n"/>
      <c r="I6" s="47" t="n"/>
      <c r="J6" s="47" t="n"/>
      <c r="K6" s="47" t="n"/>
      <c r="L6" s="47" t="n"/>
      <c r="M6" s="50" t="n"/>
      <c r="N6" s="50" t="n"/>
      <c r="O6" s="50" t="n"/>
      <c r="P6" s="48">
        <f>IF($F6="","",IF($J6="Yes",$F6+1,IF($G6="No",$F6+2,IF(N($I6)&gt;2,$F6+3,IF(N($I6)&gt;0,$F6+5,$F6+7)))))</f>
        <v/>
      </c>
      <c r="Q6" s="48">
        <f>IF($P6="","",IF($J6="Yes",$P6+3,IF($G6="No",$P6+5,IF(N($I6)&gt;0,$P6+7,$P6+14))))</f>
        <v/>
      </c>
      <c r="R6" s="48">
        <f>IF($Q6="","",IF($J6="Yes",$Q6+7,IF($G6="No",$Q6+14,$Q6+30)))</f>
        <v/>
      </c>
      <c r="S6" s="47" t="n"/>
      <c r="T6" s="50" t="n"/>
      <c r="U6" s="47">
        <f>IF($F6="","",MIN(24,MAX(1,ROUNDUP(($F6-DayPlan!$C$2+1)/7,0))))</f>
        <v/>
      </c>
      <c r="V6" s="47">
        <f>IF($A6=""," ",4*($J6="Yes")+3*($G6="No")+2*(N($I6)&gt;0)+1*(AND(ISNUMBER($H6),$H6&gt;45))+3*(AND(ISNUMBER($P6),$P6&lt;=TODAY()))-6*($S6="Yes")+(750-ROW())/100000)</f>
        <v/>
      </c>
      <c r="W6" s="47">
        <f>IF(OR($A6="",NOT(ISNUMBER($P6))),"",INT($P6-TODAY()))</f>
        <v/>
      </c>
      <c r="X6" s="47" t="n"/>
    </row>
    <row r="7">
      <c r="A7" s="50" t="n"/>
      <c r="B7" s="47" t="n"/>
      <c r="C7" s="47" t="n"/>
      <c r="D7" s="50" t="n"/>
      <c r="E7" s="50" t="n"/>
      <c r="F7" s="48" t="n"/>
      <c r="G7" s="47" t="n"/>
      <c r="H7" s="47" t="n"/>
      <c r="I7" s="47" t="n"/>
      <c r="J7" s="47" t="n"/>
      <c r="K7" s="47" t="n"/>
      <c r="L7" s="47" t="n"/>
      <c r="M7" s="50" t="n"/>
      <c r="N7" s="50" t="n"/>
      <c r="O7" s="50" t="n"/>
      <c r="P7" s="48">
        <f>IF($F7="","",IF($J7="Yes",$F7+1,IF($G7="No",$F7+2,IF(N($I7)&gt;2,$F7+3,IF(N($I7)&gt;0,$F7+5,$F7+7)))))</f>
        <v/>
      </c>
      <c r="Q7" s="48">
        <f>IF($P7="","",IF($J7="Yes",$P7+3,IF($G7="No",$P7+5,IF(N($I7)&gt;0,$P7+7,$P7+14))))</f>
        <v/>
      </c>
      <c r="R7" s="48">
        <f>IF($Q7="","",IF($J7="Yes",$Q7+7,IF($G7="No",$Q7+14,$Q7+30)))</f>
        <v/>
      </c>
      <c r="S7" s="47" t="n"/>
      <c r="T7" s="50" t="n"/>
      <c r="U7" s="47">
        <f>IF($F7="","",MIN(24,MAX(1,ROUNDUP(($F7-DayPlan!$C$2+1)/7,0))))</f>
        <v/>
      </c>
      <c r="V7" s="47">
        <f>IF($A7=""," ",4*($J7="Yes")+3*($G7="No")+2*(N($I7)&gt;0)+1*(AND(ISNUMBER($H7),$H7&gt;45))+3*(AND(ISNUMBER($P7),$P7&lt;=TODAY()))-6*($S7="Yes")+(750-ROW())/100000)</f>
        <v/>
      </c>
      <c r="W7" s="47">
        <f>IF(OR($A7="",NOT(ISNUMBER($P7))),"",INT($P7-TODAY()))</f>
        <v/>
      </c>
      <c r="X7" s="47" t="n"/>
    </row>
    <row r="8">
      <c r="A8" s="50" t="n"/>
      <c r="B8" s="47" t="n"/>
      <c r="C8" s="47" t="n"/>
      <c r="D8" s="50" t="n"/>
      <c r="E8" s="50" t="n"/>
      <c r="F8" s="48" t="n"/>
      <c r="G8" s="47" t="n"/>
      <c r="H8" s="47" t="n"/>
      <c r="I8" s="47" t="n"/>
      <c r="J8" s="47" t="n"/>
      <c r="K8" s="47" t="n"/>
      <c r="L8" s="47" t="n"/>
      <c r="M8" s="50" t="n"/>
      <c r="N8" s="50" t="n"/>
      <c r="O8" s="50" t="n"/>
      <c r="P8" s="48">
        <f>IF($F8="","",IF($J8="Yes",$F8+1,IF($G8="No",$F8+2,IF(N($I8)&gt;2,$F8+3,IF(N($I8)&gt;0,$F8+5,$F8+7)))))</f>
        <v/>
      </c>
      <c r="Q8" s="48">
        <f>IF($P8="","",IF($J8="Yes",$P8+3,IF($G8="No",$P8+5,IF(N($I8)&gt;0,$P8+7,$P8+14))))</f>
        <v/>
      </c>
      <c r="R8" s="48">
        <f>IF($Q8="","",IF($J8="Yes",$Q8+7,IF($G8="No",$Q8+14,$Q8+30)))</f>
        <v/>
      </c>
      <c r="S8" s="47" t="n"/>
      <c r="T8" s="50" t="n"/>
      <c r="U8" s="47">
        <f>IF($F8="","",MIN(24,MAX(1,ROUNDUP(($F8-DayPlan!$C$2+1)/7,0))))</f>
        <v/>
      </c>
      <c r="V8" s="47">
        <f>IF($A8=""," ",4*($J8="Yes")+3*($G8="No")+2*(N($I8)&gt;0)+1*(AND(ISNUMBER($H8),$H8&gt;45))+3*(AND(ISNUMBER($P8),$P8&lt;=TODAY()))-6*($S8="Yes")+(750-ROW())/100000)</f>
        <v/>
      </c>
      <c r="W8" s="47">
        <f>IF(OR($A8="",NOT(ISNUMBER($P8))),"",INT($P8-TODAY()))</f>
        <v/>
      </c>
      <c r="X8" s="47" t="n"/>
    </row>
    <row r="9">
      <c r="A9" s="50" t="n"/>
      <c r="B9" s="47" t="n"/>
      <c r="C9" s="47" t="n"/>
      <c r="D9" s="50" t="n"/>
      <c r="E9" s="50" t="n"/>
      <c r="F9" s="48" t="n"/>
      <c r="G9" s="47" t="n"/>
      <c r="H9" s="47" t="n"/>
      <c r="I9" s="47" t="n"/>
      <c r="J9" s="47" t="n"/>
      <c r="K9" s="47" t="n"/>
      <c r="L9" s="47" t="n"/>
      <c r="M9" s="50" t="n"/>
      <c r="N9" s="50" t="n"/>
      <c r="O9" s="50" t="n"/>
      <c r="P9" s="48">
        <f>IF($F9="","",IF($J9="Yes",$F9+1,IF($G9="No",$F9+2,IF(N($I9)&gt;2,$F9+3,IF(N($I9)&gt;0,$F9+5,$F9+7)))))</f>
        <v/>
      </c>
      <c r="Q9" s="48">
        <f>IF($P9="","",IF($J9="Yes",$P9+3,IF($G9="No",$P9+5,IF(N($I9)&gt;0,$P9+7,$P9+14))))</f>
        <v/>
      </c>
      <c r="R9" s="48">
        <f>IF($Q9="","",IF($J9="Yes",$Q9+7,IF($G9="No",$Q9+14,$Q9+30)))</f>
        <v/>
      </c>
      <c r="S9" s="47" t="n"/>
      <c r="T9" s="50" t="n"/>
      <c r="U9" s="47">
        <f>IF($F9="","",MIN(24,MAX(1,ROUNDUP(($F9-DayPlan!$C$2+1)/7,0))))</f>
        <v/>
      </c>
      <c r="V9" s="47">
        <f>IF($A9=""," ",4*($J9="Yes")+3*($G9="No")+2*(N($I9)&gt;0)+1*(AND(ISNUMBER($H9),$H9&gt;45))+3*(AND(ISNUMBER($P9),$P9&lt;=TODAY()))-6*($S9="Yes")+(750-ROW())/100000)</f>
        <v/>
      </c>
      <c r="W9" s="47">
        <f>IF(OR($A9="",NOT(ISNUMBER($P9))),"",INT($P9-TODAY()))</f>
        <v/>
      </c>
      <c r="X9" s="47" t="n"/>
    </row>
    <row r="10">
      <c r="A10" s="50" t="n"/>
      <c r="B10" s="47" t="n"/>
      <c r="C10" s="47" t="n"/>
      <c r="D10" s="50" t="n"/>
      <c r="E10" s="50" t="n"/>
      <c r="F10" s="48" t="n"/>
      <c r="G10" s="47" t="n"/>
      <c r="H10" s="47" t="n"/>
      <c r="I10" s="47" t="n"/>
      <c r="J10" s="47" t="n"/>
      <c r="K10" s="47" t="n"/>
      <c r="L10" s="47" t="n"/>
      <c r="M10" s="50" t="n"/>
      <c r="N10" s="50" t="n"/>
      <c r="O10" s="50" t="n"/>
      <c r="P10" s="48">
        <f>IF($F10="","",IF($J10="Yes",$F10+1,IF($G10="No",$F10+2,IF(N($I10)&gt;2,$F10+3,IF(N($I10)&gt;0,$F10+5,$F10+7)))))</f>
        <v/>
      </c>
      <c r="Q10" s="48">
        <f>IF($P10="","",IF($J10="Yes",$P10+3,IF($G10="No",$P10+5,IF(N($I10)&gt;0,$P10+7,$P10+14))))</f>
        <v/>
      </c>
      <c r="R10" s="48">
        <f>IF($Q10="","",IF($J10="Yes",$Q10+7,IF($G10="No",$Q10+14,$Q10+30)))</f>
        <v/>
      </c>
      <c r="S10" s="47" t="n"/>
      <c r="T10" s="50" t="n"/>
      <c r="U10" s="47">
        <f>IF($F10="","",MIN(24,MAX(1,ROUNDUP(($F10-DayPlan!$C$2+1)/7,0))))</f>
        <v/>
      </c>
      <c r="V10" s="47">
        <f>IF($A10=""," ",4*($J10="Yes")+3*($G10="No")+2*(N($I10)&gt;0)+1*(AND(ISNUMBER($H10),$H10&gt;45))+3*(AND(ISNUMBER($P10),$P10&lt;=TODAY()))-6*($S10="Yes")+(750-ROW())/100000)</f>
        <v/>
      </c>
      <c r="W10" s="47">
        <f>IF(OR($A10="",NOT(ISNUMBER($P10))),"",INT($P10-TODAY()))</f>
        <v/>
      </c>
      <c r="X10" s="47" t="n"/>
    </row>
    <row r="11">
      <c r="A11" s="50" t="n"/>
      <c r="B11" s="47" t="n"/>
      <c r="C11" s="47" t="n"/>
      <c r="D11" s="50" t="n"/>
      <c r="E11" s="50" t="n"/>
      <c r="F11" s="48" t="n"/>
      <c r="G11" s="47" t="n"/>
      <c r="H11" s="47" t="n"/>
      <c r="I11" s="47" t="n"/>
      <c r="J11" s="47" t="n"/>
      <c r="K11" s="47" t="n"/>
      <c r="L11" s="47" t="n"/>
      <c r="M11" s="50" t="n"/>
      <c r="N11" s="50" t="n"/>
      <c r="O11" s="50" t="n"/>
      <c r="P11" s="48">
        <f>IF($F11="","",IF($J11="Yes",$F11+1,IF($G11="No",$F11+2,IF(N($I11)&gt;2,$F11+3,IF(N($I11)&gt;0,$F11+5,$F11+7)))))</f>
        <v/>
      </c>
      <c r="Q11" s="48">
        <f>IF($P11="","",IF($J11="Yes",$P11+3,IF($G11="No",$P11+5,IF(N($I11)&gt;0,$P11+7,$P11+14))))</f>
        <v/>
      </c>
      <c r="R11" s="48">
        <f>IF($Q11="","",IF($J11="Yes",$Q11+7,IF($G11="No",$Q11+14,$Q11+30)))</f>
        <v/>
      </c>
      <c r="S11" s="47" t="n"/>
      <c r="T11" s="50" t="n"/>
      <c r="U11" s="47">
        <f>IF($F11="","",MIN(24,MAX(1,ROUNDUP(($F11-DayPlan!$C$2+1)/7,0))))</f>
        <v/>
      </c>
      <c r="V11" s="47">
        <f>IF($A11=""," ",4*($J11="Yes")+3*($G11="No")+2*(N($I11)&gt;0)+1*(AND(ISNUMBER($H11),$H11&gt;45))+3*(AND(ISNUMBER($P11),$P11&lt;=TODAY()))-6*($S11="Yes")+(750-ROW())/100000)</f>
        <v/>
      </c>
      <c r="W11" s="47">
        <f>IF(OR($A11="",NOT(ISNUMBER($P11))),"",INT($P11-TODAY()))</f>
        <v/>
      </c>
      <c r="X11" s="47" t="n"/>
    </row>
    <row r="12">
      <c r="A12" s="50" t="n"/>
      <c r="B12" s="47" t="n"/>
      <c r="C12" s="47" t="n"/>
      <c r="D12" s="50" t="n"/>
      <c r="E12" s="50" t="n"/>
      <c r="F12" s="48" t="n"/>
      <c r="G12" s="47" t="n"/>
      <c r="H12" s="47" t="n"/>
      <c r="I12" s="47" t="n"/>
      <c r="J12" s="47" t="n"/>
      <c r="K12" s="47" t="n"/>
      <c r="L12" s="47" t="n"/>
      <c r="M12" s="50" t="n"/>
      <c r="N12" s="50" t="n"/>
      <c r="O12" s="50" t="n"/>
      <c r="P12" s="48">
        <f>IF($F12="","",IF($J12="Yes",$F12+1,IF($G12="No",$F12+2,IF(N($I12)&gt;2,$F12+3,IF(N($I12)&gt;0,$F12+5,$F12+7)))))</f>
        <v/>
      </c>
      <c r="Q12" s="48">
        <f>IF($P12="","",IF($J12="Yes",$P12+3,IF($G12="No",$P12+5,IF(N($I12)&gt;0,$P12+7,$P12+14))))</f>
        <v/>
      </c>
      <c r="R12" s="48">
        <f>IF($Q12="","",IF($J12="Yes",$Q12+7,IF($G12="No",$Q12+14,$Q12+30)))</f>
        <v/>
      </c>
      <c r="S12" s="47" t="n"/>
      <c r="T12" s="50" t="n"/>
      <c r="U12" s="47">
        <f>IF($F12="","",MIN(24,MAX(1,ROUNDUP(($F12-DayPlan!$C$2+1)/7,0))))</f>
        <v/>
      </c>
      <c r="V12" s="47">
        <f>IF($A12=""," ",4*($J12="Yes")+3*($G12="No")+2*(N($I12)&gt;0)+1*(AND(ISNUMBER($H12),$H12&gt;45))+3*(AND(ISNUMBER($P12),$P12&lt;=TODAY()))-6*($S12="Yes")+(750-ROW())/100000)</f>
        <v/>
      </c>
      <c r="W12" s="47">
        <f>IF(OR($A12="",NOT(ISNUMBER($P12))),"",INT($P12-TODAY()))</f>
        <v/>
      </c>
      <c r="X12" s="47" t="n"/>
    </row>
    <row r="13">
      <c r="A13" s="50" t="n"/>
      <c r="B13" s="47" t="n"/>
      <c r="C13" s="47" t="n"/>
      <c r="D13" s="50" t="n"/>
      <c r="E13" s="50" t="n"/>
      <c r="F13" s="48" t="n"/>
      <c r="G13" s="47" t="n"/>
      <c r="H13" s="47" t="n"/>
      <c r="I13" s="47" t="n"/>
      <c r="J13" s="47" t="n"/>
      <c r="K13" s="47" t="n"/>
      <c r="L13" s="47" t="n"/>
      <c r="M13" s="50" t="n"/>
      <c r="N13" s="50" t="n"/>
      <c r="O13" s="50" t="n"/>
      <c r="P13" s="48">
        <f>IF($F13="","",IF($J13="Yes",$F13+1,IF($G13="No",$F13+2,IF(N($I13)&gt;2,$F13+3,IF(N($I13)&gt;0,$F13+5,$F13+7)))))</f>
        <v/>
      </c>
      <c r="Q13" s="48">
        <f>IF($P13="","",IF($J13="Yes",$P13+3,IF($G13="No",$P13+5,IF(N($I13)&gt;0,$P13+7,$P13+14))))</f>
        <v/>
      </c>
      <c r="R13" s="48">
        <f>IF($Q13="","",IF($J13="Yes",$Q13+7,IF($G13="No",$Q13+14,$Q13+30)))</f>
        <v/>
      </c>
      <c r="S13" s="47" t="n"/>
      <c r="T13" s="50" t="n"/>
      <c r="U13" s="47">
        <f>IF($F13="","",MIN(24,MAX(1,ROUNDUP(($F13-DayPlan!$C$2+1)/7,0))))</f>
        <v/>
      </c>
      <c r="V13" s="47">
        <f>IF($A13=""," ",4*($J13="Yes")+3*($G13="No")+2*(N($I13)&gt;0)+1*(AND(ISNUMBER($H13),$H13&gt;45))+3*(AND(ISNUMBER($P13),$P13&lt;=TODAY()))-6*($S13="Yes")+(750-ROW())/100000)</f>
        <v/>
      </c>
      <c r="W13" s="47">
        <f>IF(OR($A13="",NOT(ISNUMBER($P13))),"",INT($P13-TODAY()))</f>
        <v/>
      </c>
      <c r="X13" s="47" t="n"/>
    </row>
    <row r="14">
      <c r="A14" s="50" t="n"/>
      <c r="B14" s="47" t="n"/>
      <c r="C14" s="47" t="n"/>
      <c r="D14" s="50" t="n"/>
      <c r="E14" s="50" t="n"/>
      <c r="F14" s="48" t="n"/>
      <c r="G14" s="47" t="n"/>
      <c r="H14" s="47" t="n"/>
      <c r="I14" s="47" t="n"/>
      <c r="J14" s="47" t="n"/>
      <c r="K14" s="47" t="n"/>
      <c r="L14" s="47" t="n"/>
      <c r="M14" s="50" t="n"/>
      <c r="N14" s="50" t="n"/>
      <c r="O14" s="50" t="n"/>
      <c r="P14" s="48">
        <f>IF($F14="","",IF($J14="Yes",$F14+1,IF($G14="No",$F14+2,IF(N($I14)&gt;2,$F14+3,IF(N($I14)&gt;0,$F14+5,$F14+7)))))</f>
        <v/>
      </c>
      <c r="Q14" s="48">
        <f>IF($P14="","",IF($J14="Yes",$P14+3,IF($G14="No",$P14+5,IF(N($I14)&gt;0,$P14+7,$P14+14))))</f>
        <v/>
      </c>
      <c r="R14" s="48">
        <f>IF($Q14="","",IF($J14="Yes",$Q14+7,IF($G14="No",$Q14+14,$Q14+30)))</f>
        <v/>
      </c>
      <c r="S14" s="47" t="n"/>
      <c r="T14" s="50" t="n"/>
      <c r="U14" s="47">
        <f>IF($F14="","",MIN(24,MAX(1,ROUNDUP(($F14-DayPlan!$C$2+1)/7,0))))</f>
        <v/>
      </c>
      <c r="V14" s="47">
        <f>IF($A14=""," ",4*($J14="Yes")+3*($G14="No")+2*(N($I14)&gt;0)+1*(AND(ISNUMBER($H14),$H14&gt;45))+3*(AND(ISNUMBER($P14),$P14&lt;=TODAY()))-6*($S14="Yes")+(750-ROW())/100000)</f>
        <v/>
      </c>
      <c r="W14" s="47">
        <f>IF(OR($A14="",NOT(ISNUMBER($P14))),"",INT($P14-TODAY()))</f>
        <v/>
      </c>
      <c r="X14" s="47" t="n"/>
    </row>
    <row r="15">
      <c r="A15" s="50" t="n"/>
      <c r="B15" s="47" t="n"/>
      <c r="C15" s="47" t="n"/>
      <c r="D15" s="50" t="n"/>
      <c r="E15" s="50" t="n"/>
      <c r="F15" s="48" t="n"/>
      <c r="G15" s="47" t="n"/>
      <c r="H15" s="47" t="n"/>
      <c r="I15" s="47" t="n"/>
      <c r="J15" s="47" t="n"/>
      <c r="K15" s="47" t="n"/>
      <c r="L15" s="47" t="n"/>
      <c r="M15" s="50" t="n"/>
      <c r="N15" s="50" t="n"/>
      <c r="O15" s="50" t="n"/>
      <c r="P15" s="48">
        <f>IF($F15="","",IF($J15="Yes",$F15+1,IF($G15="No",$F15+2,IF(N($I15)&gt;2,$F15+3,IF(N($I15)&gt;0,$F15+5,$F15+7)))))</f>
        <v/>
      </c>
      <c r="Q15" s="48">
        <f>IF($P15="","",IF($J15="Yes",$P15+3,IF($G15="No",$P15+5,IF(N($I15)&gt;0,$P15+7,$P15+14))))</f>
        <v/>
      </c>
      <c r="R15" s="48">
        <f>IF($Q15="","",IF($J15="Yes",$Q15+7,IF($G15="No",$Q15+14,$Q15+30)))</f>
        <v/>
      </c>
      <c r="S15" s="47" t="n"/>
      <c r="T15" s="50" t="n"/>
      <c r="U15" s="47">
        <f>IF($F15="","",MIN(24,MAX(1,ROUNDUP(($F15-DayPlan!$C$2+1)/7,0))))</f>
        <v/>
      </c>
      <c r="V15" s="47">
        <f>IF($A15=""," ",4*($J15="Yes")+3*($G15="No")+2*(N($I15)&gt;0)+1*(AND(ISNUMBER($H15),$H15&gt;45))+3*(AND(ISNUMBER($P15),$P15&lt;=TODAY()))-6*($S15="Yes")+(750-ROW())/100000)</f>
        <v/>
      </c>
      <c r="W15" s="47">
        <f>IF(OR($A15="",NOT(ISNUMBER($P15))),"",INT($P15-TODAY()))</f>
        <v/>
      </c>
      <c r="X15" s="47" t="n"/>
    </row>
    <row r="16">
      <c r="A16" s="50" t="n"/>
      <c r="B16" s="47" t="n"/>
      <c r="C16" s="47" t="n"/>
      <c r="D16" s="50" t="n"/>
      <c r="E16" s="50" t="n"/>
      <c r="F16" s="48" t="n"/>
      <c r="G16" s="47" t="n"/>
      <c r="H16" s="47" t="n"/>
      <c r="I16" s="47" t="n"/>
      <c r="J16" s="47" t="n"/>
      <c r="K16" s="47" t="n"/>
      <c r="L16" s="47" t="n"/>
      <c r="M16" s="50" t="n"/>
      <c r="N16" s="50" t="n"/>
      <c r="O16" s="50" t="n"/>
      <c r="P16" s="48">
        <f>IF($F16="","",IF($J16="Yes",$F16+1,IF($G16="No",$F16+2,IF(N($I16)&gt;2,$F16+3,IF(N($I16)&gt;0,$F16+5,$F16+7)))))</f>
        <v/>
      </c>
      <c r="Q16" s="48">
        <f>IF($P16="","",IF($J16="Yes",$P16+3,IF($G16="No",$P16+5,IF(N($I16)&gt;0,$P16+7,$P16+14))))</f>
        <v/>
      </c>
      <c r="R16" s="48">
        <f>IF($Q16="","",IF($J16="Yes",$Q16+7,IF($G16="No",$Q16+14,$Q16+30)))</f>
        <v/>
      </c>
      <c r="S16" s="47" t="n"/>
      <c r="T16" s="50" t="n"/>
      <c r="U16" s="47">
        <f>IF($F16="","",MIN(24,MAX(1,ROUNDUP(($F16-DayPlan!$C$2+1)/7,0))))</f>
        <v/>
      </c>
      <c r="V16" s="47">
        <f>IF($A16=""," ",4*($J16="Yes")+3*($G16="No")+2*(N($I16)&gt;0)+1*(AND(ISNUMBER($H16),$H16&gt;45))+3*(AND(ISNUMBER($P16),$P16&lt;=TODAY()))-6*($S16="Yes")+(750-ROW())/100000)</f>
        <v/>
      </c>
      <c r="W16" s="47">
        <f>IF(OR($A16="",NOT(ISNUMBER($P16))),"",INT($P16-TODAY()))</f>
        <v/>
      </c>
      <c r="X16" s="47" t="n"/>
    </row>
    <row r="17">
      <c r="A17" s="50" t="n"/>
      <c r="B17" s="47" t="n"/>
      <c r="C17" s="47" t="n"/>
      <c r="D17" s="50" t="n"/>
      <c r="E17" s="50" t="n"/>
      <c r="F17" s="48" t="n"/>
      <c r="G17" s="47" t="n"/>
      <c r="H17" s="47" t="n"/>
      <c r="I17" s="47" t="n"/>
      <c r="J17" s="47" t="n"/>
      <c r="K17" s="47" t="n"/>
      <c r="L17" s="47" t="n"/>
      <c r="M17" s="50" t="n"/>
      <c r="N17" s="50" t="n"/>
      <c r="O17" s="50" t="n"/>
      <c r="P17" s="48">
        <f>IF($F17="","",IF($J17="Yes",$F17+1,IF($G17="No",$F17+2,IF(N($I17)&gt;2,$F17+3,IF(N($I17)&gt;0,$F17+5,$F17+7)))))</f>
        <v/>
      </c>
      <c r="Q17" s="48">
        <f>IF($P17="","",IF($J17="Yes",$P17+3,IF($G17="No",$P17+5,IF(N($I17)&gt;0,$P17+7,$P17+14))))</f>
        <v/>
      </c>
      <c r="R17" s="48">
        <f>IF($Q17="","",IF($J17="Yes",$Q17+7,IF($G17="No",$Q17+14,$Q17+30)))</f>
        <v/>
      </c>
      <c r="S17" s="47" t="n"/>
      <c r="T17" s="50" t="n"/>
      <c r="U17" s="47">
        <f>IF($F17="","",MIN(24,MAX(1,ROUNDUP(($F17-DayPlan!$C$2+1)/7,0))))</f>
        <v/>
      </c>
      <c r="V17" s="47">
        <f>IF($A17=""," ",4*($J17="Yes")+3*($G17="No")+2*(N($I17)&gt;0)+1*(AND(ISNUMBER($H17),$H17&gt;45))+3*(AND(ISNUMBER($P17),$P17&lt;=TODAY()))-6*($S17="Yes")+(750-ROW())/100000)</f>
        <v/>
      </c>
      <c r="W17" s="47">
        <f>IF(OR($A17="",NOT(ISNUMBER($P17))),"",INT($P17-TODAY()))</f>
        <v/>
      </c>
      <c r="X17" s="47" t="n"/>
    </row>
    <row r="18">
      <c r="A18" s="50" t="n"/>
      <c r="B18" s="47" t="n"/>
      <c r="C18" s="47" t="n"/>
      <c r="D18" s="50" t="n"/>
      <c r="E18" s="50" t="n"/>
      <c r="F18" s="48" t="n"/>
      <c r="G18" s="47" t="n"/>
      <c r="H18" s="47" t="n"/>
      <c r="I18" s="47" t="n"/>
      <c r="J18" s="47" t="n"/>
      <c r="K18" s="47" t="n"/>
      <c r="L18" s="47" t="n"/>
      <c r="M18" s="50" t="n"/>
      <c r="N18" s="50" t="n"/>
      <c r="O18" s="50" t="n"/>
      <c r="P18" s="48">
        <f>IF($F18="","",IF($J18="Yes",$F18+1,IF($G18="No",$F18+2,IF(N($I18)&gt;2,$F18+3,IF(N($I18)&gt;0,$F18+5,$F18+7)))))</f>
        <v/>
      </c>
      <c r="Q18" s="48">
        <f>IF($P18="","",IF($J18="Yes",$P18+3,IF($G18="No",$P18+5,IF(N($I18)&gt;0,$P18+7,$P18+14))))</f>
        <v/>
      </c>
      <c r="R18" s="48">
        <f>IF($Q18="","",IF($J18="Yes",$Q18+7,IF($G18="No",$Q18+14,$Q18+30)))</f>
        <v/>
      </c>
      <c r="S18" s="47" t="n"/>
      <c r="T18" s="50" t="n"/>
      <c r="U18" s="47">
        <f>IF($F18="","",MIN(24,MAX(1,ROUNDUP(($F18-DayPlan!$C$2+1)/7,0))))</f>
        <v/>
      </c>
      <c r="V18" s="47">
        <f>IF($A18=""," ",4*($J18="Yes")+3*($G18="No")+2*(N($I18)&gt;0)+1*(AND(ISNUMBER($H18),$H18&gt;45))+3*(AND(ISNUMBER($P18),$P18&lt;=TODAY()))-6*($S18="Yes")+(750-ROW())/100000)</f>
        <v/>
      </c>
      <c r="W18" s="47">
        <f>IF(OR($A18="",NOT(ISNUMBER($P18))),"",INT($P18-TODAY()))</f>
        <v/>
      </c>
      <c r="X18" s="47" t="n"/>
    </row>
    <row r="19">
      <c r="A19" s="50" t="n"/>
      <c r="B19" s="47" t="n"/>
      <c r="C19" s="47" t="n"/>
      <c r="D19" s="50" t="n"/>
      <c r="E19" s="50" t="n"/>
      <c r="F19" s="48" t="n"/>
      <c r="G19" s="47" t="n"/>
      <c r="H19" s="47" t="n"/>
      <c r="I19" s="47" t="n"/>
      <c r="J19" s="47" t="n"/>
      <c r="K19" s="47" t="n"/>
      <c r="L19" s="47" t="n"/>
      <c r="M19" s="50" t="n"/>
      <c r="N19" s="50" t="n"/>
      <c r="O19" s="50" t="n"/>
      <c r="P19" s="48">
        <f>IF($F19="","",IF($J19="Yes",$F19+1,IF($G19="No",$F19+2,IF(N($I19)&gt;2,$F19+3,IF(N($I19)&gt;0,$F19+5,$F19+7)))))</f>
        <v/>
      </c>
      <c r="Q19" s="48">
        <f>IF($P19="","",IF($J19="Yes",$P19+3,IF($G19="No",$P19+5,IF(N($I19)&gt;0,$P19+7,$P19+14))))</f>
        <v/>
      </c>
      <c r="R19" s="48">
        <f>IF($Q19="","",IF($J19="Yes",$Q19+7,IF($G19="No",$Q19+14,$Q19+30)))</f>
        <v/>
      </c>
      <c r="S19" s="47" t="n"/>
      <c r="T19" s="50" t="n"/>
      <c r="U19" s="47">
        <f>IF($F19="","",MIN(24,MAX(1,ROUNDUP(($F19-DayPlan!$C$2+1)/7,0))))</f>
        <v/>
      </c>
      <c r="V19" s="47">
        <f>IF($A19=""," ",4*($J19="Yes")+3*($G19="No")+2*(N($I19)&gt;0)+1*(AND(ISNUMBER($H19),$H19&gt;45))+3*(AND(ISNUMBER($P19),$P19&lt;=TODAY()))-6*($S19="Yes")+(750-ROW())/100000)</f>
        <v/>
      </c>
      <c r="W19" s="47">
        <f>IF(OR($A19="",NOT(ISNUMBER($P19))),"",INT($P19-TODAY()))</f>
        <v/>
      </c>
      <c r="X19" s="47" t="n"/>
    </row>
    <row r="20">
      <c r="A20" s="50" t="n"/>
      <c r="B20" s="47" t="n"/>
      <c r="C20" s="47" t="n"/>
      <c r="D20" s="50" t="n"/>
      <c r="E20" s="50" t="n"/>
      <c r="F20" s="48" t="n"/>
      <c r="G20" s="47" t="n"/>
      <c r="H20" s="47" t="n"/>
      <c r="I20" s="47" t="n"/>
      <c r="J20" s="47" t="n"/>
      <c r="K20" s="47" t="n"/>
      <c r="L20" s="47" t="n"/>
      <c r="M20" s="50" t="n"/>
      <c r="N20" s="50" t="n"/>
      <c r="O20" s="50" t="n"/>
      <c r="P20" s="48">
        <f>IF($F20="","",IF($J20="Yes",$F20+1,IF($G20="No",$F20+2,IF(N($I20)&gt;2,$F20+3,IF(N($I20)&gt;0,$F20+5,$F20+7)))))</f>
        <v/>
      </c>
      <c r="Q20" s="48">
        <f>IF($P20="","",IF($J20="Yes",$P20+3,IF($G20="No",$P20+5,IF(N($I20)&gt;0,$P20+7,$P20+14))))</f>
        <v/>
      </c>
      <c r="R20" s="48">
        <f>IF($Q20="","",IF($J20="Yes",$Q20+7,IF($G20="No",$Q20+14,$Q20+30)))</f>
        <v/>
      </c>
      <c r="S20" s="47" t="n"/>
      <c r="T20" s="50" t="n"/>
      <c r="U20" s="47">
        <f>IF($F20="","",MIN(24,MAX(1,ROUNDUP(($F20-DayPlan!$C$2+1)/7,0))))</f>
        <v/>
      </c>
      <c r="V20" s="47">
        <f>IF($A20=""," ",4*($J20="Yes")+3*($G20="No")+2*(N($I20)&gt;0)+1*(AND(ISNUMBER($H20),$H20&gt;45))+3*(AND(ISNUMBER($P20),$P20&lt;=TODAY()))-6*($S20="Yes")+(750-ROW())/100000)</f>
        <v/>
      </c>
      <c r="W20" s="47">
        <f>IF(OR($A20="",NOT(ISNUMBER($P20))),"",INT($P20-TODAY()))</f>
        <v/>
      </c>
      <c r="X20" s="47" t="n"/>
    </row>
    <row r="21">
      <c r="A21" s="50" t="n"/>
      <c r="B21" s="47" t="n"/>
      <c r="C21" s="47" t="n"/>
      <c r="D21" s="50" t="n"/>
      <c r="E21" s="50" t="n"/>
      <c r="F21" s="48" t="n"/>
      <c r="G21" s="47" t="n"/>
      <c r="H21" s="47" t="n"/>
      <c r="I21" s="47" t="n"/>
      <c r="J21" s="47" t="n"/>
      <c r="K21" s="47" t="n"/>
      <c r="L21" s="47" t="n"/>
      <c r="M21" s="50" t="n"/>
      <c r="N21" s="50" t="n"/>
      <c r="O21" s="50" t="n"/>
      <c r="P21" s="48">
        <f>IF($F21="","",IF($J21="Yes",$F21+1,IF($G21="No",$F21+2,IF(N($I21)&gt;2,$F21+3,IF(N($I21)&gt;0,$F21+5,$F21+7)))))</f>
        <v/>
      </c>
      <c r="Q21" s="48">
        <f>IF($P21="","",IF($J21="Yes",$P21+3,IF($G21="No",$P21+5,IF(N($I21)&gt;0,$P21+7,$P21+14))))</f>
        <v/>
      </c>
      <c r="R21" s="48">
        <f>IF($Q21="","",IF($J21="Yes",$Q21+7,IF($G21="No",$Q21+14,$Q21+30)))</f>
        <v/>
      </c>
      <c r="S21" s="47" t="n"/>
      <c r="T21" s="50" t="n"/>
      <c r="U21" s="47">
        <f>IF($F21="","",MIN(24,MAX(1,ROUNDUP(($F21-DayPlan!$C$2+1)/7,0))))</f>
        <v/>
      </c>
      <c r="V21" s="47">
        <f>IF($A21=""," ",4*($J21="Yes")+3*($G21="No")+2*(N($I21)&gt;0)+1*(AND(ISNUMBER($H21),$H21&gt;45))+3*(AND(ISNUMBER($P21),$P21&lt;=TODAY()))-6*($S21="Yes")+(750-ROW())/100000)</f>
        <v/>
      </c>
      <c r="W21" s="47">
        <f>IF(OR($A21="",NOT(ISNUMBER($P21))),"",INT($P21-TODAY()))</f>
        <v/>
      </c>
      <c r="X21" s="47" t="n"/>
    </row>
    <row r="22">
      <c r="A22" s="50" t="n"/>
      <c r="B22" s="47" t="n"/>
      <c r="C22" s="47" t="n"/>
      <c r="D22" s="50" t="n"/>
      <c r="E22" s="50" t="n"/>
      <c r="F22" s="48" t="n"/>
      <c r="G22" s="47" t="n"/>
      <c r="H22" s="47" t="n"/>
      <c r="I22" s="47" t="n"/>
      <c r="J22" s="47" t="n"/>
      <c r="K22" s="47" t="n"/>
      <c r="L22" s="47" t="n"/>
      <c r="M22" s="50" t="n"/>
      <c r="N22" s="50" t="n"/>
      <c r="O22" s="50" t="n"/>
      <c r="P22" s="48">
        <f>IF($F22="","",IF($J22="Yes",$F22+1,IF($G22="No",$F22+2,IF(N($I22)&gt;2,$F22+3,IF(N($I22)&gt;0,$F22+5,$F22+7)))))</f>
        <v/>
      </c>
      <c r="Q22" s="48">
        <f>IF($P22="","",IF($J22="Yes",$P22+3,IF($G22="No",$P22+5,IF(N($I22)&gt;0,$P22+7,$P22+14))))</f>
        <v/>
      </c>
      <c r="R22" s="48">
        <f>IF($Q22="","",IF($J22="Yes",$Q22+7,IF($G22="No",$Q22+14,$Q22+30)))</f>
        <v/>
      </c>
      <c r="S22" s="47" t="n"/>
      <c r="T22" s="50" t="n"/>
      <c r="U22" s="47">
        <f>IF($F22="","",MIN(24,MAX(1,ROUNDUP(($F22-DayPlan!$C$2+1)/7,0))))</f>
        <v/>
      </c>
      <c r="V22" s="47">
        <f>IF($A22=""," ",4*($J22="Yes")+3*($G22="No")+2*(N($I22)&gt;0)+1*(AND(ISNUMBER($H22),$H22&gt;45))+3*(AND(ISNUMBER($P22),$P22&lt;=TODAY()))-6*($S22="Yes")+(750-ROW())/100000)</f>
        <v/>
      </c>
      <c r="W22" s="47">
        <f>IF(OR($A22="",NOT(ISNUMBER($P22))),"",INT($P22-TODAY()))</f>
        <v/>
      </c>
      <c r="X22" s="47" t="n"/>
    </row>
    <row r="23">
      <c r="A23" s="50" t="n"/>
      <c r="B23" s="47" t="n"/>
      <c r="C23" s="47" t="n"/>
      <c r="D23" s="50" t="n"/>
      <c r="E23" s="50" t="n"/>
      <c r="F23" s="48" t="n"/>
      <c r="G23" s="47" t="n"/>
      <c r="H23" s="47" t="n"/>
      <c r="I23" s="47" t="n"/>
      <c r="J23" s="47" t="n"/>
      <c r="K23" s="47" t="n"/>
      <c r="L23" s="47" t="n"/>
      <c r="M23" s="50" t="n"/>
      <c r="N23" s="50" t="n"/>
      <c r="O23" s="50" t="n"/>
      <c r="P23" s="48">
        <f>IF($F23="","",IF($J23="Yes",$F23+1,IF($G23="No",$F23+2,IF(N($I23)&gt;2,$F23+3,IF(N($I23)&gt;0,$F23+5,$F23+7)))))</f>
        <v/>
      </c>
      <c r="Q23" s="48">
        <f>IF($P23="","",IF($J23="Yes",$P23+3,IF($G23="No",$P23+5,IF(N($I23)&gt;0,$P23+7,$P23+14))))</f>
        <v/>
      </c>
      <c r="R23" s="48">
        <f>IF($Q23="","",IF($J23="Yes",$Q23+7,IF($G23="No",$Q23+14,$Q23+30)))</f>
        <v/>
      </c>
      <c r="S23" s="47" t="n"/>
      <c r="T23" s="50" t="n"/>
      <c r="U23" s="47">
        <f>IF($F23="","",MIN(24,MAX(1,ROUNDUP(($F23-DayPlan!$C$2+1)/7,0))))</f>
        <v/>
      </c>
      <c r="V23" s="47">
        <f>IF($A23=""," ",4*($J23="Yes")+3*($G23="No")+2*(N($I23)&gt;0)+1*(AND(ISNUMBER($H23),$H23&gt;45))+3*(AND(ISNUMBER($P23),$P23&lt;=TODAY()))-6*($S23="Yes")+(750-ROW())/100000)</f>
        <v/>
      </c>
      <c r="W23" s="47">
        <f>IF(OR($A23="",NOT(ISNUMBER($P23))),"",INT($P23-TODAY()))</f>
        <v/>
      </c>
      <c r="X23" s="47" t="n"/>
    </row>
    <row r="24">
      <c r="A24" s="50" t="n"/>
      <c r="B24" s="47" t="n"/>
      <c r="C24" s="47" t="n"/>
      <c r="D24" s="50" t="n"/>
      <c r="E24" s="50" t="n"/>
      <c r="F24" s="48" t="n"/>
      <c r="G24" s="47" t="n"/>
      <c r="H24" s="47" t="n"/>
      <c r="I24" s="47" t="n"/>
      <c r="J24" s="47" t="n"/>
      <c r="K24" s="47" t="n"/>
      <c r="L24" s="47" t="n"/>
      <c r="M24" s="50" t="n"/>
      <c r="N24" s="50" t="n"/>
      <c r="O24" s="50" t="n"/>
      <c r="P24" s="48">
        <f>IF($F24="","",IF($J24="Yes",$F24+1,IF($G24="No",$F24+2,IF(N($I24)&gt;2,$F24+3,IF(N($I24)&gt;0,$F24+5,$F24+7)))))</f>
        <v/>
      </c>
      <c r="Q24" s="48">
        <f>IF($P24="","",IF($J24="Yes",$P24+3,IF($G24="No",$P24+5,IF(N($I24)&gt;0,$P24+7,$P24+14))))</f>
        <v/>
      </c>
      <c r="R24" s="48">
        <f>IF($Q24="","",IF($J24="Yes",$Q24+7,IF($G24="No",$Q24+14,$Q24+30)))</f>
        <v/>
      </c>
      <c r="S24" s="47" t="n"/>
      <c r="T24" s="50" t="n"/>
      <c r="U24" s="47">
        <f>IF($F24="","",MIN(24,MAX(1,ROUNDUP(($F24-DayPlan!$C$2+1)/7,0))))</f>
        <v/>
      </c>
      <c r="V24" s="47">
        <f>IF($A24=""," ",4*($J24="Yes")+3*($G24="No")+2*(N($I24)&gt;0)+1*(AND(ISNUMBER($H24),$H24&gt;45))+3*(AND(ISNUMBER($P24),$P24&lt;=TODAY()))-6*($S24="Yes")+(750-ROW())/100000)</f>
        <v/>
      </c>
      <c r="W24" s="47">
        <f>IF(OR($A24="",NOT(ISNUMBER($P24))),"",INT($P24-TODAY()))</f>
        <v/>
      </c>
      <c r="X24" s="47" t="n"/>
    </row>
    <row r="25">
      <c r="A25" s="50" t="n"/>
      <c r="B25" s="47" t="n"/>
      <c r="C25" s="47" t="n"/>
      <c r="D25" s="50" t="n"/>
      <c r="E25" s="50" t="n"/>
      <c r="F25" s="48" t="n"/>
      <c r="G25" s="47" t="n"/>
      <c r="H25" s="47" t="n"/>
      <c r="I25" s="47" t="n"/>
      <c r="J25" s="47" t="n"/>
      <c r="K25" s="47" t="n"/>
      <c r="L25" s="47" t="n"/>
      <c r="M25" s="50" t="n"/>
      <c r="N25" s="50" t="n"/>
      <c r="O25" s="50" t="n"/>
      <c r="P25" s="48">
        <f>IF($F25="","",IF($J25="Yes",$F25+1,IF($G25="No",$F25+2,IF(N($I25)&gt;2,$F25+3,IF(N($I25)&gt;0,$F25+5,$F25+7)))))</f>
        <v/>
      </c>
      <c r="Q25" s="48">
        <f>IF($P25="","",IF($J25="Yes",$P25+3,IF($G25="No",$P25+5,IF(N($I25)&gt;0,$P25+7,$P25+14))))</f>
        <v/>
      </c>
      <c r="R25" s="48">
        <f>IF($Q25="","",IF($J25="Yes",$Q25+7,IF($G25="No",$Q25+14,$Q25+30)))</f>
        <v/>
      </c>
      <c r="S25" s="47" t="n"/>
      <c r="T25" s="50" t="n"/>
      <c r="U25" s="47">
        <f>IF($F25="","",MIN(24,MAX(1,ROUNDUP(($F25-DayPlan!$C$2+1)/7,0))))</f>
        <v/>
      </c>
      <c r="V25" s="47">
        <f>IF($A25=""," ",4*($J25="Yes")+3*($G25="No")+2*(N($I25)&gt;0)+1*(AND(ISNUMBER($H25),$H25&gt;45))+3*(AND(ISNUMBER($P25),$P25&lt;=TODAY()))-6*($S25="Yes")+(750-ROW())/100000)</f>
        <v/>
      </c>
      <c r="W25" s="47">
        <f>IF(OR($A25="",NOT(ISNUMBER($P25))),"",INT($P25-TODAY()))</f>
        <v/>
      </c>
      <c r="X25" s="47" t="n"/>
    </row>
    <row r="26">
      <c r="A26" s="50" t="n"/>
      <c r="B26" s="47" t="n"/>
      <c r="C26" s="47" t="n"/>
      <c r="D26" s="50" t="n"/>
      <c r="E26" s="50" t="n"/>
      <c r="F26" s="48" t="n"/>
      <c r="G26" s="47" t="n"/>
      <c r="H26" s="47" t="n"/>
      <c r="I26" s="47" t="n"/>
      <c r="J26" s="47" t="n"/>
      <c r="K26" s="47" t="n"/>
      <c r="L26" s="47" t="n"/>
      <c r="M26" s="50" t="n"/>
      <c r="N26" s="50" t="n"/>
      <c r="O26" s="50" t="n"/>
      <c r="P26" s="48">
        <f>IF($F26="","",IF($J26="Yes",$F26+1,IF($G26="No",$F26+2,IF(N($I26)&gt;2,$F26+3,IF(N($I26)&gt;0,$F26+5,$F26+7)))))</f>
        <v/>
      </c>
      <c r="Q26" s="48">
        <f>IF($P26="","",IF($J26="Yes",$P26+3,IF($G26="No",$P26+5,IF(N($I26)&gt;0,$P26+7,$P26+14))))</f>
        <v/>
      </c>
      <c r="R26" s="48">
        <f>IF($Q26="","",IF($J26="Yes",$Q26+7,IF($G26="No",$Q26+14,$Q26+30)))</f>
        <v/>
      </c>
      <c r="S26" s="47" t="n"/>
      <c r="T26" s="50" t="n"/>
      <c r="U26" s="47">
        <f>IF($F26="","",MIN(24,MAX(1,ROUNDUP(($F26-DayPlan!$C$2+1)/7,0))))</f>
        <v/>
      </c>
      <c r="V26" s="47">
        <f>IF($A26=""," ",4*($J26="Yes")+3*($G26="No")+2*(N($I26)&gt;0)+1*(AND(ISNUMBER($H26),$H26&gt;45))+3*(AND(ISNUMBER($P26),$P26&lt;=TODAY()))-6*($S26="Yes")+(750-ROW())/100000)</f>
        <v/>
      </c>
      <c r="W26" s="47">
        <f>IF(OR($A26="",NOT(ISNUMBER($P26))),"",INT($P26-TODAY()))</f>
        <v/>
      </c>
      <c r="X26" s="47" t="n"/>
    </row>
    <row r="27">
      <c r="A27" s="50" t="n"/>
      <c r="B27" s="47" t="n"/>
      <c r="C27" s="47" t="n"/>
      <c r="D27" s="50" t="n"/>
      <c r="E27" s="50" t="n"/>
      <c r="F27" s="48" t="n"/>
      <c r="G27" s="47" t="n"/>
      <c r="H27" s="47" t="n"/>
      <c r="I27" s="47" t="n"/>
      <c r="J27" s="47" t="n"/>
      <c r="K27" s="47" t="n"/>
      <c r="L27" s="47" t="n"/>
      <c r="M27" s="50" t="n"/>
      <c r="N27" s="50" t="n"/>
      <c r="O27" s="50" t="n"/>
      <c r="P27" s="48">
        <f>IF($F27="","",IF($J27="Yes",$F27+1,IF($G27="No",$F27+2,IF(N($I27)&gt;2,$F27+3,IF(N($I27)&gt;0,$F27+5,$F27+7)))))</f>
        <v/>
      </c>
      <c r="Q27" s="48">
        <f>IF($P27="","",IF($J27="Yes",$P27+3,IF($G27="No",$P27+5,IF(N($I27)&gt;0,$P27+7,$P27+14))))</f>
        <v/>
      </c>
      <c r="R27" s="48">
        <f>IF($Q27="","",IF($J27="Yes",$Q27+7,IF($G27="No",$Q27+14,$Q27+30)))</f>
        <v/>
      </c>
      <c r="S27" s="47" t="n"/>
      <c r="T27" s="50" t="n"/>
      <c r="U27" s="47">
        <f>IF($F27="","",MIN(24,MAX(1,ROUNDUP(($F27-DayPlan!$C$2+1)/7,0))))</f>
        <v/>
      </c>
      <c r="V27" s="47">
        <f>IF($A27=""," ",4*($J27="Yes")+3*($G27="No")+2*(N($I27)&gt;0)+1*(AND(ISNUMBER($H27),$H27&gt;45))+3*(AND(ISNUMBER($P27),$P27&lt;=TODAY()))-6*($S27="Yes")+(750-ROW())/100000)</f>
        <v/>
      </c>
      <c r="W27" s="47">
        <f>IF(OR($A27="",NOT(ISNUMBER($P27))),"",INT($P27-TODAY()))</f>
        <v/>
      </c>
      <c r="X27" s="47" t="n"/>
    </row>
    <row r="28">
      <c r="A28" s="50" t="n"/>
      <c r="B28" s="47" t="n"/>
      <c r="C28" s="47" t="n"/>
      <c r="D28" s="50" t="n"/>
      <c r="E28" s="50" t="n"/>
      <c r="F28" s="48" t="n"/>
      <c r="G28" s="47" t="n"/>
      <c r="H28" s="47" t="n"/>
      <c r="I28" s="47" t="n"/>
      <c r="J28" s="47" t="n"/>
      <c r="K28" s="47" t="n"/>
      <c r="L28" s="47" t="n"/>
      <c r="M28" s="50" t="n"/>
      <c r="N28" s="50" t="n"/>
      <c r="O28" s="50" t="n"/>
      <c r="P28" s="48">
        <f>IF($F28="","",IF($J28="Yes",$F28+1,IF($G28="No",$F28+2,IF(N($I28)&gt;2,$F28+3,IF(N($I28)&gt;0,$F28+5,$F28+7)))))</f>
        <v/>
      </c>
      <c r="Q28" s="48">
        <f>IF($P28="","",IF($J28="Yes",$P28+3,IF($G28="No",$P28+5,IF(N($I28)&gt;0,$P28+7,$P28+14))))</f>
        <v/>
      </c>
      <c r="R28" s="48">
        <f>IF($Q28="","",IF($J28="Yes",$Q28+7,IF($G28="No",$Q28+14,$Q28+30)))</f>
        <v/>
      </c>
      <c r="S28" s="47" t="n"/>
      <c r="T28" s="50" t="n"/>
      <c r="U28" s="47">
        <f>IF($F28="","",MIN(24,MAX(1,ROUNDUP(($F28-DayPlan!$C$2+1)/7,0))))</f>
        <v/>
      </c>
      <c r="V28" s="47">
        <f>IF($A28=""," ",4*($J28="Yes")+3*($G28="No")+2*(N($I28)&gt;0)+1*(AND(ISNUMBER($H28),$H28&gt;45))+3*(AND(ISNUMBER($P28),$P28&lt;=TODAY()))-6*($S28="Yes")+(750-ROW())/100000)</f>
        <v/>
      </c>
      <c r="W28" s="47">
        <f>IF(OR($A28="",NOT(ISNUMBER($P28))),"",INT($P28-TODAY()))</f>
        <v/>
      </c>
      <c r="X28" s="47" t="n"/>
    </row>
    <row r="29">
      <c r="A29" s="50" t="n"/>
      <c r="B29" s="47" t="n"/>
      <c r="C29" s="47" t="n"/>
      <c r="D29" s="50" t="n"/>
      <c r="E29" s="50" t="n"/>
      <c r="F29" s="48" t="n"/>
      <c r="G29" s="47" t="n"/>
      <c r="H29" s="47" t="n"/>
      <c r="I29" s="47" t="n"/>
      <c r="J29" s="47" t="n"/>
      <c r="K29" s="47" t="n"/>
      <c r="L29" s="47" t="n"/>
      <c r="M29" s="50" t="n"/>
      <c r="N29" s="50" t="n"/>
      <c r="O29" s="50" t="n"/>
      <c r="P29" s="48">
        <f>IF($F29="","",IF($J29="Yes",$F29+1,IF($G29="No",$F29+2,IF(N($I29)&gt;2,$F29+3,IF(N($I29)&gt;0,$F29+5,$F29+7)))))</f>
        <v/>
      </c>
      <c r="Q29" s="48">
        <f>IF($P29="","",IF($J29="Yes",$P29+3,IF($G29="No",$P29+5,IF(N($I29)&gt;0,$P29+7,$P29+14))))</f>
        <v/>
      </c>
      <c r="R29" s="48">
        <f>IF($Q29="","",IF($J29="Yes",$Q29+7,IF($G29="No",$Q29+14,$Q29+30)))</f>
        <v/>
      </c>
      <c r="S29" s="47" t="n"/>
      <c r="T29" s="50" t="n"/>
      <c r="U29" s="47">
        <f>IF($F29="","",MIN(24,MAX(1,ROUNDUP(($F29-DayPlan!$C$2+1)/7,0))))</f>
        <v/>
      </c>
      <c r="V29" s="47">
        <f>IF($A29=""," ",4*($J29="Yes")+3*($G29="No")+2*(N($I29)&gt;0)+1*(AND(ISNUMBER($H29),$H29&gt;45))+3*(AND(ISNUMBER($P29),$P29&lt;=TODAY()))-6*($S29="Yes")+(750-ROW())/100000)</f>
        <v/>
      </c>
      <c r="W29" s="47">
        <f>IF(OR($A29="",NOT(ISNUMBER($P29))),"",INT($P29-TODAY()))</f>
        <v/>
      </c>
      <c r="X29" s="47" t="n"/>
    </row>
    <row r="30">
      <c r="A30" s="50" t="n"/>
      <c r="B30" s="47" t="n"/>
      <c r="C30" s="47" t="n"/>
      <c r="D30" s="50" t="n"/>
      <c r="E30" s="50" t="n"/>
      <c r="F30" s="48" t="n"/>
      <c r="G30" s="47" t="n"/>
      <c r="H30" s="47" t="n"/>
      <c r="I30" s="47" t="n"/>
      <c r="J30" s="47" t="n"/>
      <c r="K30" s="47" t="n"/>
      <c r="L30" s="47" t="n"/>
      <c r="M30" s="50" t="n"/>
      <c r="N30" s="50" t="n"/>
      <c r="O30" s="50" t="n"/>
      <c r="P30" s="48">
        <f>IF($F30="","",IF($J30="Yes",$F30+1,IF($G30="No",$F30+2,IF(N($I30)&gt;2,$F30+3,IF(N($I30)&gt;0,$F30+5,$F30+7)))))</f>
        <v/>
      </c>
      <c r="Q30" s="48">
        <f>IF($P30="","",IF($J30="Yes",$P30+3,IF($G30="No",$P30+5,IF(N($I30)&gt;0,$P30+7,$P30+14))))</f>
        <v/>
      </c>
      <c r="R30" s="48">
        <f>IF($Q30="","",IF($J30="Yes",$Q30+7,IF($G30="No",$Q30+14,$Q30+30)))</f>
        <v/>
      </c>
      <c r="S30" s="47" t="n"/>
      <c r="T30" s="50" t="n"/>
      <c r="U30" s="47">
        <f>IF($F30="","",MIN(24,MAX(1,ROUNDUP(($F30-DayPlan!$C$2+1)/7,0))))</f>
        <v/>
      </c>
      <c r="V30" s="47">
        <f>IF($A30=""," ",4*($J30="Yes")+3*($G30="No")+2*(N($I30)&gt;0)+1*(AND(ISNUMBER($H30),$H30&gt;45))+3*(AND(ISNUMBER($P30),$P30&lt;=TODAY()))-6*($S30="Yes")+(750-ROW())/100000)</f>
        <v/>
      </c>
      <c r="W30" s="47">
        <f>IF(OR($A30="",NOT(ISNUMBER($P30))),"",INT($P30-TODAY()))</f>
        <v/>
      </c>
      <c r="X30" s="47" t="n"/>
    </row>
    <row r="31">
      <c r="A31" s="50" t="n"/>
      <c r="B31" s="47" t="n"/>
      <c r="C31" s="47" t="n"/>
      <c r="D31" s="50" t="n"/>
      <c r="E31" s="50" t="n"/>
      <c r="F31" s="48" t="n"/>
      <c r="G31" s="47" t="n"/>
      <c r="H31" s="47" t="n"/>
      <c r="I31" s="47" t="n"/>
      <c r="J31" s="47" t="n"/>
      <c r="K31" s="47" t="n"/>
      <c r="L31" s="47" t="n"/>
      <c r="M31" s="50" t="n"/>
      <c r="N31" s="50" t="n"/>
      <c r="O31" s="50" t="n"/>
      <c r="P31" s="48">
        <f>IF($F31="","",IF($J31="Yes",$F31+1,IF($G31="No",$F31+2,IF(N($I31)&gt;2,$F31+3,IF(N($I31)&gt;0,$F31+5,$F31+7)))))</f>
        <v/>
      </c>
      <c r="Q31" s="48">
        <f>IF($P31="","",IF($J31="Yes",$P31+3,IF($G31="No",$P31+5,IF(N($I31)&gt;0,$P31+7,$P31+14))))</f>
        <v/>
      </c>
      <c r="R31" s="48">
        <f>IF($Q31="","",IF($J31="Yes",$Q31+7,IF($G31="No",$Q31+14,$Q31+30)))</f>
        <v/>
      </c>
      <c r="S31" s="47" t="n"/>
      <c r="T31" s="50" t="n"/>
      <c r="U31" s="47">
        <f>IF($F31="","",MIN(24,MAX(1,ROUNDUP(($F31-DayPlan!$C$2+1)/7,0))))</f>
        <v/>
      </c>
      <c r="V31" s="47">
        <f>IF($A31=""," ",4*($J31="Yes")+3*($G31="No")+2*(N($I31)&gt;0)+1*(AND(ISNUMBER($H31),$H31&gt;45))+3*(AND(ISNUMBER($P31),$P31&lt;=TODAY()))-6*($S31="Yes")+(750-ROW())/100000)</f>
        <v/>
      </c>
      <c r="W31" s="47">
        <f>IF(OR($A31="",NOT(ISNUMBER($P31))),"",INT($P31-TODAY()))</f>
        <v/>
      </c>
      <c r="X31" s="47" t="n"/>
    </row>
    <row r="32">
      <c r="A32" s="50" t="n"/>
      <c r="B32" s="47" t="n"/>
      <c r="C32" s="47" t="n"/>
      <c r="D32" s="50" t="n"/>
      <c r="E32" s="50" t="n"/>
      <c r="F32" s="48" t="n"/>
      <c r="G32" s="47" t="n"/>
      <c r="H32" s="47" t="n"/>
      <c r="I32" s="47" t="n"/>
      <c r="J32" s="47" t="n"/>
      <c r="K32" s="47" t="n"/>
      <c r="L32" s="47" t="n"/>
      <c r="M32" s="50" t="n"/>
      <c r="N32" s="50" t="n"/>
      <c r="O32" s="50" t="n"/>
      <c r="P32" s="48">
        <f>IF($F32="","",IF($J32="Yes",$F32+1,IF($G32="No",$F32+2,IF(N($I32)&gt;2,$F32+3,IF(N($I32)&gt;0,$F32+5,$F32+7)))))</f>
        <v/>
      </c>
      <c r="Q32" s="48">
        <f>IF($P32="","",IF($J32="Yes",$P32+3,IF($G32="No",$P32+5,IF(N($I32)&gt;0,$P32+7,$P32+14))))</f>
        <v/>
      </c>
      <c r="R32" s="48">
        <f>IF($Q32="","",IF($J32="Yes",$Q32+7,IF($G32="No",$Q32+14,$Q32+30)))</f>
        <v/>
      </c>
      <c r="S32" s="47" t="n"/>
      <c r="T32" s="50" t="n"/>
      <c r="U32" s="47">
        <f>IF($F32="","",MIN(24,MAX(1,ROUNDUP(($F32-DayPlan!$C$2+1)/7,0))))</f>
        <v/>
      </c>
      <c r="V32" s="47">
        <f>IF($A32=""," ",4*($J32="Yes")+3*($G32="No")+2*(N($I32)&gt;0)+1*(AND(ISNUMBER($H32),$H32&gt;45))+3*(AND(ISNUMBER($P32),$P32&lt;=TODAY()))-6*($S32="Yes")+(750-ROW())/100000)</f>
        <v/>
      </c>
      <c r="W32" s="47">
        <f>IF(OR($A32="",NOT(ISNUMBER($P32))),"",INT($P32-TODAY()))</f>
        <v/>
      </c>
      <c r="X32" s="47" t="n"/>
    </row>
    <row r="33">
      <c r="A33" s="50" t="n"/>
      <c r="B33" s="47" t="n"/>
      <c r="C33" s="47" t="n"/>
      <c r="D33" s="50" t="n"/>
      <c r="E33" s="50" t="n"/>
      <c r="F33" s="48" t="n"/>
      <c r="G33" s="47" t="n"/>
      <c r="H33" s="47" t="n"/>
      <c r="I33" s="47" t="n"/>
      <c r="J33" s="47" t="n"/>
      <c r="K33" s="47" t="n"/>
      <c r="L33" s="47" t="n"/>
      <c r="M33" s="50" t="n"/>
      <c r="N33" s="50" t="n"/>
      <c r="O33" s="50" t="n"/>
      <c r="P33" s="48">
        <f>IF($F33="","",IF($J33="Yes",$F33+1,IF($G33="No",$F33+2,IF(N($I33)&gt;2,$F33+3,IF(N($I33)&gt;0,$F33+5,$F33+7)))))</f>
        <v/>
      </c>
      <c r="Q33" s="48">
        <f>IF($P33="","",IF($J33="Yes",$P33+3,IF($G33="No",$P33+5,IF(N($I33)&gt;0,$P33+7,$P33+14))))</f>
        <v/>
      </c>
      <c r="R33" s="48">
        <f>IF($Q33="","",IF($J33="Yes",$Q33+7,IF($G33="No",$Q33+14,$Q33+30)))</f>
        <v/>
      </c>
      <c r="S33" s="47" t="n"/>
      <c r="T33" s="50" t="n"/>
      <c r="U33" s="47">
        <f>IF($F33="","",MIN(24,MAX(1,ROUNDUP(($F33-DayPlan!$C$2+1)/7,0))))</f>
        <v/>
      </c>
      <c r="V33" s="47">
        <f>IF($A33=""," ",4*($J33="Yes")+3*($G33="No")+2*(N($I33)&gt;0)+1*(AND(ISNUMBER($H33),$H33&gt;45))+3*(AND(ISNUMBER($P33),$P33&lt;=TODAY()))-6*($S33="Yes")+(750-ROW())/100000)</f>
        <v/>
      </c>
      <c r="W33" s="47">
        <f>IF(OR($A33="",NOT(ISNUMBER($P33))),"",INT($P33-TODAY()))</f>
        <v/>
      </c>
      <c r="X33" s="47" t="n"/>
    </row>
    <row r="34">
      <c r="A34" s="50" t="n"/>
      <c r="B34" s="47" t="n"/>
      <c r="C34" s="47" t="n"/>
      <c r="D34" s="50" t="n"/>
      <c r="E34" s="50" t="n"/>
      <c r="F34" s="48" t="n"/>
      <c r="G34" s="47" t="n"/>
      <c r="H34" s="47" t="n"/>
      <c r="I34" s="47" t="n"/>
      <c r="J34" s="47" t="n"/>
      <c r="K34" s="47" t="n"/>
      <c r="L34" s="47" t="n"/>
      <c r="M34" s="50" t="n"/>
      <c r="N34" s="50" t="n"/>
      <c r="O34" s="50" t="n"/>
      <c r="P34" s="48">
        <f>IF($F34="","",IF($J34="Yes",$F34+1,IF($G34="No",$F34+2,IF(N($I34)&gt;2,$F34+3,IF(N($I34)&gt;0,$F34+5,$F34+7)))))</f>
        <v/>
      </c>
      <c r="Q34" s="48">
        <f>IF($P34="","",IF($J34="Yes",$P34+3,IF($G34="No",$P34+5,IF(N($I34)&gt;0,$P34+7,$P34+14))))</f>
        <v/>
      </c>
      <c r="R34" s="48">
        <f>IF($Q34="","",IF($J34="Yes",$Q34+7,IF($G34="No",$Q34+14,$Q34+30)))</f>
        <v/>
      </c>
      <c r="S34" s="47" t="n"/>
      <c r="T34" s="50" t="n"/>
      <c r="U34" s="47">
        <f>IF($F34="","",MIN(24,MAX(1,ROUNDUP(($F34-DayPlan!$C$2+1)/7,0))))</f>
        <v/>
      </c>
      <c r="V34" s="47">
        <f>IF($A34=""," ",4*($J34="Yes")+3*($G34="No")+2*(N($I34)&gt;0)+1*(AND(ISNUMBER($H34),$H34&gt;45))+3*(AND(ISNUMBER($P34),$P34&lt;=TODAY()))-6*($S34="Yes")+(750-ROW())/100000)</f>
        <v/>
      </c>
      <c r="W34" s="47">
        <f>IF(OR($A34="",NOT(ISNUMBER($P34))),"",INT($P34-TODAY()))</f>
        <v/>
      </c>
      <c r="X34" s="47" t="n"/>
    </row>
    <row r="35">
      <c r="A35" s="50" t="n"/>
      <c r="B35" s="47" t="n"/>
      <c r="C35" s="47" t="n"/>
      <c r="D35" s="50" t="n"/>
      <c r="E35" s="50" t="n"/>
      <c r="F35" s="48" t="n"/>
      <c r="G35" s="47" t="n"/>
      <c r="H35" s="47" t="n"/>
      <c r="I35" s="47" t="n"/>
      <c r="J35" s="47" t="n"/>
      <c r="K35" s="47" t="n"/>
      <c r="L35" s="47" t="n"/>
      <c r="M35" s="50" t="n"/>
      <c r="N35" s="50" t="n"/>
      <c r="O35" s="50" t="n"/>
      <c r="P35" s="48">
        <f>IF($F35="","",IF($J35="Yes",$F35+1,IF($G35="No",$F35+2,IF(N($I35)&gt;2,$F35+3,IF(N($I35)&gt;0,$F35+5,$F35+7)))))</f>
        <v/>
      </c>
      <c r="Q35" s="48">
        <f>IF($P35="","",IF($J35="Yes",$P35+3,IF($G35="No",$P35+5,IF(N($I35)&gt;0,$P35+7,$P35+14))))</f>
        <v/>
      </c>
      <c r="R35" s="48">
        <f>IF($Q35="","",IF($J35="Yes",$Q35+7,IF($G35="No",$Q35+14,$Q35+30)))</f>
        <v/>
      </c>
      <c r="S35" s="47" t="n"/>
      <c r="T35" s="50" t="n"/>
      <c r="U35" s="47">
        <f>IF($F35="","",MIN(24,MAX(1,ROUNDUP(($F35-DayPlan!$C$2+1)/7,0))))</f>
        <v/>
      </c>
      <c r="V35" s="47">
        <f>IF($A35=""," ",4*($J35="Yes")+3*($G35="No")+2*(N($I35)&gt;0)+1*(AND(ISNUMBER($H35),$H35&gt;45))+3*(AND(ISNUMBER($P35),$P35&lt;=TODAY()))-6*($S35="Yes")+(750-ROW())/100000)</f>
        <v/>
      </c>
      <c r="W35" s="47">
        <f>IF(OR($A35="",NOT(ISNUMBER($P35))),"",INT($P35-TODAY()))</f>
        <v/>
      </c>
      <c r="X35" s="47" t="n"/>
    </row>
    <row r="36">
      <c r="A36" s="50" t="n"/>
      <c r="B36" s="47" t="n"/>
      <c r="C36" s="47" t="n"/>
      <c r="D36" s="50" t="n"/>
      <c r="E36" s="50" t="n"/>
      <c r="F36" s="48" t="n"/>
      <c r="G36" s="47" t="n"/>
      <c r="H36" s="47" t="n"/>
      <c r="I36" s="47" t="n"/>
      <c r="J36" s="47" t="n"/>
      <c r="K36" s="47" t="n"/>
      <c r="L36" s="47" t="n"/>
      <c r="M36" s="50" t="n"/>
      <c r="N36" s="50" t="n"/>
      <c r="O36" s="50" t="n"/>
      <c r="P36" s="48">
        <f>IF($F36="","",IF($J36="Yes",$F36+1,IF($G36="No",$F36+2,IF(N($I36)&gt;2,$F36+3,IF(N($I36)&gt;0,$F36+5,$F36+7)))))</f>
        <v/>
      </c>
      <c r="Q36" s="48">
        <f>IF($P36="","",IF($J36="Yes",$P36+3,IF($G36="No",$P36+5,IF(N($I36)&gt;0,$P36+7,$P36+14))))</f>
        <v/>
      </c>
      <c r="R36" s="48">
        <f>IF($Q36="","",IF($J36="Yes",$Q36+7,IF($G36="No",$Q36+14,$Q36+30)))</f>
        <v/>
      </c>
      <c r="S36" s="47" t="n"/>
      <c r="T36" s="50" t="n"/>
      <c r="U36" s="47">
        <f>IF($F36="","",MIN(24,MAX(1,ROUNDUP(($F36-DayPlan!$C$2+1)/7,0))))</f>
        <v/>
      </c>
      <c r="V36" s="47">
        <f>IF($A36=""," ",4*($J36="Yes")+3*($G36="No")+2*(N($I36)&gt;0)+1*(AND(ISNUMBER($H36),$H36&gt;45))+3*(AND(ISNUMBER($P36),$P36&lt;=TODAY()))-6*($S36="Yes")+(750-ROW())/100000)</f>
        <v/>
      </c>
      <c r="W36" s="47">
        <f>IF(OR($A36="",NOT(ISNUMBER($P36))),"",INT($P36-TODAY()))</f>
        <v/>
      </c>
      <c r="X36" s="47" t="n"/>
    </row>
    <row r="37">
      <c r="A37" s="50" t="n"/>
      <c r="B37" s="47" t="n"/>
      <c r="C37" s="47" t="n"/>
      <c r="D37" s="50" t="n"/>
      <c r="E37" s="50" t="n"/>
      <c r="F37" s="48" t="n"/>
      <c r="G37" s="47" t="n"/>
      <c r="H37" s="47" t="n"/>
      <c r="I37" s="47" t="n"/>
      <c r="J37" s="47" t="n"/>
      <c r="K37" s="47" t="n"/>
      <c r="L37" s="47" t="n"/>
      <c r="M37" s="50" t="n"/>
      <c r="N37" s="50" t="n"/>
      <c r="O37" s="50" t="n"/>
      <c r="P37" s="48">
        <f>IF($F37="","",IF($J37="Yes",$F37+1,IF($G37="No",$F37+2,IF(N($I37)&gt;2,$F37+3,IF(N($I37)&gt;0,$F37+5,$F37+7)))))</f>
        <v/>
      </c>
      <c r="Q37" s="48">
        <f>IF($P37="","",IF($J37="Yes",$P37+3,IF($G37="No",$P37+5,IF(N($I37)&gt;0,$P37+7,$P37+14))))</f>
        <v/>
      </c>
      <c r="R37" s="48">
        <f>IF($Q37="","",IF($J37="Yes",$Q37+7,IF($G37="No",$Q37+14,$Q37+30)))</f>
        <v/>
      </c>
      <c r="S37" s="47" t="n"/>
      <c r="T37" s="50" t="n"/>
      <c r="U37" s="47">
        <f>IF($F37="","",MIN(24,MAX(1,ROUNDUP(($F37-DayPlan!$C$2+1)/7,0))))</f>
        <v/>
      </c>
      <c r="V37" s="47">
        <f>IF($A37=""," ",4*($J37="Yes")+3*($G37="No")+2*(N($I37)&gt;0)+1*(AND(ISNUMBER($H37),$H37&gt;45))+3*(AND(ISNUMBER($P37),$P37&lt;=TODAY()))-6*($S37="Yes")+(750-ROW())/100000)</f>
        <v/>
      </c>
      <c r="W37" s="47">
        <f>IF(OR($A37="",NOT(ISNUMBER($P37))),"",INT($P37-TODAY()))</f>
        <v/>
      </c>
      <c r="X37" s="47" t="n"/>
    </row>
    <row r="38">
      <c r="A38" s="50" t="n"/>
      <c r="B38" s="47" t="n"/>
      <c r="C38" s="47" t="n"/>
      <c r="D38" s="50" t="n"/>
      <c r="E38" s="50" t="n"/>
      <c r="F38" s="48" t="n"/>
      <c r="G38" s="47" t="n"/>
      <c r="H38" s="47" t="n"/>
      <c r="I38" s="47" t="n"/>
      <c r="J38" s="47" t="n"/>
      <c r="K38" s="47" t="n"/>
      <c r="L38" s="47" t="n"/>
      <c r="M38" s="50" t="n"/>
      <c r="N38" s="50" t="n"/>
      <c r="O38" s="50" t="n"/>
      <c r="P38" s="48">
        <f>IF($F38="","",IF($J38="Yes",$F38+1,IF($G38="No",$F38+2,IF(N($I38)&gt;2,$F38+3,IF(N($I38)&gt;0,$F38+5,$F38+7)))))</f>
        <v/>
      </c>
      <c r="Q38" s="48">
        <f>IF($P38="","",IF($J38="Yes",$P38+3,IF($G38="No",$P38+5,IF(N($I38)&gt;0,$P38+7,$P38+14))))</f>
        <v/>
      </c>
      <c r="R38" s="48">
        <f>IF($Q38="","",IF($J38="Yes",$Q38+7,IF($G38="No",$Q38+14,$Q38+30)))</f>
        <v/>
      </c>
      <c r="S38" s="47" t="n"/>
      <c r="T38" s="50" t="n"/>
      <c r="U38" s="47">
        <f>IF($F38="","",MIN(24,MAX(1,ROUNDUP(($F38-DayPlan!$C$2+1)/7,0))))</f>
        <v/>
      </c>
      <c r="V38" s="47">
        <f>IF($A38=""," ",4*($J38="Yes")+3*($G38="No")+2*(N($I38)&gt;0)+1*(AND(ISNUMBER($H38),$H38&gt;45))+3*(AND(ISNUMBER($P38),$P38&lt;=TODAY()))-6*($S38="Yes")+(750-ROW())/100000)</f>
        <v/>
      </c>
      <c r="W38" s="47">
        <f>IF(OR($A38="",NOT(ISNUMBER($P38))),"",INT($P38-TODAY()))</f>
        <v/>
      </c>
      <c r="X38" s="47" t="n"/>
    </row>
    <row r="39">
      <c r="A39" s="50" t="n"/>
      <c r="B39" s="47" t="n"/>
      <c r="C39" s="47" t="n"/>
      <c r="D39" s="50" t="n"/>
      <c r="E39" s="50" t="n"/>
      <c r="F39" s="48" t="n"/>
      <c r="G39" s="47" t="n"/>
      <c r="H39" s="47" t="n"/>
      <c r="I39" s="47" t="n"/>
      <c r="J39" s="47" t="n"/>
      <c r="K39" s="47" t="n"/>
      <c r="L39" s="47" t="n"/>
      <c r="M39" s="50" t="n"/>
      <c r="N39" s="50" t="n"/>
      <c r="O39" s="50" t="n"/>
      <c r="P39" s="48">
        <f>IF($F39="","",IF($J39="Yes",$F39+1,IF($G39="No",$F39+2,IF(N($I39)&gt;2,$F39+3,IF(N($I39)&gt;0,$F39+5,$F39+7)))))</f>
        <v/>
      </c>
      <c r="Q39" s="48">
        <f>IF($P39="","",IF($J39="Yes",$P39+3,IF($G39="No",$P39+5,IF(N($I39)&gt;0,$P39+7,$P39+14))))</f>
        <v/>
      </c>
      <c r="R39" s="48">
        <f>IF($Q39="","",IF($J39="Yes",$Q39+7,IF($G39="No",$Q39+14,$Q39+30)))</f>
        <v/>
      </c>
      <c r="S39" s="47" t="n"/>
      <c r="T39" s="50" t="n"/>
      <c r="U39" s="47">
        <f>IF($F39="","",MIN(24,MAX(1,ROUNDUP(($F39-DayPlan!$C$2+1)/7,0))))</f>
        <v/>
      </c>
      <c r="V39" s="47">
        <f>IF($A39=""," ",4*($J39="Yes")+3*($G39="No")+2*(N($I39)&gt;0)+1*(AND(ISNUMBER($H39),$H39&gt;45))+3*(AND(ISNUMBER($P39),$P39&lt;=TODAY()))-6*($S39="Yes")+(750-ROW())/100000)</f>
        <v/>
      </c>
      <c r="W39" s="47">
        <f>IF(OR($A39="",NOT(ISNUMBER($P39))),"",INT($P39-TODAY()))</f>
        <v/>
      </c>
      <c r="X39" s="47" t="n"/>
    </row>
    <row r="40">
      <c r="A40" s="50" t="n"/>
      <c r="B40" s="47" t="n"/>
      <c r="C40" s="47" t="n"/>
      <c r="D40" s="50" t="n"/>
      <c r="E40" s="50" t="n"/>
      <c r="F40" s="48" t="n"/>
      <c r="G40" s="47" t="n"/>
      <c r="H40" s="47" t="n"/>
      <c r="I40" s="47" t="n"/>
      <c r="J40" s="47" t="n"/>
      <c r="K40" s="47" t="n"/>
      <c r="L40" s="47" t="n"/>
      <c r="M40" s="50" t="n"/>
      <c r="N40" s="50" t="n"/>
      <c r="O40" s="50" t="n"/>
      <c r="P40" s="48">
        <f>IF($F40="","",IF($J40="Yes",$F40+1,IF($G40="No",$F40+2,IF(N($I40)&gt;2,$F40+3,IF(N($I40)&gt;0,$F40+5,$F40+7)))))</f>
        <v/>
      </c>
      <c r="Q40" s="48">
        <f>IF($P40="","",IF($J40="Yes",$P40+3,IF($G40="No",$P40+5,IF(N($I40)&gt;0,$P40+7,$P40+14))))</f>
        <v/>
      </c>
      <c r="R40" s="48">
        <f>IF($Q40="","",IF($J40="Yes",$Q40+7,IF($G40="No",$Q40+14,$Q40+30)))</f>
        <v/>
      </c>
      <c r="S40" s="47" t="n"/>
      <c r="T40" s="50" t="n"/>
      <c r="U40" s="47">
        <f>IF($F40="","",MIN(24,MAX(1,ROUNDUP(($F40-DayPlan!$C$2+1)/7,0))))</f>
        <v/>
      </c>
      <c r="V40" s="47">
        <f>IF($A40=""," ",4*($J40="Yes")+3*($G40="No")+2*(N($I40)&gt;0)+1*(AND(ISNUMBER($H40),$H40&gt;45))+3*(AND(ISNUMBER($P40),$P40&lt;=TODAY()))-6*($S40="Yes")+(750-ROW())/100000)</f>
        <v/>
      </c>
      <c r="W40" s="47">
        <f>IF(OR($A40="",NOT(ISNUMBER($P40))),"",INT($P40-TODAY()))</f>
        <v/>
      </c>
      <c r="X40" s="47" t="n"/>
    </row>
    <row r="41">
      <c r="A41" s="50" t="n"/>
      <c r="B41" s="47" t="n"/>
      <c r="C41" s="47" t="n"/>
      <c r="D41" s="50" t="n"/>
      <c r="E41" s="50" t="n"/>
      <c r="F41" s="48" t="n"/>
      <c r="G41" s="47" t="n"/>
      <c r="H41" s="47" t="n"/>
      <c r="I41" s="47" t="n"/>
      <c r="J41" s="47" t="n"/>
      <c r="K41" s="47" t="n"/>
      <c r="L41" s="47" t="n"/>
      <c r="M41" s="50" t="n"/>
      <c r="N41" s="50" t="n"/>
      <c r="O41" s="50" t="n"/>
      <c r="P41" s="48">
        <f>IF($F41="","",IF($J41="Yes",$F41+1,IF($G41="No",$F41+2,IF(N($I41)&gt;2,$F41+3,IF(N($I41)&gt;0,$F41+5,$F41+7)))))</f>
        <v/>
      </c>
      <c r="Q41" s="48">
        <f>IF($P41="","",IF($J41="Yes",$P41+3,IF($G41="No",$P41+5,IF(N($I41)&gt;0,$P41+7,$P41+14))))</f>
        <v/>
      </c>
      <c r="R41" s="48">
        <f>IF($Q41="","",IF($J41="Yes",$Q41+7,IF($G41="No",$Q41+14,$Q41+30)))</f>
        <v/>
      </c>
      <c r="S41" s="47" t="n"/>
      <c r="T41" s="50" t="n"/>
      <c r="U41" s="47">
        <f>IF($F41="","",MIN(24,MAX(1,ROUNDUP(($F41-DayPlan!$C$2+1)/7,0))))</f>
        <v/>
      </c>
      <c r="V41" s="47">
        <f>IF($A41=""," ",4*($J41="Yes")+3*($G41="No")+2*(N($I41)&gt;0)+1*(AND(ISNUMBER($H41),$H41&gt;45))+3*(AND(ISNUMBER($P41),$P41&lt;=TODAY()))-6*($S41="Yes")+(750-ROW())/100000)</f>
        <v/>
      </c>
      <c r="W41" s="47">
        <f>IF(OR($A41="",NOT(ISNUMBER($P41))),"",INT($P41-TODAY()))</f>
        <v/>
      </c>
      <c r="X41" s="47" t="n"/>
    </row>
    <row r="42">
      <c r="A42" s="50" t="n"/>
      <c r="B42" s="47" t="n"/>
      <c r="C42" s="47" t="n"/>
      <c r="D42" s="50" t="n"/>
      <c r="E42" s="50" t="n"/>
      <c r="F42" s="48" t="n"/>
      <c r="G42" s="47" t="n"/>
      <c r="H42" s="47" t="n"/>
      <c r="I42" s="47" t="n"/>
      <c r="J42" s="47" t="n"/>
      <c r="K42" s="47" t="n"/>
      <c r="L42" s="47" t="n"/>
      <c r="M42" s="50" t="n"/>
      <c r="N42" s="50" t="n"/>
      <c r="O42" s="50" t="n"/>
      <c r="P42" s="48">
        <f>IF($F42="","",IF($J42="Yes",$F42+1,IF($G42="No",$F42+2,IF(N($I42)&gt;2,$F42+3,IF(N($I42)&gt;0,$F42+5,$F42+7)))))</f>
        <v/>
      </c>
      <c r="Q42" s="48">
        <f>IF($P42="","",IF($J42="Yes",$P42+3,IF($G42="No",$P42+5,IF(N($I42)&gt;0,$P42+7,$P42+14))))</f>
        <v/>
      </c>
      <c r="R42" s="48">
        <f>IF($Q42="","",IF($J42="Yes",$Q42+7,IF($G42="No",$Q42+14,$Q42+30)))</f>
        <v/>
      </c>
      <c r="S42" s="47" t="n"/>
      <c r="T42" s="50" t="n"/>
      <c r="U42" s="47">
        <f>IF($F42="","",MIN(24,MAX(1,ROUNDUP(($F42-DayPlan!$C$2+1)/7,0))))</f>
        <v/>
      </c>
      <c r="V42" s="47">
        <f>IF($A42=""," ",4*($J42="Yes")+3*($G42="No")+2*(N($I42)&gt;0)+1*(AND(ISNUMBER($H42),$H42&gt;45))+3*(AND(ISNUMBER($P42),$P42&lt;=TODAY()))-6*($S42="Yes")+(750-ROW())/100000)</f>
        <v/>
      </c>
      <c r="W42" s="47">
        <f>IF(OR($A42="",NOT(ISNUMBER($P42))),"",INT($P42-TODAY()))</f>
        <v/>
      </c>
      <c r="X42" s="47" t="n"/>
    </row>
    <row r="43">
      <c r="A43" s="50" t="n"/>
      <c r="B43" s="47" t="n"/>
      <c r="C43" s="47" t="n"/>
      <c r="D43" s="50" t="n"/>
      <c r="E43" s="50" t="n"/>
      <c r="F43" s="48" t="n"/>
      <c r="G43" s="47" t="n"/>
      <c r="H43" s="47" t="n"/>
      <c r="I43" s="47" t="n"/>
      <c r="J43" s="47" t="n"/>
      <c r="K43" s="47" t="n"/>
      <c r="L43" s="47" t="n"/>
      <c r="M43" s="50" t="n"/>
      <c r="N43" s="50" t="n"/>
      <c r="O43" s="50" t="n"/>
      <c r="P43" s="48">
        <f>IF($F43="","",IF($J43="Yes",$F43+1,IF($G43="No",$F43+2,IF(N($I43)&gt;2,$F43+3,IF(N($I43)&gt;0,$F43+5,$F43+7)))))</f>
        <v/>
      </c>
      <c r="Q43" s="48">
        <f>IF($P43="","",IF($J43="Yes",$P43+3,IF($G43="No",$P43+5,IF(N($I43)&gt;0,$P43+7,$P43+14))))</f>
        <v/>
      </c>
      <c r="R43" s="48">
        <f>IF($Q43="","",IF($J43="Yes",$Q43+7,IF($G43="No",$Q43+14,$Q43+30)))</f>
        <v/>
      </c>
      <c r="S43" s="47" t="n"/>
      <c r="T43" s="50" t="n"/>
      <c r="U43" s="47">
        <f>IF($F43="","",MIN(24,MAX(1,ROUNDUP(($F43-DayPlan!$C$2+1)/7,0))))</f>
        <v/>
      </c>
      <c r="V43" s="47">
        <f>IF($A43=""," ",4*($J43="Yes")+3*($G43="No")+2*(N($I43)&gt;0)+1*(AND(ISNUMBER($H43),$H43&gt;45))+3*(AND(ISNUMBER($P43),$P43&lt;=TODAY()))-6*($S43="Yes")+(750-ROW())/100000)</f>
        <v/>
      </c>
      <c r="W43" s="47">
        <f>IF(OR($A43="",NOT(ISNUMBER($P43))),"",INT($P43-TODAY()))</f>
        <v/>
      </c>
      <c r="X43" s="47" t="n"/>
    </row>
    <row r="44">
      <c r="A44" s="50" t="n"/>
      <c r="B44" s="47" t="n"/>
      <c r="C44" s="47" t="n"/>
      <c r="D44" s="50" t="n"/>
      <c r="E44" s="50" t="n"/>
      <c r="F44" s="48" t="n"/>
      <c r="G44" s="47" t="n"/>
      <c r="H44" s="47" t="n"/>
      <c r="I44" s="47" t="n"/>
      <c r="J44" s="47" t="n"/>
      <c r="K44" s="47" t="n"/>
      <c r="L44" s="47" t="n"/>
      <c r="M44" s="50" t="n"/>
      <c r="N44" s="50" t="n"/>
      <c r="O44" s="50" t="n"/>
      <c r="P44" s="48">
        <f>IF($F44="","",IF($J44="Yes",$F44+1,IF($G44="No",$F44+2,IF(N($I44)&gt;2,$F44+3,IF(N($I44)&gt;0,$F44+5,$F44+7)))))</f>
        <v/>
      </c>
      <c r="Q44" s="48">
        <f>IF($P44="","",IF($J44="Yes",$P44+3,IF($G44="No",$P44+5,IF(N($I44)&gt;0,$P44+7,$P44+14))))</f>
        <v/>
      </c>
      <c r="R44" s="48">
        <f>IF($Q44="","",IF($J44="Yes",$Q44+7,IF($G44="No",$Q44+14,$Q44+30)))</f>
        <v/>
      </c>
      <c r="S44" s="47" t="n"/>
      <c r="T44" s="50" t="n"/>
      <c r="U44" s="47">
        <f>IF($F44="","",MIN(24,MAX(1,ROUNDUP(($F44-DayPlan!$C$2+1)/7,0))))</f>
        <v/>
      </c>
      <c r="V44" s="47">
        <f>IF($A44=""," ",4*($J44="Yes")+3*($G44="No")+2*(N($I44)&gt;0)+1*(AND(ISNUMBER($H44),$H44&gt;45))+3*(AND(ISNUMBER($P44),$P44&lt;=TODAY()))-6*($S44="Yes")+(750-ROW())/100000)</f>
        <v/>
      </c>
      <c r="W44" s="47">
        <f>IF(OR($A44="",NOT(ISNUMBER($P44))),"",INT($P44-TODAY()))</f>
        <v/>
      </c>
      <c r="X44" s="47" t="n"/>
    </row>
    <row r="45">
      <c r="A45" s="50" t="n"/>
      <c r="B45" s="47" t="n"/>
      <c r="C45" s="47" t="n"/>
      <c r="D45" s="50" t="n"/>
      <c r="E45" s="50" t="n"/>
      <c r="F45" s="48" t="n"/>
      <c r="G45" s="47" t="n"/>
      <c r="H45" s="47" t="n"/>
      <c r="I45" s="47" t="n"/>
      <c r="J45" s="47" t="n"/>
      <c r="K45" s="47" t="n"/>
      <c r="L45" s="47" t="n"/>
      <c r="M45" s="50" t="n"/>
      <c r="N45" s="50" t="n"/>
      <c r="O45" s="50" t="n"/>
      <c r="P45" s="48">
        <f>IF($F45="","",IF($J45="Yes",$F45+1,IF($G45="No",$F45+2,IF(N($I45)&gt;2,$F45+3,IF(N($I45)&gt;0,$F45+5,$F45+7)))))</f>
        <v/>
      </c>
      <c r="Q45" s="48">
        <f>IF($P45="","",IF($J45="Yes",$P45+3,IF($G45="No",$P45+5,IF(N($I45)&gt;0,$P45+7,$P45+14))))</f>
        <v/>
      </c>
      <c r="R45" s="48">
        <f>IF($Q45="","",IF($J45="Yes",$Q45+7,IF($G45="No",$Q45+14,$Q45+30)))</f>
        <v/>
      </c>
      <c r="S45" s="47" t="n"/>
      <c r="T45" s="50" t="n"/>
      <c r="U45" s="47">
        <f>IF($F45="","",MIN(24,MAX(1,ROUNDUP(($F45-DayPlan!$C$2+1)/7,0))))</f>
        <v/>
      </c>
      <c r="V45" s="47">
        <f>IF($A45=""," ",4*($J45="Yes")+3*($G45="No")+2*(N($I45)&gt;0)+1*(AND(ISNUMBER($H45),$H45&gt;45))+3*(AND(ISNUMBER($P45),$P45&lt;=TODAY()))-6*($S45="Yes")+(750-ROW())/100000)</f>
        <v/>
      </c>
      <c r="W45" s="47">
        <f>IF(OR($A45="",NOT(ISNUMBER($P45))),"",INT($P45-TODAY()))</f>
        <v/>
      </c>
      <c r="X45" s="47" t="n"/>
    </row>
    <row r="46">
      <c r="A46" s="50" t="n"/>
      <c r="B46" s="47" t="n"/>
      <c r="C46" s="47" t="n"/>
      <c r="D46" s="50" t="n"/>
      <c r="E46" s="50" t="n"/>
      <c r="F46" s="48" t="n"/>
      <c r="G46" s="47" t="n"/>
      <c r="H46" s="47" t="n"/>
      <c r="I46" s="47" t="n"/>
      <c r="J46" s="47" t="n"/>
      <c r="K46" s="47" t="n"/>
      <c r="L46" s="47" t="n"/>
      <c r="M46" s="50" t="n"/>
      <c r="N46" s="50" t="n"/>
      <c r="O46" s="50" t="n"/>
      <c r="P46" s="48">
        <f>IF($F46="","",IF($J46="Yes",$F46+1,IF($G46="No",$F46+2,IF(N($I46)&gt;2,$F46+3,IF(N($I46)&gt;0,$F46+5,$F46+7)))))</f>
        <v/>
      </c>
      <c r="Q46" s="48">
        <f>IF($P46="","",IF($J46="Yes",$P46+3,IF($G46="No",$P46+5,IF(N($I46)&gt;0,$P46+7,$P46+14))))</f>
        <v/>
      </c>
      <c r="R46" s="48">
        <f>IF($Q46="","",IF($J46="Yes",$Q46+7,IF($G46="No",$Q46+14,$Q46+30)))</f>
        <v/>
      </c>
      <c r="S46" s="47" t="n"/>
      <c r="T46" s="50" t="n"/>
      <c r="U46" s="47">
        <f>IF($F46="","",MIN(24,MAX(1,ROUNDUP(($F46-DayPlan!$C$2+1)/7,0))))</f>
        <v/>
      </c>
      <c r="V46" s="47">
        <f>IF($A46=""," ",4*($J46="Yes")+3*($G46="No")+2*(N($I46)&gt;0)+1*(AND(ISNUMBER($H46),$H46&gt;45))+3*(AND(ISNUMBER($P46),$P46&lt;=TODAY()))-6*($S46="Yes")+(750-ROW())/100000)</f>
        <v/>
      </c>
      <c r="W46" s="47">
        <f>IF(OR($A46="",NOT(ISNUMBER($P46))),"",INT($P46-TODAY()))</f>
        <v/>
      </c>
      <c r="X46" s="47" t="n"/>
    </row>
    <row r="47">
      <c r="A47" s="50" t="n"/>
      <c r="B47" s="47" t="n"/>
      <c r="C47" s="47" t="n"/>
      <c r="D47" s="50" t="n"/>
      <c r="E47" s="50" t="n"/>
      <c r="F47" s="48" t="n"/>
      <c r="G47" s="47" t="n"/>
      <c r="H47" s="47" t="n"/>
      <c r="I47" s="47" t="n"/>
      <c r="J47" s="47" t="n"/>
      <c r="K47" s="47" t="n"/>
      <c r="L47" s="47" t="n"/>
      <c r="M47" s="50" t="n"/>
      <c r="N47" s="50" t="n"/>
      <c r="O47" s="50" t="n"/>
      <c r="P47" s="48">
        <f>IF($F47="","",IF($J47="Yes",$F47+1,IF($G47="No",$F47+2,IF(N($I47)&gt;2,$F47+3,IF(N($I47)&gt;0,$F47+5,$F47+7)))))</f>
        <v/>
      </c>
      <c r="Q47" s="48">
        <f>IF($P47="","",IF($J47="Yes",$P47+3,IF($G47="No",$P47+5,IF(N($I47)&gt;0,$P47+7,$P47+14))))</f>
        <v/>
      </c>
      <c r="R47" s="48">
        <f>IF($Q47="","",IF($J47="Yes",$Q47+7,IF($G47="No",$Q47+14,$Q47+30)))</f>
        <v/>
      </c>
      <c r="S47" s="47" t="n"/>
      <c r="T47" s="50" t="n"/>
      <c r="U47" s="47">
        <f>IF($F47="","",MIN(24,MAX(1,ROUNDUP(($F47-DayPlan!$C$2+1)/7,0))))</f>
        <v/>
      </c>
      <c r="V47" s="47">
        <f>IF($A47=""," ",4*($J47="Yes")+3*($G47="No")+2*(N($I47)&gt;0)+1*(AND(ISNUMBER($H47),$H47&gt;45))+3*(AND(ISNUMBER($P47),$P47&lt;=TODAY()))-6*($S47="Yes")+(750-ROW())/100000)</f>
        <v/>
      </c>
      <c r="W47" s="47">
        <f>IF(OR($A47="",NOT(ISNUMBER($P47))),"",INT($P47-TODAY()))</f>
        <v/>
      </c>
      <c r="X47" s="47" t="n"/>
    </row>
    <row r="48">
      <c r="A48" s="50" t="n"/>
      <c r="B48" s="47" t="n"/>
      <c r="C48" s="47" t="n"/>
      <c r="D48" s="50" t="n"/>
      <c r="E48" s="50" t="n"/>
      <c r="F48" s="48" t="n"/>
      <c r="G48" s="47" t="n"/>
      <c r="H48" s="47" t="n"/>
      <c r="I48" s="47" t="n"/>
      <c r="J48" s="47" t="n"/>
      <c r="K48" s="47" t="n"/>
      <c r="L48" s="47" t="n"/>
      <c r="M48" s="50" t="n"/>
      <c r="N48" s="50" t="n"/>
      <c r="O48" s="50" t="n"/>
      <c r="P48" s="48">
        <f>IF($F48="","",IF($J48="Yes",$F48+1,IF($G48="No",$F48+2,IF(N($I48)&gt;2,$F48+3,IF(N($I48)&gt;0,$F48+5,$F48+7)))))</f>
        <v/>
      </c>
      <c r="Q48" s="48">
        <f>IF($P48="","",IF($J48="Yes",$P48+3,IF($G48="No",$P48+5,IF(N($I48)&gt;0,$P48+7,$P48+14))))</f>
        <v/>
      </c>
      <c r="R48" s="48">
        <f>IF($Q48="","",IF($J48="Yes",$Q48+7,IF($G48="No",$Q48+14,$Q48+30)))</f>
        <v/>
      </c>
      <c r="S48" s="47" t="n"/>
      <c r="T48" s="50" t="n"/>
      <c r="U48" s="47">
        <f>IF($F48="","",MIN(24,MAX(1,ROUNDUP(($F48-DayPlan!$C$2+1)/7,0))))</f>
        <v/>
      </c>
      <c r="V48" s="47">
        <f>IF($A48=""," ",4*($J48="Yes")+3*($G48="No")+2*(N($I48)&gt;0)+1*(AND(ISNUMBER($H48),$H48&gt;45))+3*(AND(ISNUMBER($P48),$P48&lt;=TODAY()))-6*($S48="Yes")+(750-ROW())/100000)</f>
        <v/>
      </c>
      <c r="W48" s="47">
        <f>IF(OR($A48="",NOT(ISNUMBER($P48))),"",INT($P48-TODAY()))</f>
        <v/>
      </c>
      <c r="X48" s="47" t="n"/>
    </row>
    <row r="49">
      <c r="A49" s="50" t="n"/>
      <c r="B49" s="47" t="n"/>
      <c r="C49" s="47" t="n"/>
      <c r="D49" s="50" t="n"/>
      <c r="E49" s="50" t="n"/>
      <c r="F49" s="48" t="n"/>
      <c r="G49" s="47" t="n"/>
      <c r="H49" s="47" t="n"/>
      <c r="I49" s="47" t="n"/>
      <c r="J49" s="47" t="n"/>
      <c r="K49" s="47" t="n"/>
      <c r="L49" s="47" t="n"/>
      <c r="M49" s="50" t="n"/>
      <c r="N49" s="50" t="n"/>
      <c r="O49" s="50" t="n"/>
      <c r="P49" s="48">
        <f>IF($F49="","",IF($J49="Yes",$F49+1,IF($G49="No",$F49+2,IF(N($I49)&gt;2,$F49+3,IF(N($I49)&gt;0,$F49+5,$F49+7)))))</f>
        <v/>
      </c>
      <c r="Q49" s="48">
        <f>IF($P49="","",IF($J49="Yes",$P49+3,IF($G49="No",$P49+5,IF(N($I49)&gt;0,$P49+7,$P49+14))))</f>
        <v/>
      </c>
      <c r="R49" s="48">
        <f>IF($Q49="","",IF($J49="Yes",$Q49+7,IF($G49="No",$Q49+14,$Q49+30)))</f>
        <v/>
      </c>
      <c r="S49" s="47" t="n"/>
      <c r="T49" s="50" t="n"/>
      <c r="U49" s="47">
        <f>IF($F49="","",MIN(24,MAX(1,ROUNDUP(($F49-DayPlan!$C$2+1)/7,0))))</f>
        <v/>
      </c>
      <c r="V49" s="47">
        <f>IF($A49=""," ",4*($J49="Yes")+3*($G49="No")+2*(N($I49)&gt;0)+1*(AND(ISNUMBER($H49),$H49&gt;45))+3*(AND(ISNUMBER($P49),$P49&lt;=TODAY()))-6*($S49="Yes")+(750-ROW())/100000)</f>
        <v/>
      </c>
      <c r="W49" s="47">
        <f>IF(OR($A49="",NOT(ISNUMBER($P49))),"",INT($P49-TODAY()))</f>
        <v/>
      </c>
      <c r="X49" s="47" t="n"/>
    </row>
    <row r="50">
      <c r="A50" s="50" t="n"/>
      <c r="B50" s="47" t="n"/>
      <c r="C50" s="47" t="n"/>
      <c r="D50" s="50" t="n"/>
      <c r="E50" s="50" t="n"/>
      <c r="F50" s="48" t="n"/>
      <c r="G50" s="47" t="n"/>
      <c r="H50" s="47" t="n"/>
      <c r="I50" s="47" t="n"/>
      <c r="J50" s="47" t="n"/>
      <c r="K50" s="47" t="n"/>
      <c r="L50" s="47" t="n"/>
      <c r="M50" s="50" t="n"/>
      <c r="N50" s="50" t="n"/>
      <c r="O50" s="50" t="n"/>
      <c r="P50" s="48">
        <f>IF($F50="","",IF($J50="Yes",$F50+1,IF($G50="No",$F50+2,IF(N($I50)&gt;2,$F50+3,IF(N($I50)&gt;0,$F50+5,$F50+7)))))</f>
        <v/>
      </c>
      <c r="Q50" s="48">
        <f>IF($P50="","",IF($J50="Yes",$P50+3,IF($G50="No",$P50+5,IF(N($I50)&gt;0,$P50+7,$P50+14))))</f>
        <v/>
      </c>
      <c r="R50" s="48">
        <f>IF($Q50="","",IF($J50="Yes",$Q50+7,IF($G50="No",$Q50+14,$Q50+30)))</f>
        <v/>
      </c>
      <c r="S50" s="47" t="n"/>
      <c r="T50" s="50" t="n"/>
      <c r="U50" s="47">
        <f>IF($F50="","",MIN(24,MAX(1,ROUNDUP(($F50-DayPlan!$C$2+1)/7,0))))</f>
        <v/>
      </c>
      <c r="V50" s="47">
        <f>IF($A50=""," ",4*($J50="Yes")+3*($G50="No")+2*(N($I50)&gt;0)+1*(AND(ISNUMBER($H50),$H50&gt;45))+3*(AND(ISNUMBER($P50),$P50&lt;=TODAY()))-6*($S50="Yes")+(750-ROW())/100000)</f>
        <v/>
      </c>
      <c r="W50" s="47">
        <f>IF(OR($A50="",NOT(ISNUMBER($P50))),"",INT($P50-TODAY()))</f>
        <v/>
      </c>
      <c r="X50" s="47" t="n"/>
    </row>
    <row r="51">
      <c r="A51" s="50" t="n"/>
      <c r="B51" s="47" t="n"/>
      <c r="C51" s="47" t="n"/>
      <c r="D51" s="50" t="n"/>
      <c r="E51" s="50" t="n"/>
      <c r="F51" s="48" t="n"/>
      <c r="G51" s="47" t="n"/>
      <c r="H51" s="47" t="n"/>
      <c r="I51" s="47" t="n"/>
      <c r="J51" s="47" t="n"/>
      <c r="K51" s="47" t="n"/>
      <c r="L51" s="47" t="n"/>
      <c r="M51" s="50" t="n"/>
      <c r="N51" s="50" t="n"/>
      <c r="O51" s="50" t="n"/>
      <c r="P51" s="48">
        <f>IF($F51="","",IF($J51="Yes",$F51+1,IF($G51="No",$F51+2,IF(N($I51)&gt;2,$F51+3,IF(N($I51)&gt;0,$F51+5,$F51+7)))))</f>
        <v/>
      </c>
      <c r="Q51" s="48">
        <f>IF($P51="","",IF($J51="Yes",$P51+3,IF($G51="No",$P51+5,IF(N($I51)&gt;0,$P51+7,$P51+14))))</f>
        <v/>
      </c>
      <c r="R51" s="48">
        <f>IF($Q51="","",IF($J51="Yes",$Q51+7,IF($G51="No",$Q51+14,$Q51+30)))</f>
        <v/>
      </c>
      <c r="S51" s="47" t="n"/>
      <c r="T51" s="50" t="n"/>
      <c r="U51" s="47">
        <f>IF($F51="","",MIN(24,MAX(1,ROUNDUP(($F51-DayPlan!$C$2+1)/7,0))))</f>
        <v/>
      </c>
      <c r="V51" s="47">
        <f>IF($A51=""," ",4*($J51="Yes")+3*($G51="No")+2*(N($I51)&gt;0)+1*(AND(ISNUMBER($H51),$H51&gt;45))+3*(AND(ISNUMBER($P51),$P51&lt;=TODAY()))-6*($S51="Yes")+(750-ROW())/100000)</f>
        <v/>
      </c>
      <c r="W51" s="47">
        <f>IF(OR($A51="",NOT(ISNUMBER($P51))),"",INT($P51-TODAY()))</f>
        <v/>
      </c>
      <c r="X51" s="47" t="n"/>
    </row>
    <row r="52">
      <c r="A52" s="50" t="n"/>
      <c r="B52" s="47" t="n"/>
      <c r="C52" s="47" t="n"/>
      <c r="D52" s="50" t="n"/>
      <c r="E52" s="50" t="n"/>
      <c r="F52" s="48" t="n"/>
      <c r="G52" s="47" t="n"/>
      <c r="H52" s="47" t="n"/>
      <c r="I52" s="47" t="n"/>
      <c r="J52" s="47" t="n"/>
      <c r="K52" s="47" t="n"/>
      <c r="L52" s="47" t="n"/>
      <c r="M52" s="50" t="n"/>
      <c r="N52" s="50" t="n"/>
      <c r="O52" s="50" t="n"/>
      <c r="P52" s="48">
        <f>IF($F52="","",IF($J52="Yes",$F52+1,IF($G52="No",$F52+2,IF(N($I52)&gt;2,$F52+3,IF(N($I52)&gt;0,$F52+5,$F52+7)))))</f>
        <v/>
      </c>
      <c r="Q52" s="48">
        <f>IF($P52="","",IF($J52="Yes",$P52+3,IF($G52="No",$P52+5,IF(N($I52)&gt;0,$P52+7,$P52+14))))</f>
        <v/>
      </c>
      <c r="R52" s="48">
        <f>IF($Q52="","",IF($J52="Yes",$Q52+7,IF($G52="No",$Q52+14,$Q52+30)))</f>
        <v/>
      </c>
      <c r="S52" s="47" t="n"/>
      <c r="T52" s="50" t="n"/>
      <c r="U52" s="47">
        <f>IF($F52="","",MIN(24,MAX(1,ROUNDUP(($F52-DayPlan!$C$2+1)/7,0))))</f>
        <v/>
      </c>
      <c r="V52" s="47">
        <f>IF($A52=""," ",4*($J52="Yes")+3*($G52="No")+2*(N($I52)&gt;0)+1*(AND(ISNUMBER($H52),$H52&gt;45))+3*(AND(ISNUMBER($P52),$P52&lt;=TODAY()))-6*($S52="Yes")+(750-ROW())/100000)</f>
        <v/>
      </c>
      <c r="W52" s="47">
        <f>IF(OR($A52="",NOT(ISNUMBER($P52))),"",INT($P52-TODAY()))</f>
        <v/>
      </c>
      <c r="X52" s="47" t="n"/>
    </row>
    <row r="53">
      <c r="A53" s="50" t="n"/>
      <c r="B53" s="47" t="n"/>
      <c r="C53" s="47" t="n"/>
      <c r="D53" s="50" t="n"/>
      <c r="E53" s="50" t="n"/>
      <c r="F53" s="48" t="n"/>
      <c r="G53" s="47" t="n"/>
      <c r="H53" s="47" t="n"/>
      <c r="I53" s="47" t="n"/>
      <c r="J53" s="47" t="n"/>
      <c r="K53" s="47" t="n"/>
      <c r="L53" s="47" t="n"/>
      <c r="M53" s="50" t="n"/>
      <c r="N53" s="50" t="n"/>
      <c r="O53" s="50" t="n"/>
      <c r="P53" s="48">
        <f>IF($F53="","",IF($J53="Yes",$F53+1,IF($G53="No",$F53+2,IF(N($I53)&gt;2,$F53+3,IF(N($I53)&gt;0,$F53+5,$F53+7)))))</f>
        <v/>
      </c>
      <c r="Q53" s="48">
        <f>IF($P53="","",IF($J53="Yes",$P53+3,IF($G53="No",$P53+5,IF(N($I53)&gt;0,$P53+7,$P53+14))))</f>
        <v/>
      </c>
      <c r="R53" s="48">
        <f>IF($Q53="","",IF($J53="Yes",$Q53+7,IF($G53="No",$Q53+14,$Q53+30)))</f>
        <v/>
      </c>
      <c r="S53" s="47" t="n"/>
      <c r="T53" s="50" t="n"/>
      <c r="U53" s="47">
        <f>IF($F53="","",MIN(24,MAX(1,ROUNDUP(($F53-DayPlan!$C$2+1)/7,0))))</f>
        <v/>
      </c>
      <c r="V53" s="47">
        <f>IF($A53=""," ",4*($J53="Yes")+3*($G53="No")+2*(N($I53)&gt;0)+1*(AND(ISNUMBER($H53),$H53&gt;45))+3*(AND(ISNUMBER($P53),$P53&lt;=TODAY()))-6*($S53="Yes")+(750-ROW())/100000)</f>
        <v/>
      </c>
      <c r="W53" s="47">
        <f>IF(OR($A53="",NOT(ISNUMBER($P53))),"",INT($P53-TODAY()))</f>
        <v/>
      </c>
      <c r="X53" s="47" t="n"/>
    </row>
    <row r="54">
      <c r="A54" s="50" t="n"/>
      <c r="B54" s="47" t="n"/>
      <c r="C54" s="47" t="n"/>
      <c r="D54" s="50" t="n"/>
      <c r="E54" s="50" t="n"/>
      <c r="F54" s="48" t="n"/>
      <c r="G54" s="47" t="n"/>
      <c r="H54" s="47" t="n"/>
      <c r="I54" s="47" t="n"/>
      <c r="J54" s="47" t="n"/>
      <c r="K54" s="47" t="n"/>
      <c r="L54" s="47" t="n"/>
      <c r="M54" s="50" t="n"/>
      <c r="N54" s="50" t="n"/>
      <c r="O54" s="50" t="n"/>
      <c r="P54" s="48">
        <f>IF($F54="","",IF($J54="Yes",$F54+1,IF($G54="No",$F54+2,IF(N($I54)&gt;2,$F54+3,IF(N($I54)&gt;0,$F54+5,$F54+7)))))</f>
        <v/>
      </c>
      <c r="Q54" s="48">
        <f>IF($P54="","",IF($J54="Yes",$P54+3,IF($G54="No",$P54+5,IF(N($I54)&gt;0,$P54+7,$P54+14))))</f>
        <v/>
      </c>
      <c r="R54" s="48">
        <f>IF($Q54="","",IF($J54="Yes",$Q54+7,IF($G54="No",$Q54+14,$Q54+30)))</f>
        <v/>
      </c>
      <c r="S54" s="47" t="n"/>
      <c r="T54" s="50" t="n"/>
      <c r="U54" s="47">
        <f>IF($F54="","",MIN(24,MAX(1,ROUNDUP(($F54-DayPlan!$C$2+1)/7,0))))</f>
        <v/>
      </c>
      <c r="V54" s="47">
        <f>IF($A54=""," ",4*($J54="Yes")+3*($G54="No")+2*(N($I54)&gt;0)+1*(AND(ISNUMBER($H54),$H54&gt;45))+3*(AND(ISNUMBER($P54),$P54&lt;=TODAY()))-6*($S54="Yes")+(750-ROW())/100000)</f>
        <v/>
      </c>
      <c r="W54" s="47">
        <f>IF(OR($A54="",NOT(ISNUMBER($P54))),"",INT($P54-TODAY()))</f>
        <v/>
      </c>
      <c r="X54" s="47" t="n"/>
    </row>
    <row r="55">
      <c r="A55" s="50" t="n"/>
      <c r="B55" s="47" t="n"/>
      <c r="C55" s="47" t="n"/>
      <c r="D55" s="50" t="n"/>
      <c r="E55" s="50" t="n"/>
      <c r="F55" s="48" t="n"/>
      <c r="G55" s="47" t="n"/>
      <c r="H55" s="47" t="n"/>
      <c r="I55" s="47" t="n"/>
      <c r="J55" s="47" t="n"/>
      <c r="K55" s="47" t="n"/>
      <c r="L55" s="47" t="n"/>
      <c r="M55" s="50" t="n"/>
      <c r="N55" s="50" t="n"/>
      <c r="O55" s="50" t="n"/>
      <c r="P55" s="48">
        <f>IF($F55="","",IF($J55="Yes",$F55+1,IF($G55="No",$F55+2,IF(N($I55)&gt;2,$F55+3,IF(N($I55)&gt;0,$F55+5,$F55+7)))))</f>
        <v/>
      </c>
      <c r="Q55" s="48">
        <f>IF($P55="","",IF($J55="Yes",$P55+3,IF($G55="No",$P55+5,IF(N($I55)&gt;0,$P55+7,$P55+14))))</f>
        <v/>
      </c>
      <c r="R55" s="48">
        <f>IF($Q55="","",IF($J55="Yes",$Q55+7,IF($G55="No",$Q55+14,$Q55+30)))</f>
        <v/>
      </c>
      <c r="S55" s="47" t="n"/>
      <c r="T55" s="50" t="n"/>
      <c r="U55" s="47">
        <f>IF($F55="","",MIN(24,MAX(1,ROUNDUP(($F55-DayPlan!$C$2+1)/7,0))))</f>
        <v/>
      </c>
      <c r="V55" s="47">
        <f>IF($A55=""," ",4*($J55="Yes")+3*($G55="No")+2*(N($I55)&gt;0)+1*(AND(ISNUMBER($H55),$H55&gt;45))+3*(AND(ISNUMBER($P55),$P55&lt;=TODAY()))-6*($S55="Yes")+(750-ROW())/100000)</f>
        <v/>
      </c>
      <c r="W55" s="47">
        <f>IF(OR($A55="",NOT(ISNUMBER($P55))),"",INT($P55-TODAY()))</f>
        <v/>
      </c>
      <c r="X55" s="47" t="n"/>
    </row>
    <row r="56">
      <c r="A56" s="50" t="n"/>
      <c r="B56" s="47" t="n"/>
      <c r="C56" s="47" t="n"/>
      <c r="D56" s="50" t="n"/>
      <c r="E56" s="50" t="n"/>
      <c r="F56" s="48" t="n"/>
      <c r="G56" s="47" t="n"/>
      <c r="H56" s="47" t="n"/>
      <c r="I56" s="47" t="n"/>
      <c r="J56" s="47" t="n"/>
      <c r="K56" s="47" t="n"/>
      <c r="L56" s="47" t="n"/>
      <c r="M56" s="50" t="n"/>
      <c r="N56" s="50" t="n"/>
      <c r="O56" s="50" t="n"/>
      <c r="P56" s="48">
        <f>IF($F56="","",IF($J56="Yes",$F56+1,IF($G56="No",$F56+2,IF(N($I56)&gt;2,$F56+3,IF(N($I56)&gt;0,$F56+5,$F56+7)))))</f>
        <v/>
      </c>
      <c r="Q56" s="48">
        <f>IF($P56="","",IF($J56="Yes",$P56+3,IF($G56="No",$P56+5,IF(N($I56)&gt;0,$P56+7,$P56+14))))</f>
        <v/>
      </c>
      <c r="R56" s="48">
        <f>IF($Q56="","",IF($J56="Yes",$Q56+7,IF($G56="No",$Q56+14,$Q56+30)))</f>
        <v/>
      </c>
      <c r="S56" s="47" t="n"/>
      <c r="T56" s="50" t="n"/>
      <c r="U56" s="47">
        <f>IF($F56="","",MIN(24,MAX(1,ROUNDUP(($F56-DayPlan!$C$2+1)/7,0))))</f>
        <v/>
      </c>
      <c r="V56" s="47">
        <f>IF($A56=""," ",4*($J56="Yes")+3*($G56="No")+2*(N($I56)&gt;0)+1*(AND(ISNUMBER($H56),$H56&gt;45))+3*(AND(ISNUMBER($P56),$P56&lt;=TODAY()))-6*($S56="Yes")+(750-ROW())/100000)</f>
        <v/>
      </c>
      <c r="W56" s="47">
        <f>IF(OR($A56="",NOT(ISNUMBER($P56))),"",INT($P56-TODAY()))</f>
        <v/>
      </c>
      <c r="X56" s="47" t="n"/>
    </row>
    <row r="57">
      <c r="A57" s="50" t="n"/>
      <c r="B57" s="47" t="n"/>
      <c r="C57" s="47" t="n"/>
      <c r="D57" s="50" t="n"/>
      <c r="E57" s="50" t="n"/>
      <c r="F57" s="48" t="n"/>
      <c r="G57" s="47" t="n"/>
      <c r="H57" s="47" t="n"/>
      <c r="I57" s="47" t="n"/>
      <c r="J57" s="47" t="n"/>
      <c r="K57" s="47" t="n"/>
      <c r="L57" s="47" t="n"/>
      <c r="M57" s="50" t="n"/>
      <c r="N57" s="50" t="n"/>
      <c r="O57" s="50" t="n"/>
      <c r="P57" s="48">
        <f>IF($F57="","",IF($J57="Yes",$F57+1,IF($G57="No",$F57+2,IF(N($I57)&gt;2,$F57+3,IF(N($I57)&gt;0,$F57+5,$F57+7)))))</f>
        <v/>
      </c>
      <c r="Q57" s="48">
        <f>IF($P57="","",IF($J57="Yes",$P57+3,IF($G57="No",$P57+5,IF(N($I57)&gt;0,$P57+7,$P57+14))))</f>
        <v/>
      </c>
      <c r="R57" s="48">
        <f>IF($Q57="","",IF($J57="Yes",$Q57+7,IF($G57="No",$Q57+14,$Q57+30)))</f>
        <v/>
      </c>
      <c r="S57" s="47" t="n"/>
      <c r="T57" s="50" t="n"/>
      <c r="U57" s="47">
        <f>IF($F57="","",MIN(24,MAX(1,ROUNDUP(($F57-DayPlan!$C$2+1)/7,0))))</f>
        <v/>
      </c>
      <c r="V57" s="47">
        <f>IF($A57=""," ",4*($J57="Yes")+3*($G57="No")+2*(N($I57)&gt;0)+1*(AND(ISNUMBER($H57),$H57&gt;45))+3*(AND(ISNUMBER($P57),$P57&lt;=TODAY()))-6*($S57="Yes")+(750-ROW())/100000)</f>
        <v/>
      </c>
      <c r="W57" s="47">
        <f>IF(OR($A57="",NOT(ISNUMBER($P57))),"",INT($P57-TODAY()))</f>
        <v/>
      </c>
      <c r="X57" s="47" t="n"/>
    </row>
    <row r="58">
      <c r="A58" s="50" t="n"/>
      <c r="B58" s="47" t="n"/>
      <c r="C58" s="47" t="n"/>
      <c r="D58" s="50" t="n"/>
      <c r="E58" s="50" t="n"/>
      <c r="F58" s="48" t="n"/>
      <c r="G58" s="47" t="n"/>
      <c r="H58" s="47" t="n"/>
      <c r="I58" s="47" t="n"/>
      <c r="J58" s="47" t="n"/>
      <c r="K58" s="47" t="n"/>
      <c r="L58" s="47" t="n"/>
      <c r="M58" s="50" t="n"/>
      <c r="N58" s="50" t="n"/>
      <c r="O58" s="50" t="n"/>
      <c r="P58" s="48">
        <f>IF($F58="","",IF($J58="Yes",$F58+1,IF($G58="No",$F58+2,IF(N($I58)&gt;2,$F58+3,IF(N($I58)&gt;0,$F58+5,$F58+7)))))</f>
        <v/>
      </c>
      <c r="Q58" s="48">
        <f>IF($P58="","",IF($J58="Yes",$P58+3,IF($G58="No",$P58+5,IF(N($I58)&gt;0,$P58+7,$P58+14))))</f>
        <v/>
      </c>
      <c r="R58" s="48">
        <f>IF($Q58="","",IF($J58="Yes",$Q58+7,IF($G58="No",$Q58+14,$Q58+30)))</f>
        <v/>
      </c>
      <c r="S58" s="47" t="n"/>
      <c r="T58" s="50" t="n"/>
      <c r="U58" s="47">
        <f>IF($F58="","",MIN(24,MAX(1,ROUNDUP(($F58-DayPlan!$C$2+1)/7,0))))</f>
        <v/>
      </c>
      <c r="V58" s="47">
        <f>IF($A58=""," ",4*($J58="Yes")+3*($G58="No")+2*(N($I58)&gt;0)+1*(AND(ISNUMBER($H58),$H58&gt;45))+3*(AND(ISNUMBER($P58),$P58&lt;=TODAY()))-6*($S58="Yes")+(750-ROW())/100000)</f>
        <v/>
      </c>
      <c r="W58" s="47">
        <f>IF(OR($A58="",NOT(ISNUMBER($P58))),"",INT($P58-TODAY()))</f>
        <v/>
      </c>
      <c r="X58" s="47" t="n"/>
    </row>
    <row r="59">
      <c r="A59" s="50" t="n"/>
      <c r="B59" s="47" t="n"/>
      <c r="C59" s="47" t="n"/>
      <c r="D59" s="50" t="n"/>
      <c r="E59" s="50" t="n"/>
      <c r="F59" s="48" t="n"/>
      <c r="G59" s="47" t="n"/>
      <c r="H59" s="47" t="n"/>
      <c r="I59" s="47" t="n"/>
      <c r="J59" s="47" t="n"/>
      <c r="K59" s="47" t="n"/>
      <c r="L59" s="47" t="n"/>
      <c r="M59" s="50" t="n"/>
      <c r="N59" s="50" t="n"/>
      <c r="O59" s="50" t="n"/>
      <c r="P59" s="48">
        <f>IF($F59="","",IF($J59="Yes",$F59+1,IF($G59="No",$F59+2,IF(N($I59)&gt;2,$F59+3,IF(N($I59)&gt;0,$F59+5,$F59+7)))))</f>
        <v/>
      </c>
      <c r="Q59" s="48">
        <f>IF($P59="","",IF($J59="Yes",$P59+3,IF($G59="No",$P59+5,IF(N($I59)&gt;0,$P59+7,$P59+14))))</f>
        <v/>
      </c>
      <c r="R59" s="48">
        <f>IF($Q59="","",IF($J59="Yes",$Q59+7,IF($G59="No",$Q59+14,$Q59+30)))</f>
        <v/>
      </c>
      <c r="S59" s="47" t="n"/>
      <c r="T59" s="50" t="n"/>
      <c r="U59" s="47">
        <f>IF($F59="","",MIN(24,MAX(1,ROUNDUP(($F59-DayPlan!$C$2+1)/7,0))))</f>
        <v/>
      </c>
      <c r="V59" s="47">
        <f>IF($A59=""," ",4*($J59="Yes")+3*($G59="No")+2*(N($I59)&gt;0)+1*(AND(ISNUMBER($H59),$H59&gt;45))+3*(AND(ISNUMBER($P59),$P59&lt;=TODAY()))-6*($S59="Yes")+(750-ROW())/100000)</f>
        <v/>
      </c>
      <c r="W59" s="47">
        <f>IF(OR($A59="",NOT(ISNUMBER($P59))),"",INT($P59-TODAY()))</f>
        <v/>
      </c>
      <c r="X59" s="47" t="n"/>
    </row>
    <row r="60">
      <c r="A60" s="50" t="n"/>
      <c r="B60" s="47" t="n"/>
      <c r="C60" s="47" t="n"/>
      <c r="D60" s="50" t="n"/>
      <c r="E60" s="50" t="n"/>
      <c r="F60" s="48" t="n"/>
      <c r="G60" s="47" t="n"/>
      <c r="H60" s="47" t="n"/>
      <c r="I60" s="47" t="n"/>
      <c r="J60" s="47" t="n"/>
      <c r="K60" s="47" t="n"/>
      <c r="L60" s="47" t="n"/>
      <c r="M60" s="50" t="n"/>
      <c r="N60" s="50" t="n"/>
      <c r="O60" s="50" t="n"/>
      <c r="P60" s="48">
        <f>IF($F60="","",IF($J60="Yes",$F60+1,IF($G60="No",$F60+2,IF(N($I60)&gt;2,$F60+3,IF(N($I60)&gt;0,$F60+5,$F60+7)))))</f>
        <v/>
      </c>
      <c r="Q60" s="48">
        <f>IF($P60="","",IF($J60="Yes",$P60+3,IF($G60="No",$P60+5,IF(N($I60)&gt;0,$P60+7,$P60+14))))</f>
        <v/>
      </c>
      <c r="R60" s="48">
        <f>IF($Q60="","",IF($J60="Yes",$Q60+7,IF($G60="No",$Q60+14,$Q60+30)))</f>
        <v/>
      </c>
      <c r="S60" s="47" t="n"/>
      <c r="T60" s="50" t="n"/>
      <c r="U60" s="47">
        <f>IF($F60="","",MIN(24,MAX(1,ROUNDUP(($F60-DayPlan!$C$2+1)/7,0))))</f>
        <v/>
      </c>
      <c r="V60" s="47">
        <f>IF($A60=""," ",4*($J60="Yes")+3*($G60="No")+2*(N($I60)&gt;0)+1*(AND(ISNUMBER($H60),$H60&gt;45))+3*(AND(ISNUMBER($P60),$P60&lt;=TODAY()))-6*($S60="Yes")+(750-ROW())/100000)</f>
        <v/>
      </c>
      <c r="W60" s="47">
        <f>IF(OR($A60="",NOT(ISNUMBER($P60))),"",INT($P60-TODAY()))</f>
        <v/>
      </c>
      <c r="X60" s="47" t="n"/>
    </row>
    <row r="61">
      <c r="A61" s="50" t="n"/>
      <c r="B61" s="47" t="n"/>
      <c r="C61" s="47" t="n"/>
      <c r="D61" s="50" t="n"/>
      <c r="E61" s="50" t="n"/>
      <c r="F61" s="48" t="n"/>
      <c r="G61" s="47" t="n"/>
      <c r="H61" s="47" t="n"/>
      <c r="I61" s="47" t="n"/>
      <c r="J61" s="47" t="n"/>
      <c r="K61" s="47" t="n"/>
      <c r="L61" s="47" t="n"/>
      <c r="M61" s="50" t="n"/>
      <c r="N61" s="50" t="n"/>
      <c r="O61" s="50" t="n"/>
      <c r="P61" s="48">
        <f>IF($F61="","",IF($J61="Yes",$F61+1,IF($G61="No",$F61+2,IF(N($I61)&gt;2,$F61+3,IF(N($I61)&gt;0,$F61+5,$F61+7)))))</f>
        <v/>
      </c>
      <c r="Q61" s="48">
        <f>IF($P61="","",IF($J61="Yes",$P61+3,IF($G61="No",$P61+5,IF(N($I61)&gt;0,$P61+7,$P61+14))))</f>
        <v/>
      </c>
      <c r="R61" s="48">
        <f>IF($Q61="","",IF($J61="Yes",$Q61+7,IF($G61="No",$Q61+14,$Q61+30)))</f>
        <v/>
      </c>
      <c r="S61" s="47" t="n"/>
      <c r="T61" s="50" t="n"/>
      <c r="U61" s="47">
        <f>IF($F61="","",MIN(24,MAX(1,ROUNDUP(($F61-DayPlan!$C$2+1)/7,0))))</f>
        <v/>
      </c>
      <c r="V61" s="47">
        <f>IF($A61=""," ",4*($J61="Yes")+3*($G61="No")+2*(N($I61)&gt;0)+1*(AND(ISNUMBER($H61),$H61&gt;45))+3*(AND(ISNUMBER($P61),$P61&lt;=TODAY()))-6*($S61="Yes")+(750-ROW())/100000)</f>
        <v/>
      </c>
      <c r="W61" s="47">
        <f>IF(OR($A61="",NOT(ISNUMBER($P61))),"",INT($P61-TODAY()))</f>
        <v/>
      </c>
      <c r="X61" s="47" t="n"/>
    </row>
    <row r="62">
      <c r="A62" s="50" t="n"/>
      <c r="B62" s="47" t="n"/>
      <c r="C62" s="47" t="n"/>
      <c r="D62" s="50" t="n"/>
      <c r="E62" s="50" t="n"/>
      <c r="F62" s="48" t="n"/>
      <c r="G62" s="47" t="n"/>
      <c r="H62" s="47" t="n"/>
      <c r="I62" s="47" t="n"/>
      <c r="J62" s="47" t="n"/>
      <c r="K62" s="47" t="n"/>
      <c r="L62" s="47" t="n"/>
      <c r="M62" s="50" t="n"/>
      <c r="N62" s="50" t="n"/>
      <c r="O62" s="50" t="n"/>
      <c r="P62" s="48">
        <f>IF($F62="","",IF($J62="Yes",$F62+1,IF($G62="No",$F62+2,IF(N($I62)&gt;2,$F62+3,IF(N($I62)&gt;0,$F62+5,$F62+7)))))</f>
        <v/>
      </c>
      <c r="Q62" s="48">
        <f>IF($P62="","",IF($J62="Yes",$P62+3,IF($G62="No",$P62+5,IF(N($I62)&gt;0,$P62+7,$P62+14))))</f>
        <v/>
      </c>
      <c r="R62" s="48">
        <f>IF($Q62="","",IF($J62="Yes",$Q62+7,IF($G62="No",$Q62+14,$Q62+30)))</f>
        <v/>
      </c>
      <c r="S62" s="47" t="n"/>
      <c r="T62" s="50" t="n"/>
      <c r="U62" s="47">
        <f>IF($F62="","",MIN(24,MAX(1,ROUNDUP(($F62-DayPlan!$C$2+1)/7,0))))</f>
        <v/>
      </c>
      <c r="V62" s="47">
        <f>IF($A62=""," ",4*($J62="Yes")+3*($G62="No")+2*(N($I62)&gt;0)+1*(AND(ISNUMBER($H62),$H62&gt;45))+3*(AND(ISNUMBER($P62),$P62&lt;=TODAY()))-6*($S62="Yes")+(750-ROW())/100000)</f>
        <v/>
      </c>
      <c r="W62" s="47">
        <f>IF(OR($A62="",NOT(ISNUMBER($P62))),"",INT($P62-TODAY()))</f>
        <v/>
      </c>
      <c r="X62" s="47" t="n"/>
    </row>
    <row r="63">
      <c r="A63" s="50" t="n"/>
      <c r="B63" s="47" t="n"/>
      <c r="C63" s="47" t="n"/>
      <c r="D63" s="50" t="n"/>
      <c r="E63" s="50" t="n"/>
      <c r="F63" s="48" t="n"/>
      <c r="G63" s="47" t="n"/>
      <c r="H63" s="47" t="n"/>
      <c r="I63" s="47" t="n"/>
      <c r="J63" s="47" t="n"/>
      <c r="K63" s="47" t="n"/>
      <c r="L63" s="47" t="n"/>
      <c r="M63" s="50" t="n"/>
      <c r="N63" s="50" t="n"/>
      <c r="O63" s="50" t="n"/>
      <c r="P63" s="48">
        <f>IF($F63="","",IF($J63="Yes",$F63+1,IF($G63="No",$F63+2,IF(N($I63)&gt;2,$F63+3,IF(N($I63)&gt;0,$F63+5,$F63+7)))))</f>
        <v/>
      </c>
      <c r="Q63" s="48">
        <f>IF($P63="","",IF($J63="Yes",$P63+3,IF($G63="No",$P63+5,IF(N($I63)&gt;0,$P63+7,$P63+14))))</f>
        <v/>
      </c>
      <c r="R63" s="48">
        <f>IF($Q63="","",IF($J63="Yes",$Q63+7,IF($G63="No",$Q63+14,$Q63+30)))</f>
        <v/>
      </c>
      <c r="S63" s="47" t="n"/>
      <c r="T63" s="50" t="n"/>
      <c r="U63" s="47">
        <f>IF($F63="","",MIN(24,MAX(1,ROUNDUP(($F63-DayPlan!$C$2+1)/7,0))))</f>
        <v/>
      </c>
      <c r="V63" s="47">
        <f>IF($A63=""," ",4*($J63="Yes")+3*($G63="No")+2*(N($I63)&gt;0)+1*(AND(ISNUMBER($H63),$H63&gt;45))+3*(AND(ISNUMBER($P63),$P63&lt;=TODAY()))-6*($S63="Yes")+(750-ROW())/100000)</f>
        <v/>
      </c>
      <c r="W63" s="47">
        <f>IF(OR($A63="",NOT(ISNUMBER($P63))),"",INT($P63-TODAY()))</f>
        <v/>
      </c>
      <c r="X63" s="47" t="n"/>
    </row>
    <row r="64">
      <c r="A64" s="50" t="n"/>
      <c r="B64" s="47" t="n"/>
      <c r="C64" s="47" t="n"/>
      <c r="D64" s="50" t="n"/>
      <c r="E64" s="50" t="n"/>
      <c r="F64" s="48" t="n"/>
      <c r="G64" s="47" t="n"/>
      <c r="H64" s="47" t="n"/>
      <c r="I64" s="47" t="n"/>
      <c r="J64" s="47" t="n"/>
      <c r="K64" s="47" t="n"/>
      <c r="L64" s="47" t="n"/>
      <c r="M64" s="50" t="n"/>
      <c r="N64" s="50" t="n"/>
      <c r="O64" s="50" t="n"/>
      <c r="P64" s="48">
        <f>IF($F64="","",IF($J64="Yes",$F64+1,IF($G64="No",$F64+2,IF(N($I64)&gt;2,$F64+3,IF(N($I64)&gt;0,$F64+5,$F64+7)))))</f>
        <v/>
      </c>
      <c r="Q64" s="48">
        <f>IF($P64="","",IF($J64="Yes",$P64+3,IF($G64="No",$P64+5,IF(N($I64)&gt;0,$P64+7,$P64+14))))</f>
        <v/>
      </c>
      <c r="R64" s="48">
        <f>IF($Q64="","",IF($J64="Yes",$Q64+7,IF($G64="No",$Q64+14,$Q64+30)))</f>
        <v/>
      </c>
      <c r="S64" s="47" t="n"/>
      <c r="T64" s="50" t="n"/>
      <c r="U64" s="47">
        <f>IF($F64="","",MIN(24,MAX(1,ROUNDUP(($F64-DayPlan!$C$2+1)/7,0))))</f>
        <v/>
      </c>
      <c r="V64" s="47">
        <f>IF($A64=""," ",4*($J64="Yes")+3*($G64="No")+2*(N($I64)&gt;0)+1*(AND(ISNUMBER($H64),$H64&gt;45))+3*(AND(ISNUMBER($P64),$P64&lt;=TODAY()))-6*($S64="Yes")+(750-ROW())/100000)</f>
        <v/>
      </c>
      <c r="W64" s="47">
        <f>IF(OR($A64="",NOT(ISNUMBER($P64))),"",INT($P64-TODAY()))</f>
        <v/>
      </c>
      <c r="X64" s="47" t="n"/>
    </row>
    <row r="65">
      <c r="A65" s="50" t="n"/>
      <c r="B65" s="47" t="n"/>
      <c r="C65" s="47" t="n"/>
      <c r="D65" s="50" t="n"/>
      <c r="E65" s="50" t="n"/>
      <c r="F65" s="48" t="n"/>
      <c r="G65" s="47" t="n"/>
      <c r="H65" s="47" t="n"/>
      <c r="I65" s="47" t="n"/>
      <c r="J65" s="47" t="n"/>
      <c r="K65" s="47" t="n"/>
      <c r="L65" s="47" t="n"/>
      <c r="M65" s="50" t="n"/>
      <c r="N65" s="50" t="n"/>
      <c r="O65" s="50" t="n"/>
      <c r="P65" s="48">
        <f>IF($F65="","",IF($J65="Yes",$F65+1,IF($G65="No",$F65+2,IF(N($I65)&gt;2,$F65+3,IF(N($I65)&gt;0,$F65+5,$F65+7)))))</f>
        <v/>
      </c>
      <c r="Q65" s="48">
        <f>IF($P65="","",IF($J65="Yes",$P65+3,IF($G65="No",$P65+5,IF(N($I65)&gt;0,$P65+7,$P65+14))))</f>
        <v/>
      </c>
      <c r="R65" s="48">
        <f>IF($Q65="","",IF($J65="Yes",$Q65+7,IF($G65="No",$Q65+14,$Q65+30)))</f>
        <v/>
      </c>
      <c r="S65" s="47" t="n"/>
      <c r="T65" s="50" t="n"/>
      <c r="U65" s="47">
        <f>IF($F65="","",MIN(24,MAX(1,ROUNDUP(($F65-DayPlan!$C$2+1)/7,0))))</f>
        <v/>
      </c>
      <c r="V65" s="47">
        <f>IF($A65=""," ",4*($J65="Yes")+3*($G65="No")+2*(N($I65)&gt;0)+1*(AND(ISNUMBER($H65),$H65&gt;45))+3*(AND(ISNUMBER($P65),$P65&lt;=TODAY()))-6*($S65="Yes")+(750-ROW())/100000)</f>
        <v/>
      </c>
      <c r="W65" s="47">
        <f>IF(OR($A65="",NOT(ISNUMBER($P65))),"",INT($P65-TODAY()))</f>
        <v/>
      </c>
      <c r="X65" s="47" t="n"/>
    </row>
    <row r="66">
      <c r="A66" s="50" t="n"/>
      <c r="B66" s="47" t="n"/>
      <c r="C66" s="47" t="n"/>
      <c r="D66" s="50" t="n"/>
      <c r="E66" s="50" t="n"/>
      <c r="F66" s="48" t="n"/>
      <c r="G66" s="47" t="n"/>
      <c r="H66" s="47" t="n"/>
      <c r="I66" s="47" t="n"/>
      <c r="J66" s="47" t="n"/>
      <c r="K66" s="47" t="n"/>
      <c r="L66" s="47" t="n"/>
      <c r="M66" s="50" t="n"/>
      <c r="N66" s="50" t="n"/>
      <c r="O66" s="50" t="n"/>
      <c r="P66" s="48">
        <f>IF($F66="","",IF($J66="Yes",$F66+1,IF($G66="No",$F66+2,IF(N($I66)&gt;2,$F66+3,IF(N($I66)&gt;0,$F66+5,$F66+7)))))</f>
        <v/>
      </c>
      <c r="Q66" s="48">
        <f>IF($P66="","",IF($J66="Yes",$P66+3,IF($G66="No",$P66+5,IF(N($I66)&gt;0,$P66+7,$P66+14))))</f>
        <v/>
      </c>
      <c r="R66" s="48">
        <f>IF($Q66="","",IF($J66="Yes",$Q66+7,IF($G66="No",$Q66+14,$Q66+30)))</f>
        <v/>
      </c>
      <c r="S66" s="47" t="n"/>
      <c r="T66" s="50" t="n"/>
      <c r="U66" s="47">
        <f>IF($F66="","",MIN(24,MAX(1,ROUNDUP(($F66-DayPlan!$C$2+1)/7,0))))</f>
        <v/>
      </c>
      <c r="V66" s="47">
        <f>IF($A66=""," ",4*($J66="Yes")+3*($G66="No")+2*(N($I66)&gt;0)+1*(AND(ISNUMBER($H66),$H66&gt;45))+3*(AND(ISNUMBER($P66),$P66&lt;=TODAY()))-6*($S66="Yes")+(750-ROW())/100000)</f>
        <v/>
      </c>
      <c r="W66" s="47">
        <f>IF(OR($A66="",NOT(ISNUMBER($P66))),"",INT($P66-TODAY()))</f>
        <v/>
      </c>
      <c r="X66" s="47" t="n"/>
    </row>
    <row r="67">
      <c r="A67" s="50" t="n"/>
      <c r="B67" s="47" t="n"/>
      <c r="C67" s="47" t="n"/>
      <c r="D67" s="50" t="n"/>
      <c r="E67" s="50" t="n"/>
      <c r="F67" s="48" t="n"/>
      <c r="G67" s="47" t="n"/>
      <c r="H67" s="47" t="n"/>
      <c r="I67" s="47" t="n"/>
      <c r="J67" s="47" t="n"/>
      <c r="K67" s="47" t="n"/>
      <c r="L67" s="47" t="n"/>
      <c r="M67" s="50" t="n"/>
      <c r="N67" s="50" t="n"/>
      <c r="O67" s="50" t="n"/>
      <c r="P67" s="48">
        <f>IF($F67="","",IF($J67="Yes",$F67+1,IF($G67="No",$F67+2,IF(N($I67)&gt;2,$F67+3,IF(N($I67)&gt;0,$F67+5,$F67+7)))))</f>
        <v/>
      </c>
      <c r="Q67" s="48">
        <f>IF($P67="","",IF($J67="Yes",$P67+3,IF($G67="No",$P67+5,IF(N($I67)&gt;0,$P67+7,$P67+14))))</f>
        <v/>
      </c>
      <c r="R67" s="48">
        <f>IF($Q67="","",IF($J67="Yes",$Q67+7,IF($G67="No",$Q67+14,$Q67+30)))</f>
        <v/>
      </c>
      <c r="S67" s="47" t="n"/>
      <c r="T67" s="50" t="n"/>
      <c r="U67" s="47">
        <f>IF($F67="","",MIN(24,MAX(1,ROUNDUP(($F67-DayPlan!$C$2+1)/7,0))))</f>
        <v/>
      </c>
      <c r="V67" s="47">
        <f>IF($A67=""," ",4*($J67="Yes")+3*($G67="No")+2*(N($I67)&gt;0)+1*(AND(ISNUMBER($H67),$H67&gt;45))+3*(AND(ISNUMBER($P67),$P67&lt;=TODAY()))-6*($S67="Yes")+(750-ROW())/100000)</f>
        <v/>
      </c>
      <c r="W67" s="47">
        <f>IF(OR($A67="",NOT(ISNUMBER($P67))),"",INT($P67-TODAY()))</f>
        <v/>
      </c>
      <c r="X67" s="47" t="n"/>
    </row>
    <row r="68">
      <c r="A68" s="50" t="n"/>
      <c r="B68" s="47" t="n"/>
      <c r="C68" s="47" t="n"/>
      <c r="D68" s="50" t="n"/>
      <c r="E68" s="50" t="n"/>
      <c r="F68" s="48" t="n"/>
      <c r="G68" s="47" t="n"/>
      <c r="H68" s="47" t="n"/>
      <c r="I68" s="47" t="n"/>
      <c r="J68" s="47" t="n"/>
      <c r="K68" s="47" t="n"/>
      <c r="L68" s="47" t="n"/>
      <c r="M68" s="50" t="n"/>
      <c r="N68" s="50" t="n"/>
      <c r="O68" s="50" t="n"/>
      <c r="P68" s="48">
        <f>IF($F68="","",IF($J68="Yes",$F68+1,IF($G68="No",$F68+2,IF(N($I68)&gt;2,$F68+3,IF(N($I68)&gt;0,$F68+5,$F68+7)))))</f>
        <v/>
      </c>
      <c r="Q68" s="48">
        <f>IF($P68="","",IF($J68="Yes",$P68+3,IF($G68="No",$P68+5,IF(N($I68)&gt;0,$P68+7,$P68+14))))</f>
        <v/>
      </c>
      <c r="R68" s="48">
        <f>IF($Q68="","",IF($J68="Yes",$Q68+7,IF($G68="No",$Q68+14,$Q68+30)))</f>
        <v/>
      </c>
      <c r="S68" s="47" t="n"/>
      <c r="T68" s="50" t="n"/>
      <c r="U68" s="47">
        <f>IF($F68="","",MIN(24,MAX(1,ROUNDUP(($F68-DayPlan!$C$2+1)/7,0))))</f>
        <v/>
      </c>
      <c r="V68" s="47">
        <f>IF($A68=""," ",4*($J68="Yes")+3*($G68="No")+2*(N($I68)&gt;0)+1*(AND(ISNUMBER($H68),$H68&gt;45))+3*(AND(ISNUMBER($P68),$P68&lt;=TODAY()))-6*($S68="Yes")+(750-ROW())/100000)</f>
        <v/>
      </c>
      <c r="W68" s="47">
        <f>IF(OR($A68="",NOT(ISNUMBER($P68))),"",INT($P68-TODAY()))</f>
        <v/>
      </c>
      <c r="X68" s="47" t="n"/>
    </row>
    <row r="69">
      <c r="A69" s="50" t="n"/>
      <c r="B69" s="47" t="n"/>
      <c r="C69" s="47" t="n"/>
      <c r="D69" s="50" t="n"/>
      <c r="E69" s="50" t="n"/>
      <c r="F69" s="48" t="n"/>
      <c r="G69" s="47" t="n"/>
      <c r="H69" s="47" t="n"/>
      <c r="I69" s="47" t="n"/>
      <c r="J69" s="47" t="n"/>
      <c r="K69" s="47" t="n"/>
      <c r="L69" s="47" t="n"/>
      <c r="M69" s="50" t="n"/>
      <c r="N69" s="50" t="n"/>
      <c r="O69" s="50" t="n"/>
      <c r="P69" s="48">
        <f>IF($F69="","",IF($J69="Yes",$F69+1,IF($G69="No",$F69+2,IF(N($I69)&gt;2,$F69+3,IF(N($I69)&gt;0,$F69+5,$F69+7)))))</f>
        <v/>
      </c>
      <c r="Q69" s="48">
        <f>IF($P69="","",IF($J69="Yes",$P69+3,IF($G69="No",$P69+5,IF(N($I69)&gt;0,$P69+7,$P69+14))))</f>
        <v/>
      </c>
      <c r="R69" s="48">
        <f>IF($Q69="","",IF($J69="Yes",$Q69+7,IF($G69="No",$Q69+14,$Q69+30)))</f>
        <v/>
      </c>
      <c r="S69" s="47" t="n"/>
      <c r="T69" s="50" t="n"/>
      <c r="U69" s="47">
        <f>IF($F69="","",MIN(24,MAX(1,ROUNDUP(($F69-DayPlan!$C$2+1)/7,0))))</f>
        <v/>
      </c>
      <c r="V69" s="47">
        <f>IF($A69=""," ",4*($J69="Yes")+3*($G69="No")+2*(N($I69)&gt;0)+1*(AND(ISNUMBER($H69),$H69&gt;45))+3*(AND(ISNUMBER($P69),$P69&lt;=TODAY()))-6*($S69="Yes")+(750-ROW())/100000)</f>
        <v/>
      </c>
      <c r="W69" s="47">
        <f>IF(OR($A69="",NOT(ISNUMBER($P69))),"",INT($P69-TODAY()))</f>
        <v/>
      </c>
      <c r="X69" s="47" t="n"/>
    </row>
    <row r="70">
      <c r="A70" s="50" t="n"/>
      <c r="B70" s="47" t="n"/>
      <c r="C70" s="47" t="n"/>
      <c r="D70" s="50" t="n"/>
      <c r="E70" s="50" t="n"/>
      <c r="F70" s="48" t="n"/>
      <c r="G70" s="47" t="n"/>
      <c r="H70" s="47" t="n"/>
      <c r="I70" s="47" t="n"/>
      <c r="J70" s="47" t="n"/>
      <c r="K70" s="47" t="n"/>
      <c r="L70" s="47" t="n"/>
      <c r="M70" s="50" t="n"/>
      <c r="N70" s="50" t="n"/>
      <c r="O70" s="50" t="n"/>
      <c r="P70" s="48">
        <f>IF($F70="","",IF($J70="Yes",$F70+1,IF($G70="No",$F70+2,IF(N($I70)&gt;2,$F70+3,IF(N($I70)&gt;0,$F70+5,$F70+7)))))</f>
        <v/>
      </c>
      <c r="Q70" s="48">
        <f>IF($P70="","",IF($J70="Yes",$P70+3,IF($G70="No",$P70+5,IF(N($I70)&gt;0,$P70+7,$P70+14))))</f>
        <v/>
      </c>
      <c r="R70" s="48">
        <f>IF($Q70="","",IF($J70="Yes",$Q70+7,IF($G70="No",$Q70+14,$Q70+30)))</f>
        <v/>
      </c>
      <c r="S70" s="47" t="n"/>
      <c r="T70" s="50" t="n"/>
      <c r="U70" s="47">
        <f>IF($F70="","",MIN(24,MAX(1,ROUNDUP(($F70-DayPlan!$C$2+1)/7,0))))</f>
        <v/>
      </c>
      <c r="V70" s="47">
        <f>IF($A70=""," ",4*($J70="Yes")+3*($G70="No")+2*(N($I70)&gt;0)+1*(AND(ISNUMBER($H70),$H70&gt;45))+3*(AND(ISNUMBER($P70),$P70&lt;=TODAY()))-6*($S70="Yes")+(750-ROW())/100000)</f>
        <v/>
      </c>
      <c r="W70" s="47">
        <f>IF(OR($A70="",NOT(ISNUMBER($P70))),"",INT($P70-TODAY()))</f>
        <v/>
      </c>
      <c r="X70" s="47" t="n"/>
    </row>
    <row r="71">
      <c r="A71" s="50" t="n"/>
      <c r="B71" s="47" t="n"/>
      <c r="C71" s="47" t="n"/>
      <c r="D71" s="50" t="n"/>
      <c r="E71" s="50" t="n"/>
      <c r="F71" s="48" t="n"/>
      <c r="G71" s="47" t="n"/>
      <c r="H71" s="47" t="n"/>
      <c r="I71" s="47" t="n"/>
      <c r="J71" s="47" t="n"/>
      <c r="K71" s="47" t="n"/>
      <c r="L71" s="47" t="n"/>
      <c r="M71" s="50" t="n"/>
      <c r="N71" s="50" t="n"/>
      <c r="O71" s="50" t="n"/>
      <c r="P71" s="48">
        <f>IF($F71="","",IF($J71="Yes",$F71+1,IF($G71="No",$F71+2,IF(N($I71)&gt;2,$F71+3,IF(N($I71)&gt;0,$F71+5,$F71+7)))))</f>
        <v/>
      </c>
      <c r="Q71" s="48">
        <f>IF($P71="","",IF($J71="Yes",$P71+3,IF($G71="No",$P71+5,IF(N($I71)&gt;0,$P71+7,$P71+14))))</f>
        <v/>
      </c>
      <c r="R71" s="48">
        <f>IF($Q71="","",IF($J71="Yes",$Q71+7,IF($G71="No",$Q71+14,$Q71+30)))</f>
        <v/>
      </c>
      <c r="S71" s="47" t="n"/>
      <c r="T71" s="50" t="n"/>
      <c r="U71" s="47">
        <f>IF($F71="","",MIN(24,MAX(1,ROUNDUP(($F71-DayPlan!$C$2+1)/7,0))))</f>
        <v/>
      </c>
      <c r="V71" s="47">
        <f>IF($A71=""," ",4*($J71="Yes")+3*($G71="No")+2*(N($I71)&gt;0)+1*(AND(ISNUMBER($H71),$H71&gt;45))+3*(AND(ISNUMBER($P71),$P71&lt;=TODAY()))-6*($S71="Yes")+(750-ROW())/100000)</f>
        <v/>
      </c>
      <c r="W71" s="47">
        <f>IF(OR($A71="",NOT(ISNUMBER($P71))),"",INT($P71-TODAY()))</f>
        <v/>
      </c>
      <c r="X71" s="47" t="n"/>
    </row>
    <row r="72">
      <c r="A72" s="50" t="n"/>
      <c r="B72" s="47" t="n"/>
      <c r="C72" s="47" t="n"/>
      <c r="D72" s="50" t="n"/>
      <c r="E72" s="50" t="n"/>
      <c r="F72" s="48" t="n"/>
      <c r="G72" s="47" t="n"/>
      <c r="H72" s="47" t="n"/>
      <c r="I72" s="47" t="n"/>
      <c r="J72" s="47" t="n"/>
      <c r="K72" s="47" t="n"/>
      <c r="L72" s="47" t="n"/>
      <c r="M72" s="50" t="n"/>
      <c r="N72" s="50" t="n"/>
      <c r="O72" s="50" t="n"/>
      <c r="P72" s="48">
        <f>IF($F72="","",IF($J72="Yes",$F72+1,IF($G72="No",$F72+2,IF(N($I72)&gt;2,$F72+3,IF(N($I72)&gt;0,$F72+5,$F72+7)))))</f>
        <v/>
      </c>
      <c r="Q72" s="48">
        <f>IF($P72="","",IF($J72="Yes",$P72+3,IF($G72="No",$P72+5,IF(N($I72)&gt;0,$P72+7,$P72+14))))</f>
        <v/>
      </c>
      <c r="R72" s="48">
        <f>IF($Q72="","",IF($J72="Yes",$Q72+7,IF($G72="No",$Q72+14,$Q72+30)))</f>
        <v/>
      </c>
      <c r="S72" s="47" t="n"/>
      <c r="T72" s="50" t="n"/>
      <c r="U72" s="47">
        <f>IF($F72="","",MIN(24,MAX(1,ROUNDUP(($F72-DayPlan!$C$2+1)/7,0))))</f>
        <v/>
      </c>
      <c r="V72" s="47">
        <f>IF($A72=""," ",4*($J72="Yes")+3*($G72="No")+2*(N($I72)&gt;0)+1*(AND(ISNUMBER($H72),$H72&gt;45))+3*(AND(ISNUMBER($P72),$P72&lt;=TODAY()))-6*($S72="Yes")+(750-ROW())/100000)</f>
        <v/>
      </c>
      <c r="W72" s="47">
        <f>IF(OR($A72="",NOT(ISNUMBER($P72))),"",INT($P72-TODAY()))</f>
        <v/>
      </c>
      <c r="X72" s="47" t="n"/>
    </row>
    <row r="73">
      <c r="A73" s="50" t="n"/>
      <c r="B73" s="47" t="n"/>
      <c r="C73" s="47" t="n"/>
      <c r="D73" s="50" t="n"/>
      <c r="E73" s="50" t="n"/>
      <c r="F73" s="48" t="n"/>
      <c r="G73" s="47" t="n"/>
      <c r="H73" s="47" t="n"/>
      <c r="I73" s="47" t="n"/>
      <c r="J73" s="47" t="n"/>
      <c r="K73" s="47" t="n"/>
      <c r="L73" s="47" t="n"/>
      <c r="M73" s="50" t="n"/>
      <c r="N73" s="50" t="n"/>
      <c r="O73" s="50" t="n"/>
      <c r="P73" s="48">
        <f>IF($F73="","",IF($J73="Yes",$F73+1,IF($G73="No",$F73+2,IF(N($I73)&gt;2,$F73+3,IF(N($I73)&gt;0,$F73+5,$F73+7)))))</f>
        <v/>
      </c>
      <c r="Q73" s="48">
        <f>IF($P73="","",IF($J73="Yes",$P73+3,IF($G73="No",$P73+5,IF(N($I73)&gt;0,$P73+7,$P73+14))))</f>
        <v/>
      </c>
      <c r="R73" s="48">
        <f>IF($Q73="","",IF($J73="Yes",$Q73+7,IF($G73="No",$Q73+14,$Q73+30)))</f>
        <v/>
      </c>
      <c r="S73" s="47" t="n"/>
      <c r="T73" s="50" t="n"/>
      <c r="U73" s="47">
        <f>IF($F73="","",MIN(24,MAX(1,ROUNDUP(($F73-DayPlan!$C$2+1)/7,0))))</f>
        <v/>
      </c>
      <c r="V73" s="47">
        <f>IF($A73=""," ",4*($J73="Yes")+3*($G73="No")+2*(N($I73)&gt;0)+1*(AND(ISNUMBER($H73),$H73&gt;45))+3*(AND(ISNUMBER($P73),$P73&lt;=TODAY()))-6*($S73="Yes")+(750-ROW())/100000)</f>
        <v/>
      </c>
      <c r="W73" s="47">
        <f>IF(OR($A73="",NOT(ISNUMBER($P73))),"",INT($P73-TODAY()))</f>
        <v/>
      </c>
      <c r="X73" s="47" t="n"/>
    </row>
    <row r="74">
      <c r="A74" s="50" t="n"/>
      <c r="B74" s="47" t="n"/>
      <c r="C74" s="47" t="n"/>
      <c r="D74" s="50" t="n"/>
      <c r="E74" s="50" t="n"/>
      <c r="F74" s="48" t="n"/>
      <c r="G74" s="47" t="n"/>
      <c r="H74" s="47" t="n"/>
      <c r="I74" s="47" t="n"/>
      <c r="J74" s="47" t="n"/>
      <c r="K74" s="47" t="n"/>
      <c r="L74" s="47" t="n"/>
      <c r="M74" s="50" t="n"/>
      <c r="N74" s="50" t="n"/>
      <c r="O74" s="50" t="n"/>
      <c r="P74" s="48">
        <f>IF($F74="","",IF($J74="Yes",$F74+1,IF($G74="No",$F74+2,IF(N($I74)&gt;2,$F74+3,IF(N($I74)&gt;0,$F74+5,$F74+7)))))</f>
        <v/>
      </c>
      <c r="Q74" s="48">
        <f>IF($P74="","",IF($J74="Yes",$P74+3,IF($G74="No",$P74+5,IF(N($I74)&gt;0,$P74+7,$P74+14))))</f>
        <v/>
      </c>
      <c r="R74" s="48">
        <f>IF($Q74="","",IF($J74="Yes",$Q74+7,IF($G74="No",$Q74+14,$Q74+30)))</f>
        <v/>
      </c>
      <c r="S74" s="47" t="n"/>
      <c r="T74" s="50" t="n"/>
      <c r="U74" s="47">
        <f>IF($F74="","",MIN(24,MAX(1,ROUNDUP(($F74-DayPlan!$C$2+1)/7,0))))</f>
        <v/>
      </c>
      <c r="V74" s="47">
        <f>IF($A74=""," ",4*($J74="Yes")+3*($G74="No")+2*(N($I74)&gt;0)+1*(AND(ISNUMBER($H74),$H74&gt;45))+3*(AND(ISNUMBER($P74),$P74&lt;=TODAY()))-6*($S74="Yes")+(750-ROW())/100000)</f>
        <v/>
      </c>
      <c r="W74" s="47">
        <f>IF(OR($A74="",NOT(ISNUMBER($P74))),"",INT($P74-TODAY()))</f>
        <v/>
      </c>
      <c r="X74" s="47" t="n"/>
    </row>
    <row r="75">
      <c r="A75" s="50" t="n"/>
      <c r="B75" s="47" t="n"/>
      <c r="C75" s="47" t="n"/>
      <c r="D75" s="50" t="n"/>
      <c r="E75" s="50" t="n"/>
      <c r="F75" s="48" t="n"/>
      <c r="G75" s="47" t="n"/>
      <c r="H75" s="47" t="n"/>
      <c r="I75" s="47" t="n"/>
      <c r="J75" s="47" t="n"/>
      <c r="K75" s="47" t="n"/>
      <c r="L75" s="47" t="n"/>
      <c r="M75" s="50" t="n"/>
      <c r="N75" s="50" t="n"/>
      <c r="O75" s="50" t="n"/>
      <c r="P75" s="48">
        <f>IF($F75="","",IF($J75="Yes",$F75+1,IF($G75="No",$F75+2,IF(N($I75)&gt;2,$F75+3,IF(N($I75)&gt;0,$F75+5,$F75+7)))))</f>
        <v/>
      </c>
      <c r="Q75" s="48">
        <f>IF($P75="","",IF($J75="Yes",$P75+3,IF($G75="No",$P75+5,IF(N($I75)&gt;0,$P75+7,$P75+14))))</f>
        <v/>
      </c>
      <c r="R75" s="48">
        <f>IF($Q75="","",IF($J75="Yes",$Q75+7,IF($G75="No",$Q75+14,$Q75+30)))</f>
        <v/>
      </c>
      <c r="S75" s="47" t="n"/>
      <c r="T75" s="50" t="n"/>
      <c r="U75" s="47">
        <f>IF($F75="","",MIN(24,MAX(1,ROUNDUP(($F75-DayPlan!$C$2+1)/7,0))))</f>
        <v/>
      </c>
      <c r="V75" s="47">
        <f>IF($A75=""," ",4*($J75="Yes")+3*($G75="No")+2*(N($I75)&gt;0)+1*(AND(ISNUMBER($H75),$H75&gt;45))+3*(AND(ISNUMBER($P75),$P75&lt;=TODAY()))-6*($S75="Yes")+(750-ROW())/100000)</f>
        <v/>
      </c>
      <c r="W75" s="47">
        <f>IF(OR($A75="",NOT(ISNUMBER($P75))),"",INT($P75-TODAY()))</f>
        <v/>
      </c>
      <c r="X75" s="47" t="n"/>
    </row>
    <row r="76">
      <c r="A76" s="50" t="n"/>
      <c r="B76" s="47" t="n"/>
      <c r="C76" s="47" t="n"/>
      <c r="D76" s="50" t="n"/>
      <c r="E76" s="50" t="n"/>
      <c r="F76" s="48" t="n"/>
      <c r="G76" s="47" t="n"/>
      <c r="H76" s="47" t="n"/>
      <c r="I76" s="47" t="n"/>
      <c r="J76" s="47" t="n"/>
      <c r="K76" s="47" t="n"/>
      <c r="L76" s="47" t="n"/>
      <c r="M76" s="50" t="n"/>
      <c r="N76" s="50" t="n"/>
      <c r="O76" s="50" t="n"/>
      <c r="P76" s="48">
        <f>IF($F76="","",IF($J76="Yes",$F76+1,IF($G76="No",$F76+2,IF(N($I76)&gt;2,$F76+3,IF(N($I76)&gt;0,$F76+5,$F76+7)))))</f>
        <v/>
      </c>
      <c r="Q76" s="48">
        <f>IF($P76="","",IF($J76="Yes",$P76+3,IF($G76="No",$P76+5,IF(N($I76)&gt;0,$P76+7,$P76+14))))</f>
        <v/>
      </c>
      <c r="R76" s="48">
        <f>IF($Q76="","",IF($J76="Yes",$Q76+7,IF($G76="No",$Q76+14,$Q76+30)))</f>
        <v/>
      </c>
      <c r="S76" s="47" t="n"/>
      <c r="T76" s="50" t="n"/>
      <c r="U76" s="47">
        <f>IF($F76="","",MIN(24,MAX(1,ROUNDUP(($F76-DayPlan!$C$2+1)/7,0))))</f>
        <v/>
      </c>
      <c r="V76" s="47">
        <f>IF($A76=""," ",4*($J76="Yes")+3*($G76="No")+2*(N($I76)&gt;0)+1*(AND(ISNUMBER($H76),$H76&gt;45))+3*(AND(ISNUMBER($P76),$P76&lt;=TODAY()))-6*($S76="Yes")+(750-ROW())/100000)</f>
        <v/>
      </c>
      <c r="W76" s="47">
        <f>IF(OR($A76="",NOT(ISNUMBER($P76))),"",INT($P76-TODAY()))</f>
        <v/>
      </c>
      <c r="X76" s="47" t="n"/>
    </row>
    <row r="77">
      <c r="A77" s="50" t="n"/>
      <c r="B77" s="47" t="n"/>
      <c r="C77" s="47" t="n"/>
      <c r="D77" s="50" t="n"/>
      <c r="E77" s="50" t="n"/>
      <c r="F77" s="48" t="n"/>
      <c r="G77" s="47" t="n"/>
      <c r="H77" s="47" t="n"/>
      <c r="I77" s="47" t="n"/>
      <c r="J77" s="47" t="n"/>
      <c r="K77" s="47" t="n"/>
      <c r="L77" s="47" t="n"/>
      <c r="M77" s="50" t="n"/>
      <c r="N77" s="50" t="n"/>
      <c r="O77" s="50" t="n"/>
      <c r="P77" s="48">
        <f>IF($F77="","",IF($J77="Yes",$F77+1,IF($G77="No",$F77+2,IF(N($I77)&gt;2,$F77+3,IF(N($I77)&gt;0,$F77+5,$F77+7)))))</f>
        <v/>
      </c>
      <c r="Q77" s="48">
        <f>IF($P77="","",IF($J77="Yes",$P77+3,IF($G77="No",$P77+5,IF(N($I77)&gt;0,$P77+7,$P77+14))))</f>
        <v/>
      </c>
      <c r="R77" s="48">
        <f>IF($Q77="","",IF($J77="Yes",$Q77+7,IF($G77="No",$Q77+14,$Q77+30)))</f>
        <v/>
      </c>
      <c r="S77" s="47" t="n"/>
      <c r="T77" s="50" t="n"/>
      <c r="U77" s="47">
        <f>IF($F77="","",MIN(24,MAX(1,ROUNDUP(($F77-DayPlan!$C$2+1)/7,0))))</f>
        <v/>
      </c>
      <c r="V77" s="47">
        <f>IF($A77=""," ",4*($J77="Yes")+3*($G77="No")+2*(N($I77)&gt;0)+1*(AND(ISNUMBER($H77),$H77&gt;45))+3*(AND(ISNUMBER($P77),$P77&lt;=TODAY()))-6*($S77="Yes")+(750-ROW())/100000)</f>
        <v/>
      </c>
      <c r="W77" s="47">
        <f>IF(OR($A77="",NOT(ISNUMBER($P77))),"",INT($P77-TODAY()))</f>
        <v/>
      </c>
      <c r="X77" s="47" t="n"/>
    </row>
    <row r="78">
      <c r="A78" s="50" t="n"/>
      <c r="B78" s="47" t="n"/>
      <c r="C78" s="47" t="n"/>
      <c r="D78" s="50" t="n"/>
      <c r="E78" s="50" t="n"/>
      <c r="F78" s="48" t="n"/>
      <c r="G78" s="47" t="n"/>
      <c r="H78" s="47" t="n"/>
      <c r="I78" s="47" t="n"/>
      <c r="J78" s="47" t="n"/>
      <c r="K78" s="47" t="n"/>
      <c r="L78" s="47" t="n"/>
      <c r="M78" s="50" t="n"/>
      <c r="N78" s="50" t="n"/>
      <c r="O78" s="50" t="n"/>
      <c r="P78" s="48">
        <f>IF($F78="","",IF($J78="Yes",$F78+1,IF($G78="No",$F78+2,IF(N($I78)&gt;2,$F78+3,IF(N($I78)&gt;0,$F78+5,$F78+7)))))</f>
        <v/>
      </c>
      <c r="Q78" s="48">
        <f>IF($P78="","",IF($J78="Yes",$P78+3,IF($G78="No",$P78+5,IF(N($I78)&gt;0,$P78+7,$P78+14))))</f>
        <v/>
      </c>
      <c r="R78" s="48">
        <f>IF($Q78="","",IF($J78="Yes",$Q78+7,IF($G78="No",$Q78+14,$Q78+30)))</f>
        <v/>
      </c>
      <c r="S78" s="47" t="n"/>
      <c r="T78" s="50" t="n"/>
      <c r="U78" s="47">
        <f>IF($F78="","",MIN(24,MAX(1,ROUNDUP(($F78-DayPlan!$C$2+1)/7,0))))</f>
        <v/>
      </c>
      <c r="V78" s="47">
        <f>IF($A78=""," ",4*($J78="Yes")+3*($G78="No")+2*(N($I78)&gt;0)+1*(AND(ISNUMBER($H78),$H78&gt;45))+3*(AND(ISNUMBER($P78),$P78&lt;=TODAY()))-6*($S78="Yes")+(750-ROW())/100000)</f>
        <v/>
      </c>
      <c r="W78" s="47">
        <f>IF(OR($A78="",NOT(ISNUMBER($P78))),"",INT($P78-TODAY()))</f>
        <v/>
      </c>
      <c r="X78" s="47" t="n"/>
    </row>
    <row r="79">
      <c r="A79" s="50" t="n"/>
      <c r="B79" s="47" t="n"/>
      <c r="C79" s="47" t="n"/>
      <c r="D79" s="50" t="n"/>
      <c r="E79" s="50" t="n"/>
      <c r="F79" s="48" t="n"/>
      <c r="G79" s="47" t="n"/>
      <c r="H79" s="47" t="n"/>
      <c r="I79" s="47" t="n"/>
      <c r="J79" s="47" t="n"/>
      <c r="K79" s="47" t="n"/>
      <c r="L79" s="47" t="n"/>
      <c r="M79" s="50" t="n"/>
      <c r="N79" s="50" t="n"/>
      <c r="O79" s="50" t="n"/>
      <c r="P79" s="48">
        <f>IF($F79="","",IF($J79="Yes",$F79+1,IF($G79="No",$F79+2,IF(N($I79)&gt;2,$F79+3,IF(N($I79)&gt;0,$F79+5,$F79+7)))))</f>
        <v/>
      </c>
      <c r="Q79" s="48">
        <f>IF($P79="","",IF($J79="Yes",$P79+3,IF($G79="No",$P79+5,IF(N($I79)&gt;0,$P79+7,$P79+14))))</f>
        <v/>
      </c>
      <c r="R79" s="48">
        <f>IF($Q79="","",IF($J79="Yes",$Q79+7,IF($G79="No",$Q79+14,$Q79+30)))</f>
        <v/>
      </c>
      <c r="S79" s="47" t="n"/>
      <c r="T79" s="50" t="n"/>
      <c r="U79" s="47">
        <f>IF($F79="","",MIN(24,MAX(1,ROUNDUP(($F79-DayPlan!$C$2+1)/7,0))))</f>
        <v/>
      </c>
      <c r="V79" s="47">
        <f>IF($A79=""," ",4*($J79="Yes")+3*($G79="No")+2*(N($I79)&gt;0)+1*(AND(ISNUMBER($H79),$H79&gt;45))+3*(AND(ISNUMBER($P79),$P79&lt;=TODAY()))-6*($S79="Yes")+(750-ROW())/100000)</f>
        <v/>
      </c>
      <c r="W79" s="47">
        <f>IF(OR($A79="",NOT(ISNUMBER($P79))),"",INT($P79-TODAY()))</f>
        <v/>
      </c>
      <c r="X79" s="47" t="n"/>
    </row>
    <row r="80">
      <c r="A80" s="50" t="n"/>
      <c r="B80" s="47" t="n"/>
      <c r="C80" s="47" t="n"/>
      <c r="D80" s="50" t="n"/>
      <c r="E80" s="50" t="n"/>
      <c r="F80" s="48" t="n"/>
      <c r="G80" s="47" t="n"/>
      <c r="H80" s="47" t="n"/>
      <c r="I80" s="47" t="n"/>
      <c r="J80" s="47" t="n"/>
      <c r="K80" s="47" t="n"/>
      <c r="L80" s="47" t="n"/>
      <c r="M80" s="50" t="n"/>
      <c r="N80" s="50" t="n"/>
      <c r="O80" s="50" t="n"/>
      <c r="P80" s="48">
        <f>IF($F80="","",IF($J80="Yes",$F80+1,IF($G80="No",$F80+2,IF(N($I80)&gt;2,$F80+3,IF(N($I80)&gt;0,$F80+5,$F80+7)))))</f>
        <v/>
      </c>
      <c r="Q80" s="48">
        <f>IF($P80="","",IF($J80="Yes",$P80+3,IF($G80="No",$P80+5,IF(N($I80)&gt;0,$P80+7,$P80+14))))</f>
        <v/>
      </c>
      <c r="R80" s="48">
        <f>IF($Q80="","",IF($J80="Yes",$Q80+7,IF($G80="No",$Q80+14,$Q80+30)))</f>
        <v/>
      </c>
      <c r="S80" s="47" t="n"/>
      <c r="T80" s="50" t="n"/>
      <c r="U80" s="47">
        <f>IF($F80="","",MIN(24,MAX(1,ROUNDUP(($F80-DayPlan!$C$2+1)/7,0))))</f>
        <v/>
      </c>
      <c r="V80" s="47">
        <f>IF($A80=""," ",4*($J80="Yes")+3*($G80="No")+2*(N($I80)&gt;0)+1*(AND(ISNUMBER($H80),$H80&gt;45))+3*(AND(ISNUMBER($P80),$P80&lt;=TODAY()))-6*($S80="Yes")+(750-ROW())/100000)</f>
        <v/>
      </c>
      <c r="W80" s="47">
        <f>IF(OR($A80="",NOT(ISNUMBER($P80))),"",INT($P80-TODAY()))</f>
        <v/>
      </c>
      <c r="X80" s="47" t="n"/>
    </row>
    <row r="81">
      <c r="A81" s="50" t="n"/>
      <c r="B81" s="47" t="n"/>
      <c r="C81" s="47" t="n"/>
      <c r="D81" s="50" t="n"/>
      <c r="E81" s="50" t="n"/>
      <c r="F81" s="48" t="n"/>
      <c r="G81" s="47" t="n"/>
      <c r="H81" s="47" t="n"/>
      <c r="I81" s="47" t="n"/>
      <c r="J81" s="47" t="n"/>
      <c r="K81" s="47" t="n"/>
      <c r="L81" s="47" t="n"/>
      <c r="M81" s="50" t="n"/>
      <c r="N81" s="50" t="n"/>
      <c r="O81" s="50" t="n"/>
      <c r="P81" s="48">
        <f>IF($F81="","",IF($J81="Yes",$F81+1,IF($G81="No",$F81+2,IF(N($I81)&gt;2,$F81+3,IF(N($I81)&gt;0,$F81+5,$F81+7)))))</f>
        <v/>
      </c>
      <c r="Q81" s="48">
        <f>IF($P81="","",IF($J81="Yes",$P81+3,IF($G81="No",$P81+5,IF(N($I81)&gt;0,$P81+7,$P81+14))))</f>
        <v/>
      </c>
      <c r="R81" s="48">
        <f>IF($Q81="","",IF($J81="Yes",$Q81+7,IF($G81="No",$Q81+14,$Q81+30)))</f>
        <v/>
      </c>
      <c r="S81" s="47" t="n"/>
      <c r="T81" s="50" t="n"/>
      <c r="U81" s="47">
        <f>IF($F81="","",MIN(24,MAX(1,ROUNDUP(($F81-DayPlan!$C$2+1)/7,0))))</f>
        <v/>
      </c>
      <c r="V81" s="47">
        <f>IF($A81=""," ",4*($J81="Yes")+3*($G81="No")+2*(N($I81)&gt;0)+1*(AND(ISNUMBER($H81),$H81&gt;45))+3*(AND(ISNUMBER($P81),$P81&lt;=TODAY()))-6*($S81="Yes")+(750-ROW())/100000)</f>
        <v/>
      </c>
      <c r="W81" s="47">
        <f>IF(OR($A81="",NOT(ISNUMBER($P81))),"",INT($P81-TODAY()))</f>
        <v/>
      </c>
      <c r="X81" s="47" t="n"/>
    </row>
    <row r="82">
      <c r="A82" s="50" t="n"/>
      <c r="B82" s="47" t="n"/>
      <c r="C82" s="47" t="n"/>
      <c r="D82" s="50" t="n"/>
      <c r="E82" s="50" t="n"/>
      <c r="F82" s="48" t="n"/>
      <c r="G82" s="47" t="n"/>
      <c r="H82" s="47" t="n"/>
      <c r="I82" s="47" t="n"/>
      <c r="J82" s="47" t="n"/>
      <c r="K82" s="47" t="n"/>
      <c r="L82" s="47" t="n"/>
      <c r="M82" s="50" t="n"/>
      <c r="N82" s="50" t="n"/>
      <c r="O82" s="50" t="n"/>
      <c r="P82" s="48">
        <f>IF($F82="","",IF($J82="Yes",$F82+1,IF($G82="No",$F82+2,IF(N($I82)&gt;2,$F82+3,IF(N($I82)&gt;0,$F82+5,$F82+7)))))</f>
        <v/>
      </c>
      <c r="Q82" s="48">
        <f>IF($P82="","",IF($J82="Yes",$P82+3,IF($G82="No",$P82+5,IF(N($I82)&gt;0,$P82+7,$P82+14))))</f>
        <v/>
      </c>
      <c r="R82" s="48">
        <f>IF($Q82="","",IF($J82="Yes",$Q82+7,IF($G82="No",$Q82+14,$Q82+30)))</f>
        <v/>
      </c>
      <c r="S82" s="47" t="n"/>
      <c r="T82" s="50" t="n"/>
      <c r="U82" s="47">
        <f>IF($F82="","",MIN(24,MAX(1,ROUNDUP(($F82-DayPlan!$C$2+1)/7,0))))</f>
        <v/>
      </c>
      <c r="V82" s="47">
        <f>IF($A82=""," ",4*($J82="Yes")+3*($G82="No")+2*(N($I82)&gt;0)+1*(AND(ISNUMBER($H82),$H82&gt;45))+3*(AND(ISNUMBER($P82),$P82&lt;=TODAY()))-6*($S82="Yes")+(750-ROW())/100000)</f>
        <v/>
      </c>
      <c r="W82" s="47">
        <f>IF(OR($A82="",NOT(ISNUMBER($P82))),"",INT($P82-TODAY()))</f>
        <v/>
      </c>
      <c r="X82" s="47" t="n"/>
    </row>
    <row r="83">
      <c r="A83" s="50" t="n"/>
      <c r="B83" s="47" t="n"/>
      <c r="C83" s="47" t="n"/>
      <c r="D83" s="50" t="n"/>
      <c r="E83" s="50" t="n"/>
      <c r="F83" s="48" t="n"/>
      <c r="G83" s="47" t="n"/>
      <c r="H83" s="47" t="n"/>
      <c r="I83" s="47" t="n"/>
      <c r="J83" s="47" t="n"/>
      <c r="K83" s="47" t="n"/>
      <c r="L83" s="47" t="n"/>
      <c r="M83" s="50" t="n"/>
      <c r="N83" s="50" t="n"/>
      <c r="O83" s="50" t="n"/>
      <c r="P83" s="48">
        <f>IF($F83="","",IF($J83="Yes",$F83+1,IF($G83="No",$F83+2,IF(N($I83)&gt;2,$F83+3,IF(N($I83)&gt;0,$F83+5,$F83+7)))))</f>
        <v/>
      </c>
      <c r="Q83" s="48">
        <f>IF($P83="","",IF($J83="Yes",$P83+3,IF($G83="No",$P83+5,IF(N($I83)&gt;0,$P83+7,$P83+14))))</f>
        <v/>
      </c>
      <c r="R83" s="48">
        <f>IF($Q83="","",IF($J83="Yes",$Q83+7,IF($G83="No",$Q83+14,$Q83+30)))</f>
        <v/>
      </c>
      <c r="S83" s="47" t="n"/>
      <c r="T83" s="50" t="n"/>
      <c r="U83" s="47">
        <f>IF($F83="","",MIN(24,MAX(1,ROUNDUP(($F83-DayPlan!$C$2+1)/7,0))))</f>
        <v/>
      </c>
      <c r="V83" s="47">
        <f>IF($A83=""," ",4*($J83="Yes")+3*($G83="No")+2*(N($I83)&gt;0)+1*(AND(ISNUMBER($H83),$H83&gt;45))+3*(AND(ISNUMBER($P83),$P83&lt;=TODAY()))-6*($S83="Yes")+(750-ROW())/100000)</f>
        <v/>
      </c>
      <c r="W83" s="47">
        <f>IF(OR($A83="",NOT(ISNUMBER($P83))),"",INT($P83-TODAY()))</f>
        <v/>
      </c>
      <c r="X83" s="47" t="n"/>
    </row>
    <row r="84">
      <c r="A84" s="50" t="n"/>
      <c r="B84" s="47" t="n"/>
      <c r="C84" s="47" t="n"/>
      <c r="D84" s="50" t="n"/>
      <c r="E84" s="50" t="n"/>
      <c r="F84" s="48" t="n"/>
      <c r="G84" s="47" t="n"/>
      <c r="H84" s="47" t="n"/>
      <c r="I84" s="47" t="n"/>
      <c r="J84" s="47" t="n"/>
      <c r="K84" s="47" t="n"/>
      <c r="L84" s="47" t="n"/>
      <c r="M84" s="50" t="n"/>
      <c r="N84" s="50" t="n"/>
      <c r="O84" s="50" t="n"/>
      <c r="P84" s="48">
        <f>IF($F84="","",IF($J84="Yes",$F84+1,IF($G84="No",$F84+2,IF(N($I84)&gt;2,$F84+3,IF(N($I84)&gt;0,$F84+5,$F84+7)))))</f>
        <v/>
      </c>
      <c r="Q84" s="48">
        <f>IF($P84="","",IF($J84="Yes",$P84+3,IF($G84="No",$P84+5,IF(N($I84)&gt;0,$P84+7,$P84+14))))</f>
        <v/>
      </c>
      <c r="R84" s="48">
        <f>IF($Q84="","",IF($J84="Yes",$Q84+7,IF($G84="No",$Q84+14,$Q84+30)))</f>
        <v/>
      </c>
      <c r="S84" s="47" t="n"/>
      <c r="T84" s="50" t="n"/>
      <c r="U84" s="47">
        <f>IF($F84="","",MIN(24,MAX(1,ROUNDUP(($F84-DayPlan!$C$2+1)/7,0))))</f>
        <v/>
      </c>
      <c r="V84" s="47">
        <f>IF($A84=""," ",4*($J84="Yes")+3*($G84="No")+2*(N($I84)&gt;0)+1*(AND(ISNUMBER($H84),$H84&gt;45))+3*(AND(ISNUMBER($P84),$P84&lt;=TODAY()))-6*($S84="Yes")+(750-ROW())/100000)</f>
        <v/>
      </c>
      <c r="W84" s="47">
        <f>IF(OR($A84="",NOT(ISNUMBER($P84))),"",INT($P84-TODAY()))</f>
        <v/>
      </c>
      <c r="X84" s="47" t="n"/>
    </row>
    <row r="85">
      <c r="A85" s="50" t="n"/>
      <c r="B85" s="47" t="n"/>
      <c r="C85" s="47" t="n"/>
      <c r="D85" s="50" t="n"/>
      <c r="E85" s="50" t="n"/>
      <c r="F85" s="48" t="n"/>
      <c r="G85" s="47" t="n"/>
      <c r="H85" s="47" t="n"/>
      <c r="I85" s="47" t="n"/>
      <c r="J85" s="47" t="n"/>
      <c r="K85" s="47" t="n"/>
      <c r="L85" s="47" t="n"/>
      <c r="M85" s="50" t="n"/>
      <c r="N85" s="50" t="n"/>
      <c r="O85" s="50" t="n"/>
      <c r="P85" s="48">
        <f>IF($F85="","",IF($J85="Yes",$F85+1,IF($G85="No",$F85+2,IF(N($I85)&gt;2,$F85+3,IF(N($I85)&gt;0,$F85+5,$F85+7)))))</f>
        <v/>
      </c>
      <c r="Q85" s="48">
        <f>IF($P85="","",IF($J85="Yes",$P85+3,IF($G85="No",$P85+5,IF(N($I85)&gt;0,$P85+7,$P85+14))))</f>
        <v/>
      </c>
      <c r="R85" s="48">
        <f>IF($Q85="","",IF($J85="Yes",$Q85+7,IF($G85="No",$Q85+14,$Q85+30)))</f>
        <v/>
      </c>
      <c r="S85" s="47" t="n"/>
      <c r="T85" s="50" t="n"/>
      <c r="U85" s="47">
        <f>IF($F85="","",MIN(24,MAX(1,ROUNDUP(($F85-DayPlan!$C$2+1)/7,0))))</f>
        <v/>
      </c>
      <c r="V85" s="47">
        <f>IF($A85=""," ",4*($J85="Yes")+3*($G85="No")+2*(N($I85)&gt;0)+1*(AND(ISNUMBER($H85),$H85&gt;45))+3*(AND(ISNUMBER($P85),$P85&lt;=TODAY()))-6*($S85="Yes")+(750-ROW())/100000)</f>
        <v/>
      </c>
      <c r="W85" s="47">
        <f>IF(OR($A85="",NOT(ISNUMBER($P85))),"",INT($P85-TODAY()))</f>
        <v/>
      </c>
      <c r="X85" s="47" t="n"/>
    </row>
    <row r="86">
      <c r="A86" s="50" t="n"/>
      <c r="B86" s="47" t="n"/>
      <c r="C86" s="47" t="n"/>
      <c r="D86" s="50" t="n"/>
      <c r="E86" s="50" t="n"/>
      <c r="F86" s="48" t="n"/>
      <c r="G86" s="47" t="n"/>
      <c r="H86" s="47" t="n"/>
      <c r="I86" s="47" t="n"/>
      <c r="J86" s="47" t="n"/>
      <c r="K86" s="47" t="n"/>
      <c r="L86" s="47" t="n"/>
      <c r="M86" s="50" t="n"/>
      <c r="N86" s="50" t="n"/>
      <c r="O86" s="50" t="n"/>
      <c r="P86" s="48">
        <f>IF($F86="","",IF($J86="Yes",$F86+1,IF($G86="No",$F86+2,IF(N($I86)&gt;2,$F86+3,IF(N($I86)&gt;0,$F86+5,$F86+7)))))</f>
        <v/>
      </c>
      <c r="Q86" s="48">
        <f>IF($P86="","",IF($J86="Yes",$P86+3,IF($G86="No",$P86+5,IF(N($I86)&gt;0,$P86+7,$P86+14))))</f>
        <v/>
      </c>
      <c r="R86" s="48">
        <f>IF($Q86="","",IF($J86="Yes",$Q86+7,IF($G86="No",$Q86+14,$Q86+30)))</f>
        <v/>
      </c>
      <c r="S86" s="47" t="n"/>
      <c r="T86" s="50" t="n"/>
      <c r="U86" s="47">
        <f>IF($F86="","",MIN(24,MAX(1,ROUNDUP(($F86-DayPlan!$C$2+1)/7,0))))</f>
        <v/>
      </c>
      <c r="V86" s="47">
        <f>IF($A86=""," ",4*($J86="Yes")+3*($G86="No")+2*(N($I86)&gt;0)+1*(AND(ISNUMBER($H86),$H86&gt;45))+3*(AND(ISNUMBER($P86),$P86&lt;=TODAY()))-6*($S86="Yes")+(750-ROW())/100000)</f>
        <v/>
      </c>
      <c r="W86" s="47">
        <f>IF(OR($A86="",NOT(ISNUMBER($P86))),"",INT($P86-TODAY()))</f>
        <v/>
      </c>
      <c r="X86" s="47" t="n"/>
    </row>
    <row r="87">
      <c r="A87" s="50" t="n"/>
      <c r="B87" s="47" t="n"/>
      <c r="C87" s="47" t="n"/>
      <c r="D87" s="50" t="n"/>
      <c r="E87" s="50" t="n"/>
      <c r="F87" s="48" t="n"/>
      <c r="G87" s="47" t="n"/>
      <c r="H87" s="47" t="n"/>
      <c r="I87" s="47" t="n"/>
      <c r="J87" s="47" t="n"/>
      <c r="K87" s="47" t="n"/>
      <c r="L87" s="47" t="n"/>
      <c r="M87" s="50" t="n"/>
      <c r="N87" s="50" t="n"/>
      <c r="O87" s="50" t="n"/>
      <c r="P87" s="48">
        <f>IF($F87="","",IF($J87="Yes",$F87+1,IF($G87="No",$F87+2,IF(N($I87)&gt;2,$F87+3,IF(N($I87)&gt;0,$F87+5,$F87+7)))))</f>
        <v/>
      </c>
      <c r="Q87" s="48">
        <f>IF($P87="","",IF($J87="Yes",$P87+3,IF($G87="No",$P87+5,IF(N($I87)&gt;0,$P87+7,$P87+14))))</f>
        <v/>
      </c>
      <c r="R87" s="48">
        <f>IF($Q87="","",IF($J87="Yes",$Q87+7,IF($G87="No",$Q87+14,$Q87+30)))</f>
        <v/>
      </c>
      <c r="S87" s="47" t="n"/>
      <c r="T87" s="50" t="n"/>
      <c r="U87" s="47">
        <f>IF($F87="","",MIN(24,MAX(1,ROUNDUP(($F87-DayPlan!$C$2+1)/7,0))))</f>
        <v/>
      </c>
      <c r="V87" s="47">
        <f>IF($A87=""," ",4*($J87="Yes")+3*($G87="No")+2*(N($I87)&gt;0)+1*(AND(ISNUMBER($H87),$H87&gt;45))+3*(AND(ISNUMBER($P87),$P87&lt;=TODAY()))-6*($S87="Yes")+(750-ROW())/100000)</f>
        <v/>
      </c>
      <c r="W87" s="47">
        <f>IF(OR($A87="",NOT(ISNUMBER($P87))),"",INT($P87-TODAY()))</f>
        <v/>
      </c>
      <c r="X87" s="47" t="n"/>
    </row>
    <row r="88">
      <c r="A88" s="50" t="n"/>
      <c r="B88" s="47" t="n"/>
      <c r="C88" s="47" t="n"/>
      <c r="D88" s="50" t="n"/>
      <c r="E88" s="50" t="n"/>
      <c r="F88" s="48" t="n"/>
      <c r="G88" s="47" t="n"/>
      <c r="H88" s="47" t="n"/>
      <c r="I88" s="47" t="n"/>
      <c r="J88" s="47" t="n"/>
      <c r="K88" s="47" t="n"/>
      <c r="L88" s="47" t="n"/>
      <c r="M88" s="50" t="n"/>
      <c r="N88" s="50" t="n"/>
      <c r="O88" s="50" t="n"/>
      <c r="P88" s="48">
        <f>IF($F88="","",IF($J88="Yes",$F88+1,IF($G88="No",$F88+2,IF(N($I88)&gt;2,$F88+3,IF(N($I88)&gt;0,$F88+5,$F88+7)))))</f>
        <v/>
      </c>
      <c r="Q88" s="48">
        <f>IF($P88="","",IF($J88="Yes",$P88+3,IF($G88="No",$P88+5,IF(N($I88)&gt;0,$P88+7,$P88+14))))</f>
        <v/>
      </c>
      <c r="R88" s="48">
        <f>IF($Q88="","",IF($J88="Yes",$Q88+7,IF($G88="No",$Q88+14,$Q88+30)))</f>
        <v/>
      </c>
      <c r="S88" s="47" t="n"/>
      <c r="T88" s="50" t="n"/>
      <c r="U88" s="47">
        <f>IF($F88="","",MIN(24,MAX(1,ROUNDUP(($F88-DayPlan!$C$2+1)/7,0))))</f>
        <v/>
      </c>
      <c r="V88" s="47">
        <f>IF($A88=""," ",4*($J88="Yes")+3*($G88="No")+2*(N($I88)&gt;0)+1*(AND(ISNUMBER($H88),$H88&gt;45))+3*(AND(ISNUMBER($P88),$P88&lt;=TODAY()))-6*($S88="Yes")+(750-ROW())/100000)</f>
        <v/>
      </c>
      <c r="W88" s="47">
        <f>IF(OR($A88="",NOT(ISNUMBER($P88))),"",INT($P88-TODAY()))</f>
        <v/>
      </c>
      <c r="X88" s="47" t="n"/>
    </row>
    <row r="89">
      <c r="A89" s="50" t="n"/>
      <c r="B89" s="47" t="n"/>
      <c r="C89" s="47" t="n"/>
      <c r="D89" s="50" t="n"/>
      <c r="E89" s="50" t="n"/>
      <c r="F89" s="48" t="n"/>
      <c r="G89" s="47" t="n"/>
      <c r="H89" s="47" t="n"/>
      <c r="I89" s="47" t="n"/>
      <c r="J89" s="47" t="n"/>
      <c r="K89" s="47" t="n"/>
      <c r="L89" s="47" t="n"/>
      <c r="M89" s="50" t="n"/>
      <c r="N89" s="50" t="n"/>
      <c r="O89" s="50" t="n"/>
      <c r="P89" s="48">
        <f>IF($F89="","",IF($J89="Yes",$F89+1,IF($G89="No",$F89+2,IF(N($I89)&gt;2,$F89+3,IF(N($I89)&gt;0,$F89+5,$F89+7)))))</f>
        <v/>
      </c>
      <c r="Q89" s="48">
        <f>IF($P89="","",IF($J89="Yes",$P89+3,IF($G89="No",$P89+5,IF(N($I89)&gt;0,$P89+7,$P89+14))))</f>
        <v/>
      </c>
      <c r="R89" s="48">
        <f>IF($Q89="","",IF($J89="Yes",$Q89+7,IF($G89="No",$Q89+14,$Q89+30)))</f>
        <v/>
      </c>
      <c r="S89" s="47" t="n"/>
      <c r="T89" s="50" t="n"/>
      <c r="U89" s="47">
        <f>IF($F89="","",MIN(24,MAX(1,ROUNDUP(($F89-DayPlan!$C$2+1)/7,0))))</f>
        <v/>
      </c>
      <c r="V89" s="47">
        <f>IF($A89=""," ",4*($J89="Yes")+3*($G89="No")+2*(N($I89)&gt;0)+1*(AND(ISNUMBER($H89),$H89&gt;45))+3*(AND(ISNUMBER($P89),$P89&lt;=TODAY()))-6*($S89="Yes")+(750-ROW())/100000)</f>
        <v/>
      </c>
      <c r="W89" s="47">
        <f>IF(OR($A89="",NOT(ISNUMBER($P89))),"",INT($P89-TODAY()))</f>
        <v/>
      </c>
      <c r="X89" s="47" t="n"/>
    </row>
    <row r="90">
      <c r="A90" s="50" t="n"/>
      <c r="B90" s="47" t="n"/>
      <c r="C90" s="47" t="n"/>
      <c r="D90" s="50" t="n"/>
      <c r="E90" s="50" t="n"/>
      <c r="F90" s="48" t="n"/>
      <c r="G90" s="47" t="n"/>
      <c r="H90" s="47" t="n"/>
      <c r="I90" s="47" t="n"/>
      <c r="J90" s="47" t="n"/>
      <c r="K90" s="47" t="n"/>
      <c r="L90" s="47" t="n"/>
      <c r="M90" s="50" t="n"/>
      <c r="N90" s="50" t="n"/>
      <c r="O90" s="50" t="n"/>
      <c r="P90" s="48">
        <f>IF($F90="","",IF($J90="Yes",$F90+1,IF($G90="No",$F90+2,IF(N($I90)&gt;2,$F90+3,IF(N($I90)&gt;0,$F90+5,$F90+7)))))</f>
        <v/>
      </c>
      <c r="Q90" s="48">
        <f>IF($P90="","",IF($J90="Yes",$P90+3,IF($G90="No",$P90+5,IF(N($I90)&gt;0,$P90+7,$P90+14))))</f>
        <v/>
      </c>
      <c r="R90" s="48">
        <f>IF($Q90="","",IF($J90="Yes",$Q90+7,IF($G90="No",$Q90+14,$Q90+30)))</f>
        <v/>
      </c>
      <c r="S90" s="47" t="n"/>
      <c r="T90" s="50" t="n"/>
      <c r="U90" s="47">
        <f>IF($F90="","",MIN(24,MAX(1,ROUNDUP(($F90-DayPlan!$C$2+1)/7,0))))</f>
        <v/>
      </c>
      <c r="V90" s="47">
        <f>IF($A90=""," ",4*($J90="Yes")+3*($G90="No")+2*(N($I90)&gt;0)+1*(AND(ISNUMBER($H90),$H90&gt;45))+3*(AND(ISNUMBER($P90),$P90&lt;=TODAY()))-6*($S90="Yes")+(750-ROW())/100000)</f>
        <v/>
      </c>
      <c r="W90" s="47">
        <f>IF(OR($A90="",NOT(ISNUMBER($P90))),"",INT($P90-TODAY()))</f>
        <v/>
      </c>
      <c r="X90" s="47" t="n"/>
    </row>
    <row r="91">
      <c r="A91" s="50" t="n"/>
      <c r="B91" s="47" t="n"/>
      <c r="C91" s="47" t="n"/>
      <c r="D91" s="50" t="n"/>
      <c r="E91" s="50" t="n"/>
      <c r="F91" s="48" t="n"/>
      <c r="G91" s="47" t="n"/>
      <c r="H91" s="47" t="n"/>
      <c r="I91" s="47" t="n"/>
      <c r="J91" s="47" t="n"/>
      <c r="K91" s="47" t="n"/>
      <c r="L91" s="47" t="n"/>
      <c r="M91" s="50" t="n"/>
      <c r="N91" s="50" t="n"/>
      <c r="O91" s="50" t="n"/>
      <c r="P91" s="48">
        <f>IF($F91="","",IF($J91="Yes",$F91+1,IF($G91="No",$F91+2,IF(N($I91)&gt;2,$F91+3,IF(N($I91)&gt;0,$F91+5,$F91+7)))))</f>
        <v/>
      </c>
      <c r="Q91" s="48">
        <f>IF($P91="","",IF($J91="Yes",$P91+3,IF($G91="No",$P91+5,IF(N($I91)&gt;0,$P91+7,$P91+14))))</f>
        <v/>
      </c>
      <c r="R91" s="48">
        <f>IF($Q91="","",IF($J91="Yes",$Q91+7,IF($G91="No",$Q91+14,$Q91+30)))</f>
        <v/>
      </c>
      <c r="S91" s="47" t="n"/>
      <c r="T91" s="50" t="n"/>
      <c r="U91" s="47">
        <f>IF($F91="","",MIN(24,MAX(1,ROUNDUP(($F91-DayPlan!$C$2+1)/7,0))))</f>
        <v/>
      </c>
      <c r="V91" s="47">
        <f>IF($A91=""," ",4*($J91="Yes")+3*($G91="No")+2*(N($I91)&gt;0)+1*(AND(ISNUMBER($H91),$H91&gt;45))+3*(AND(ISNUMBER($P91),$P91&lt;=TODAY()))-6*($S91="Yes")+(750-ROW())/100000)</f>
        <v/>
      </c>
      <c r="W91" s="47">
        <f>IF(OR($A91="",NOT(ISNUMBER($P91))),"",INT($P91-TODAY()))</f>
        <v/>
      </c>
      <c r="X91" s="47" t="n"/>
    </row>
    <row r="92">
      <c r="A92" s="50" t="n"/>
      <c r="B92" s="47" t="n"/>
      <c r="C92" s="47" t="n"/>
      <c r="D92" s="50" t="n"/>
      <c r="E92" s="50" t="n"/>
      <c r="F92" s="48" t="n"/>
      <c r="G92" s="47" t="n"/>
      <c r="H92" s="47" t="n"/>
      <c r="I92" s="47" t="n"/>
      <c r="J92" s="47" t="n"/>
      <c r="K92" s="47" t="n"/>
      <c r="L92" s="47" t="n"/>
      <c r="M92" s="50" t="n"/>
      <c r="N92" s="50" t="n"/>
      <c r="O92" s="50" t="n"/>
      <c r="P92" s="48">
        <f>IF($F92="","",IF($J92="Yes",$F92+1,IF($G92="No",$F92+2,IF(N($I92)&gt;2,$F92+3,IF(N($I92)&gt;0,$F92+5,$F92+7)))))</f>
        <v/>
      </c>
      <c r="Q92" s="48">
        <f>IF($P92="","",IF($J92="Yes",$P92+3,IF($G92="No",$P92+5,IF(N($I92)&gt;0,$P92+7,$P92+14))))</f>
        <v/>
      </c>
      <c r="R92" s="48">
        <f>IF($Q92="","",IF($J92="Yes",$Q92+7,IF($G92="No",$Q92+14,$Q92+30)))</f>
        <v/>
      </c>
      <c r="S92" s="47" t="n"/>
      <c r="T92" s="50" t="n"/>
      <c r="U92" s="47">
        <f>IF($F92="","",MIN(24,MAX(1,ROUNDUP(($F92-DayPlan!$C$2+1)/7,0))))</f>
        <v/>
      </c>
      <c r="V92" s="47">
        <f>IF($A92=""," ",4*($J92="Yes")+3*($G92="No")+2*(N($I92)&gt;0)+1*(AND(ISNUMBER($H92),$H92&gt;45))+3*(AND(ISNUMBER($P92),$P92&lt;=TODAY()))-6*($S92="Yes")+(750-ROW())/100000)</f>
        <v/>
      </c>
      <c r="W92" s="47">
        <f>IF(OR($A92="",NOT(ISNUMBER($P92))),"",INT($P92-TODAY()))</f>
        <v/>
      </c>
      <c r="X92" s="47" t="n"/>
    </row>
    <row r="93">
      <c r="A93" s="50" t="n"/>
      <c r="B93" s="47" t="n"/>
      <c r="C93" s="47" t="n"/>
      <c r="D93" s="50" t="n"/>
      <c r="E93" s="50" t="n"/>
      <c r="F93" s="48" t="n"/>
      <c r="G93" s="47" t="n"/>
      <c r="H93" s="47" t="n"/>
      <c r="I93" s="47" t="n"/>
      <c r="J93" s="47" t="n"/>
      <c r="K93" s="47" t="n"/>
      <c r="L93" s="47" t="n"/>
      <c r="M93" s="50" t="n"/>
      <c r="N93" s="50" t="n"/>
      <c r="O93" s="50" t="n"/>
      <c r="P93" s="48">
        <f>IF($F93="","",IF($J93="Yes",$F93+1,IF($G93="No",$F93+2,IF(N($I93)&gt;2,$F93+3,IF(N($I93)&gt;0,$F93+5,$F93+7)))))</f>
        <v/>
      </c>
      <c r="Q93" s="48">
        <f>IF($P93="","",IF($J93="Yes",$P93+3,IF($G93="No",$P93+5,IF(N($I93)&gt;0,$P93+7,$P93+14))))</f>
        <v/>
      </c>
      <c r="R93" s="48">
        <f>IF($Q93="","",IF($J93="Yes",$Q93+7,IF($G93="No",$Q93+14,$Q93+30)))</f>
        <v/>
      </c>
      <c r="S93" s="47" t="n"/>
      <c r="T93" s="50" t="n"/>
      <c r="U93" s="47">
        <f>IF($F93="","",MIN(24,MAX(1,ROUNDUP(($F93-DayPlan!$C$2+1)/7,0))))</f>
        <v/>
      </c>
      <c r="V93" s="47">
        <f>IF($A93=""," ",4*($J93="Yes")+3*($G93="No")+2*(N($I93)&gt;0)+1*(AND(ISNUMBER($H93),$H93&gt;45))+3*(AND(ISNUMBER($P93),$P93&lt;=TODAY()))-6*($S93="Yes")+(750-ROW())/100000)</f>
        <v/>
      </c>
      <c r="W93" s="47">
        <f>IF(OR($A93="",NOT(ISNUMBER($P93))),"",INT($P93-TODAY()))</f>
        <v/>
      </c>
      <c r="X93" s="47" t="n"/>
    </row>
    <row r="94">
      <c r="A94" s="50" t="n"/>
      <c r="B94" s="47" t="n"/>
      <c r="C94" s="47" t="n"/>
      <c r="D94" s="50" t="n"/>
      <c r="E94" s="50" t="n"/>
      <c r="F94" s="48" t="n"/>
      <c r="G94" s="47" t="n"/>
      <c r="H94" s="47" t="n"/>
      <c r="I94" s="47" t="n"/>
      <c r="J94" s="47" t="n"/>
      <c r="K94" s="47" t="n"/>
      <c r="L94" s="47" t="n"/>
      <c r="M94" s="50" t="n"/>
      <c r="N94" s="50" t="n"/>
      <c r="O94" s="50" t="n"/>
      <c r="P94" s="48">
        <f>IF($F94="","",IF($J94="Yes",$F94+1,IF($G94="No",$F94+2,IF(N($I94)&gt;2,$F94+3,IF(N($I94)&gt;0,$F94+5,$F94+7)))))</f>
        <v/>
      </c>
      <c r="Q94" s="48">
        <f>IF($P94="","",IF($J94="Yes",$P94+3,IF($G94="No",$P94+5,IF(N($I94)&gt;0,$P94+7,$P94+14))))</f>
        <v/>
      </c>
      <c r="R94" s="48">
        <f>IF($Q94="","",IF($J94="Yes",$Q94+7,IF($G94="No",$Q94+14,$Q94+30)))</f>
        <v/>
      </c>
      <c r="S94" s="47" t="n"/>
      <c r="T94" s="50" t="n"/>
      <c r="U94" s="47">
        <f>IF($F94="","",MIN(24,MAX(1,ROUNDUP(($F94-DayPlan!$C$2+1)/7,0))))</f>
        <v/>
      </c>
      <c r="V94" s="47">
        <f>IF($A94=""," ",4*($J94="Yes")+3*($G94="No")+2*(N($I94)&gt;0)+1*(AND(ISNUMBER($H94),$H94&gt;45))+3*(AND(ISNUMBER($P94),$P94&lt;=TODAY()))-6*($S94="Yes")+(750-ROW())/100000)</f>
        <v/>
      </c>
      <c r="W94" s="47">
        <f>IF(OR($A94="",NOT(ISNUMBER($P94))),"",INT($P94-TODAY()))</f>
        <v/>
      </c>
      <c r="X94" s="47" t="n"/>
    </row>
    <row r="95">
      <c r="A95" s="50" t="n"/>
      <c r="B95" s="47" t="n"/>
      <c r="C95" s="47" t="n"/>
      <c r="D95" s="50" t="n"/>
      <c r="E95" s="50" t="n"/>
      <c r="F95" s="48" t="n"/>
      <c r="G95" s="47" t="n"/>
      <c r="H95" s="47" t="n"/>
      <c r="I95" s="47" t="n"/>
      <c r="J95" s="47" t="n"/>
      <c r="K95" s="47" t="n"/>
      <c r="L95" s="47" t="n"/>
      <c r="M95" s="50" t="n"/>
      <c r="N95" s="50" t="n"/>
      <c r="O95" s="50" t="n"/>
      <c r="P95" s="48">
        <f>IF($F95="","",IF($J95="Yes",$F95+1,IF($G95="No",$F95+2,IF(N($I95)&gt;2,$F95+3,IF(N($I95)&gt;0,$F95+5,$F95+7)))))</f>
        <v/>
      </c>
      <c r="Q95" s="48">
        <f>IF($P95="","",IF($J95="Yes",$P95+3,IF($G95="No",$P95+5,IF(N($I95)&gt;0,$P95+7,$P95+14))))</f>
        <v/>
      </c>
      <c r="R95" s="48">
        <f>IF($Q95="","",IF($J95="Yes",$Q95+7,IF($G95="No",$Q95+14,$Q95+30)))</f>
        <v/>
      </c>
      <c r="S95" s="47" t="n"/>
      <c r="T95" s="50" t="n"/>
      <c r="U95" s="47">
        <f>IF($F95="","",MIN(24,MAX(1,ROUNDUP(($F95-DayPlan!$C$2+1)/7,0))))</f>
        <v/>
      </c>
      <c r="V95" s="47">
        <f>IF($A95=""," ",4*($J95="Yes")+3*($G95="No")+2*(N($I95)&gt;0)+1*(AND(ISNUMBER($H95),$H95&gt;45))+3*(AND(ISNUMBER($P95),$P95&lt;=TODAY()))-6*($S95="Yes")+(750-ROW())/100000)</f>
        <v/>
      </c>
      <c r="W95" s="47">
        <f>IF(OR($A95="",NOT(ISNUMBER($P95))),"",INT($P95-TODAY()))</f>
        <v/>
      </c>
      <c r="X95" s="47" t="n"/>
    </row>
    <row r="96">
      <c r="A96" s="50" t="n"/>
      <c r="B96" s="47" t="n"/>
      <c r="C96" s="47" t="n"/>
      <c r="D96" s="50" t="n"/>
      <c r="E96" s="50" t="n"/>
      <c r="F96" s="48" t="n"/>
      <c r="G96" s="47" t="n"/>
      <c r="H96" s="47" t="n"/>
      <c r="I96" s="47" t="n"/>
      <c r="J96" s="47" t="n"/>
      <c r="K96" s="47" t="n"/>
      <c r="L96" s="47" t="n"/>
      <c r="M96" s="50" t="n"/>
      <c r="N96" s="50" t="n"/>
      <c r="O96" s="50" t="n"/>
      <c r="P96" s="48">
        <f>IF($F96="","",IF($J96="Yes",$F96+1,IF($G96="No",$F96+2,IF(N($I96)&gt;2,$F96+3,IF(N($I96)&gt;0,$F96+5,$F96+7)))))</f>
        <v/>
      </c>
      <c r="Q96" s="48">
        <f>IF($P96="","",IF($J96="Yes",$P96+3,IF($G96="No",$P96+5,IF(N($I96)&gt;0,$P96+7,$P96+14))))</f>
        <v/>
      </c>
      <c r="R96" s="48">
        <f>IF($Q96="","",IF($J96="Yes",$Q96+7,IF($G96="No",$Q96+14,$Q96+30)))</f>
        <v/>
      </c>
      <c r="S96" s="47" t="n"/>
      <c r="T96" s="50" t="n"/>
      <c r="U96" s="47">
        <f>IF($F96="","",MIN(24,MAX(1,ROUNDUP(($F96-DayPlan!$C$2+1)/7,0))))</f>
        <v/>
      </c>
      <c r="V96" s="47">
        <f>IF($A96=""," ",4*($J96="Yes")+3*($G96="No")+2*(N($I96)&gt;0)+1*(AND(ISNUMBER($H96),$H96&gt;45))+3*(AND(ISNUMBER($P96),$P96&lt;=TODAY()))-6*($S96="Yes")+(750-ROW())/100000)</f>
        <v/>
      </c>
      <c r="W96" s="47">
        <f>IF(OR($A96="",NOT(ISNUMBER($P96))),"",INT($P96-TODAY()))</f>
        <v/>
      </c>
      <c r="X96" s="47" t="n"/>
    </row>
    <row r="97">
      <c r="A97" s="50" t="n"/>
      <c r="B97" s="47" t="n"/>
      <c r="C97" s="47" t="n"/>
      <c r="D97" s="50" t="n"/>
      <c r="E97" s="50" t="n"/>
      <c r="F97" s="48" t="n"/>
      <c r="G97" s="47" t="n"/>
      <c r="H97" s="47" t="n"/>
      <c r="I97" s="47" t="n"/>
      <c r="J97" s="47" t="n"/>
      <c r="K97" s="47" t="n"/>
      <c r="L97" s="47" t="n"/>
      <c r="M97" s="50" t="n"/>
      <c r="N97" s="50" t="n"/>
      <c r="O97" s="50" t="n"/>
      <c r="P97" s="48">
        <f>IF($F97="","",IF($J97="Yes",$F97+1,IF($G97="No",$F97+2,IF(N($I97)&gt;2,$F97+3,IF(N($I97)&gt;0,$F97+5,$F97+7)))))</f>
        <v/>
      </c>
      <c r="Q97" s="48">
        <f>IF($P97="","",IF($J97="Yes",$P97+3,IF($G97="No",$P97+5,IF(N($I97)&gt;0,$P97+7,$P97+14))))</f>
        <v/>
      </c>
      <c r="R97" s="48">
        <f>IF($Q97="","",IF($J97="Yes",$Q97+7,IF($G97="No",$Q97+14,$Q97+30)))</f>
        <v/>
      </c>
      <c r="S97" s="47" t="n"/>
      <c r="T97" s="50" t="n"/>
      <c r="U97" s="47">
        <f>IF($F97="","",MIN(24,MAX(1,ROUNDUP(($F97-DayPlan!$C$2+1)/7,0))))</f>
        <v/>
      </c>
      <c r="V97" s="47">
        <f>IF($A97=""," ",4*($J97="Yes")+3*($G97="No")+2*(N($I97)&gt;0)+1*(AND(ISNUMBER($H97),$H97&gt;45))+3*(AND(ISNUMBER($P97),$P97&lt;=TODAY()))-6*($S97="Yes")+(750-ROW())/100000)</f>
        <v/>
      </c>
      <c r="W97" s="47">
        <f>IF(OR($A97="",NOT(ISNUMBER($P97))),"",INT($P97-TODAY()))</f>
        <v/>
      </c>
      <c r="X97" s="47" t="n"/>
    </row>
    <row r="98">
      <c r="A98" s="50" t="n"/>
      <c r="B98" s="47" t="n"/>
      <c r="C98" s="47" t="n"/>
      <c r="D98" s="50" t="n"/>
      <c r="E98" s="50" t="n"/>
      <c r="F98" s="48" t="n"/>
      <c r="G98" s="47" t="n"/>
      <c r="H98" s="47" t="n"/>
      <c r="I98" s="47" t="n"/>
      <c r="J98" s="47" t="n"/>
      <c r="K98" s="47" t="n"/>
      <c r="L98" s="47" t="n"/>
      <c r="M98" s="50" t="n"/>
      <c r="N98" s="50" t="n"/>
      <c r="O98" s="50" t="n"/>
      <c r="P98" s="48">
        <f>IF($F98="","",IF($J98="Yes",$F98+1,IF($G98="No",$F98+2,IF(N($I98)&gt;2,$F98+3,IF(N($I98)&gt;0,$F98+5,$F98+7)))))</f>
        <v/>
      </c>
      <c r="Q98" s="48">
        <f>IF($P98="","",IF($J98="Yes",$P98+3,IF($G98="No",$P98+5,IF(N($I98)&gt;0,$P98+7,$P98+14))))</f>
        <v/>
      </c>
      <c r="R98" s="48">
        <f>IF($Q98="","",IF($J98="Yes",$Q98+7,IF($G98="No",$Q98+14,$Q98+30)))</f>
        <v/>
      </c>
      <c r="S98" s="47" t="n"/>
      <c r="T98" s="50" t="n"/>
      <c r="U98" s="47">
        <f>IF($F98="","",MIN(24,MAX(1,ROUNDUP(($F98-DayPlan!$C$2+1)/7,0))))</f>
        <v/>
      </c>
      <c r="V98" s="47">
        <f>IF($A98=""," ",4*($J98="Yes")+3*($G98="No")+2*(N($I98)&gt;0)+1*(AND(ISNUMBER($H98),$H98&gt;45))+3*(AND(ISNUMBER($P98),$P98&lt;=TODAY()))-6*($S98="Yes")+(750-ROW())/100000)</f>
        <v/>
      </c>
      <c r="W98" s="47">
        <f>IF(OR($A98="",NOT(ISNUMBER($P98))),"",INT($P98-TODAY()))</f>
        <v/>
      </c>
      <c r="X98" s="47" t="n"/>
    </row>
    <row r="99">
      <c r="A99" s="50" t="n"/>
      <c r="B99" s="47" t="n"/>
      <c r="C99" s="47" t="n"/>
      <c r="D99" s="50" t="n"/>
      <c r="E99" s="50" t="n"/>
      <c r="F99" s="48" t="n"/>
      <c r="G99" s="47" t="n"/>
      <c r="H99" s="47" t="n"/>
      <c r="I99" s="47" t="n"/>
      <c r="J99" s="47" t="n"/>
      <c r="K99" s="47" t="n"/>
      <c r="L99" s="47" t="n"/>
      <c r="M99" s="50" t="n"/>
      <c r="N99" s="50" t="n"/>
      <c r="O99" s="50" t="n"/>
      <c r="P99" s="48">
        <f>IF($F99="","",IF($J99="Yes",$F99+1,IF($G99="No",$F99+2,IF(N($I99)&gt;2,$F99+3,IF(N($I99)&gt;0,$F99+5,$F99+7)))))</f>
        <v/>
      </c>
      <c r="Q99" s="48">
        <f>IF($P99="","",IF($J99="Yes",$P99+3,IF($G99="No",$P99+5,IF(N($I99)&gt;0,$P99+7,$P99+14))))</f>
        <v/>
      </c>
      <c r="R99" s="48">
        <f>IF($Q99="","",IF($J99="Yes",$Q99+7,IF($G99="No",$Q99+14,$Q99+30)))</f>
        <v/>
      </c>
      <c r="S99" s="47" t="n"/>
      <c r="T99" s="50" t="n"/>
      <c r="U99" s="47">
        <f>IF($F99="","",MIN(24,MAX(1,ROUNDUP(($F99-DayPlan!$C$2+1)/7,0))))</f>
        <v/>
      </c>
      <c r="V99" s="47">
        <f>IF($A99=""," ",4*($J99="Yes")+3*($G99="No")+2*(N($I99)&gt;0)+1*(AND(ISNUMBER($H99),$H99&gt;45))+3*(AND(ISNUMBER($P99),$P99&lt;=TODAY()))-6*($S99="Yes")+(750-ROW())/100000)</f>
        <v/>
      </c>
      <c r="W99" s="47">
        <f>IF(OR($A99="",NOT(ISNUMBER($P99))),"",INT($P99-TODAY()))</f>
        <v/>
      </c>
      <c r="X99" s="47" t="n"/>
    </row>
    <row r="100">
      <c r="A100" s="50" t="n"/>
      <c r="B100" s="47" t="n"/>
      <c r="C100" s="47" t="n"/>
      <c r="D100" s="50" t="n"/>
      <c r="E100" s="50" t="n"/>
      <c r="F100" s="48" t="n"/>
      <c r="G100" s="47" t="n"/>
      <c r="H100" s="47" t="n"/>
      <c r="I100" s="47" t="n"/>
      <c r="J100" s="47" t="n"/>
      <c r="K100" s="47" t="n"/>
      <c r="L100" s="47" t="n"/>
      <c r="M100" s="50" t="n"/>
      <c r="N100" s="50" t="n"/>
      <c r="O100" s="50" t="n"/>
      <c r="P100" s="48">
        <f>IF($F100="","",IF($J100="Yes",$F100+1,IF($G100="No",$F100+2,IF(N($I100)&gt;2,$F100+3,IF(N($I100)&gt;0,$F100+5,$F100+7)))))</f>
        <v/>
      </c>
      <c r="Q100" s="48">
        <f>IF($P100="","",IF($J100="Yes",$P100+3,IF($G100="No",$P100+5,IF(N($I100)&gt;0,$P100+7,$P100+14))))</f>
        <v/>
      </c>
      <c r="R100" s="48">
        <f>IF($Q100="","",IF($J100="Yes",$Q100+7,IF($G100="No",$Q100+14,$Q100+30)))</f>
        <v/>
      </c>
      <c r="S100" s="47" t="n"/>
      <c r="T100" s="50" t="n"/>
      <c r="U100" s="47">
        <f>IF($F100="","",MIN(24,MAX(1,ROUNDUP(($F100-DayPlan!$C$2+1)/7,0))))</f>
        <v/>
      </c>
      <c r="V100" s="47">
        <f>IF($A100=""," ",4*($J100="Yes")+3*($G100="No")+2*(N($I100)&gt;0)+1*(AND(ISNUMBER($H100),$H100&gt;45))+3*(AND(ISNUMBER($P100),$P100&lt;=TODAY()))-6*($S100="Yes")+(750-ROW())/100000)</f>
        <v/>
      </c>
      <c r="W100" s="47">
        <f>IF(OR($A100="",NOT(ISNUMBER($P100))),"",INT($P100-TODAY()))</f>
        <v/>
      </c>
      <c r="X100" s="47" t="n"/>
    </row>
    <row r="101">
      <c r="A101" s="50" t="n"/>
      <c r="B101" s="47" t="n"/>
      <c r="C101" s="47" t="n"/>
      <c r="D101" s="50" t="n"/>
      <c r="E101" s="50" t="n"/>
      <c r="F101" s="48" t="n"/>
      <c r="G101" s="47" t="n"/>
      <c r="H101" s="47" t="n"/>
      <c r="I101" s="47" t="n"/>
      <c r="J101" s="47" t="n"/>
      <c r="K101" s="47" t="n"/>
      <c r="L101" s="47" t="n"/>
      <c r="M101" s="50" t="n"/>
      <c r="N101" s="50" t="n"/>
      <c r="O101" s="50" t="n"/>
      <c r="P101" s="48">
        <f>IF($F101="","",IF($J101="Yes",$F101+1,IF($G101="No",$F101+2,IF(N($I101)&gt;2,$F101+3,IF(N($I101)&gt;0,$F101+5,$F101+7)))))</f>
        <v/>
      </c>
      <c r="Q101" s="48">
        <f>IF($P101="","",IF($J101="Yes",$P101+3,IF($G101="No",$P101+5,IF(N($I101)&gt;0,$P101+7,$P101+14))))</f>
        <v/>
      </c>
      <c r="R101" s="48">
        <f>IF($Q101="","",IF($J101="Yes",$Q101+7,IF($G101="No",$Q101+14,$Q101+30)))</f>
        <v/>
      </c>
      <c r="S101" s="47" t="n"/>
      <c r="T101" s="50" t="n"/>
      <c r="U101" s="47">
        <f>IF($F101="","",MIN(24,MAX(1,ROUNDUP(($F101-DayPlan!$C$2+1)/7,0))))</f>
        <v/>
      </c>
      <c r="V101" s="47">
        <f>IF($A101=""," ",4*($J101="Yes")+3*($G101="No")+2*(N($I101)&gt;0)+1*(AND(ISNUMBER($H101),$H101&gt;45))+3*(AND(ISNUMBER($P101),$P101&lt;=TODAY()))-6*($S101="Yes")+(750-ROW())/100000)</f>
        <v/>
      </c>
      <c r="W101" s="47">
        <f>IF(OR($A101="",NOT(ISNUMBER($P101))),"",INT($P101-TODAY()))</f>
        <v/>
      </c>
      <c r="X101" s="47" t="n"/>
    </row>
    <row r="102">
      <c r="A102" s="50" t="n"/>
      <c r="B102" s="47" t="n"/>
      <c r="C102" s="47" t="n"/>
      <c r="D102" s="50" t="n"/>
      <c r="E102" s="50" t="n"/>
      <c r="F102" s="48" t="n"/>
      <c r="G102" s="47" t="n"/>
      <c r="H102" s="47" t="n"/>
      <c r="I102" s="47" t="n"/>
      <c r="J102" s="47" t="n"/>
      <c r="K102" s="47" t="n"/>
      <c r="L102" s="47" t="n"/>
      <c r="M102" s="50" t="n"/>
      <c r="N102" s="50" t="n"/>
      <c r="O102" s="50" t="n"/>
      <c r="P102" s="48">
        <f>IF($F102="","",IF($J102="Yes",$F102+1,IF($G102="No",$F102+2,IF(N($I102)&gt;2,$F102+3,IF(N($I102)&gt;0,$F102+5,$F102+7)))))</f>
        <v/>
      </c>
      <c r="Q102" s="48">
        <f>IF($P102="","",IF($J102="Yes",$P102+3,IF($G102="No",$P102+5,IF(N($I102)&gt;0,$P102+7,$P102+14))))</f>
        <v/>
      </c>
      <c r="R102" s="48">
        <f>IF($Q102="","",IF($J102="Yes",$Q102+7,IF($G102="No",$Q102+14,$Q102+30)))</f>
        <v/>
      </c>
      <c r="S102" s="47" t="n"/>
      <c r="T102" s="50" t="n"/>
      <c r="U102" s="47">
        <f>IF($F102="","",MIN(24,MAX(1,ROUNDUP(($F102-DayPlan!$C$2+1)/7,0))))</f>
        <v/>
      </c>
      <c r="V102" s="47">
        <f>IF($A102=""," ",4*($J102="Yes")+3*($G102="No")+2*(N($I102)&gt;0)+1*(AND(ISNUMBER($H102),$H102&gt;45))+3*(AND(ISNUMBER($P102),$P102&lt;=TODAY()))-6*($S102="Yes")+(750-ROW())/100000)</f>
        <v/>
      </c>
      <c r="W102" s="47">
        <f>IF(OR($A102="",NOT(ISNUMBER($P102))),"",INT($P102-TODAY()))</f>
        <v/>
      </c>
      <c r="X102" s="47" t="n"/>
    </row>
    <row r="103">
      <c r="A103" s="50" t="n"/>
      <c r="B103" s="47" t="n"/>
      <c r="C103" s="47" t="n"/>
      <c r="D103" s="50" t="n"/>
      <c r="E103" s="50" t="n"/>
      <c r="F103" s="48" t="n"/>
      <c r="G103" s="47" t="n"/>
      <c r="H103" s="47" t="n"/>
      <c r="I103" s="47" t="n"/>
      <c r="J103" s="47" t="n"/>
      <c r="K103" s="47" t="n"/>
      <c r="L103" s="47" t="n"/>
      <c r="M103" s="50" t="n"/>
      <c r="N103" s="50" t="n"/>
      <c r="O103" s="50" t="n"/>
      <c r="P103" s="48">
        <f>IF($F103="","",IF($J103="Yes",$F103+1,IF($G103="No",$F103+2,IF(N($I103)&gt;2,$F103+3,IF(N($I103)&gt;0,$F103+5,$F103+7)))))</f>
        <v/>
      </c>
      <c r="Q103" s="48">
        <f>IF($P103="","",IF($J103="Yes",$P103+3,IF($G103="No",$P103+5,IF(N($I103)&gt;0,$P103+7,$P103+14))))</f>
        <v/>
      </c>
      <c r="R103" s="48">
        <f>IF($Q103="","",IF($J103="Yes",$Q103+7,IF($G103="No",$Q103+14,$Q103+30)))</f>
        <v/>
      </c>
      <c r="S103" s="47" t="n"/>
      <c r="T103" s="50" t="n"/>
      <c r="U103" s="47">
        <f>IF($F103="","",MIN(24,MAX(1,ROUNDUP(($F103-DayPlan!$C$2+1)/7,0))))</f>
        <v/>
      </c>
      <c r="V103" s="47">
        <f>IF($A103=""," ",4*($J103="Yes")+3*($G103="No")+2*(N($I103)&gt;0)+1*(AND(ISNUMBER($H103),$H103&gt;45))+3*(AND(ISNUMBER($P103),$P103&lt;=TODAY()))-6*($S103="Yes")+(750-ROW())/100000)</f>
        <v/>
      </c>
      <c r="W103" s="47">
        <f>IF(OR($A103="",NOT(ISNUMBER($P103))),"",INT($P103-TODAY()))</f>
        <v/>
      </c>
      <c r="X103" s="47" t="n"/>
    </row>
    <row r="104">
      <c r="A104" s="50" t="n"/>
      <c r="B104" s="47" t="n"/>
      <c r="C104" s="47" t="n"/>
      <c r="D104" s="50" t="n"/>
      <c r="E104" s="50" t="n"/>
      <c r="F104" s="48" t="n"/>
      <c r="G104" s="47" t="n"/>
      <c r="H104" s="47" t="n"/>
      <c r="I104" s="47" t="n"/>
      <c r="J104" s="47" t="n"/>
      <c r="K104" s="47" t="n"/>
      <c r="L104" s="47" t="n"/>
      <c r="M104" s="50" t="n"/>
      <c r="N104" s="50" t="n"/>
      <c r="O104" s="50" t="n"/>
      <c r="P104" s="48">
        <f>IF($F104="","",IF($J104="Yes",$F104+1,IF($G104="No",$F104+2,IF(N($I104)&gt;2,$F104+3,IF(N($I104)&gt;0,$F104+5,$F104+7)))))</f>
        <v/>
      </c>
      <c r="Q104" s="48">
        <f>IF($P104="","",IF($J104="Yes",$P104+3,IF($G104="No",$P104+5,IF(N($I104)&gt;0,$P104+7,$P104+14))))</f>
        <v/>
      </c>
      <c r="R104" s="48">
        <f>IF($Q104="","",IF($J104="Yes",$Q104+7,IF($G104="No",$Q104+14,$Q104+30)))</f>
        <v/>
      </c>
      <c r="S104" s="47" t="n"/>
      <c r="T104" s="50" t="n"/>
      <c r="U104" s="47">
        <f>IF($F104="","",MIN(24,MAX(1,ROUNDUP(($F104-DayPlan!$C$2+1)/7,0))))</f>
        <v/>
      </c>
      <c r="V104" s="47">
        <f>IF($A104=""," ",4*($J104="Yes")+3*($G104="No")+2*(N($I104)&gt;0)+1*(AND(ISNUMBER($H104),$H104&gt;45))+3*(AND(ISNUMBER($P104),$P104&lt;=TODAY()))-6*($S104="Yes")+(750-ROW())/100000)</f>
        <v/>
      </c>
      <c r="W104" s="47">
        <f>IF(OR($A104="",NOT(ISNUMBER($P104))),"",INT($P104-TODAY()))</f>
        <v/>
      </c>
      <c r="X104" s="47" t="n"/>
    </row>
    <row r="105">
      <c r="A105" s="50" t="n"/>
      <c r="B105" s="47" t="n"/>
      <c r="C105" s="47" t="n"/>
      <c r="D105" s="50" t="n"/>
      <c r="E105" s="50" t="n"/>
      <c r="F105" s="48" t="n"/>
      <c r="G105" s="47" t="n"/>
      <c r="H105" s="47" t="n"/>
      <c r="I105" s="47" t="n"/>
      <c r="J105" s="47" t="n"/>
      <c r="K105" s="47" t="n"/>
      <c r="L105" s="47" t="n"/>
      <c r="M105" s="50" t="n"/>
      <c r="N105" s="50" t="n"/>
      <c r="O105" s="50" t="n"/>
      <c r="P105" s="48">
        <f>IF($F105="","",IF($J105="Yes",$F105+1,IF($G105="No",$F105+2,IF(N($I105)&gt;2,$F105+3,IF(N($I105)&gt;0,$F105+5,$F105+7)))))</f>
        <v/>
      </c>
      <c r="Q105" s="48">
        <f>IF($P105="","",IF($J105="Yes",$P105+3,IF($G105="No",$P105+5,IF(N($I105)&gt;0,$P105+7,$P105+14))))</f>
        <v/>
      </c>
      <c r="R105" s="48">
        <f>IF($Q105="","",IF($J105="Yes",$Q105+7,IF($G105="No",$Q105+14,$Q105+30)))</f>
        <v/>
      </c>
      <c r="S105" s="47" t="n"/>
      <c r="T105" s="50" t="n"/>
      <c r="U105" s="47">
        <f>IF($F105="","",MIN(24,MAX(1,ROUNDUP(($F105-DayPlan!$C$2+1)/7,0))))</f>
        <v/>
      </c>
      <c r="V105" s="47">
        <f>IF($A105=""," ",4*($J105="Yes")+3*($G105="No")+2*(N($I105)&gt;0)+1*(AND(ISNUMBER($H105),$H105&gt;45))+3*(AND(ISNUMBER($P105),$P105&lt;=TODAY()))-6*($S105="Yes")+(750-ROW())/100000)</f>
        <v/>
      </c>
      <c r="W105" s="47">
        <f>IF(OR($A105="",NOT(ISNUMBER($P105))),"",INT($P105-TODAY()))</f>
        <v/>
      </c>
      <c r="X105" s="47" t="n"/>
    </row>
    <row r="106">
      <c r="A106" s="50" t="n"/>
      <c r="B106" s="47" t="n"/>
      <c r="C106" s="47" t="n"/>
      <c r="D106" s="50" t="n"/>
      <c r="E106" s="50" t="n"/>
      <c r="F106" s="48" t="n"/>
      <c r="G106" s="47" t="n"/>
      <c r="H106" s="47" t="n"/>
      <c r="I106" s="47" t="n"/>
      <c r="J106" s="47" t="n"/>
      <c r="K106" s="47" t="n"/>
      <c r="L106" s="47" t="n"/>
      <c r="M106" s="50" t="n"/>
      <c r="N106" s="50" t="n"/>
      <c r="O106" s="50" t="n"/>
      <c r="P106" s="48">
        <f>IF($F106="","",IF($J106="Yes",$F106+1,IF($G106="No",$F106+2,IF(N($I106)&gt;2,$F106+3,IF(N($I106)&gt;0,$F106+5,$F106+7)))))</f>
        <v/>
      </c>
      <c r="Q106" s="48">
        <f>IF($P106="","",IF($J106="Yes",$P106+3,IF($G106="No",$P106+5,IF(N($I106)&gt;0,$P106+7,$P106+14))))</f>
        <v/>
      </c>
      <c r="R106" s="48">
        <f>IF($Q106="","",IF($J106="Yes",$Q106+7,IF($G106="No",$Q106+14,$Q106+30)))</f>
        <v/>
      </c>
      <c r="S106" s="47" t="n"/>
      <c r="T106" s="50" t="n"/>
      <c r="U106" s="47">
        <f>IF($F106="","",MIN(24,MAX(1,ROUNDUP(($F106-DayPlan!$C$2+1)/7,0))))</f>
        <v/>
      </c>
      <c r="V106" s="47">
        <f>IF($A106=""," ",4*($J106="Yes")+3*($G106="No")+2*(N($I106)&gt;0)+1*(AND(ISNUMBER($H106),$H106&gt;45))+3*(AND(ISNUMBER($P106),$P106&lt;=TODAY()))-6*($S106="Yes")+(750-ROW())/100000)</f>
        <v/>
      </c>
      <c r="W106" s="47">
        <f>IF(OR($A106="",NOT(ISNUMBER($P106))),"",INT($P106-TODAY()))</f>
        <v/>
      </c>
      <c r="X106" s="47" t="n"/>
    </row>
    <row r="107">
      <c r="A107" s="50" t="n"/>
      <c r="B107" s="47" t="n"/>
      <c r="C107" s="47" t="n"/>
      <c r="D107" s="50" t="n"/>
      <c r="E107" s="50" t="n"/>
      <c r="F107" s="48" t="n"/>
      <c r="G107" s="47" t="n"/>
      <c r="H107" s="47" t="n"/>
      <c r="I107" s="47" t="n"/>
      <c r="J107" s="47" t="n"/>
      <c r="K107" s="47" t="n"/>
      <c r="L107" s="47" t="n"/>
      <c r="M107" s="50" t="n"/>
      <c r="N107" s="50" t="n"/>
      <c r="O107" s="50" t="n"/>
      <c r="P107" s="48">
        <f>IF($F107="","",IF($J107="Yes",$F107+1,IF($G107="No",$F107+2,IF(N($I107)&gt;2,$F107+3,IF(N($I107)&gt;0,$F107+5,$F107+7)))))</f>
        <v/>
      </c>
      <c r="Q107" s="48">
        <f>IF($P107="","",IF($J107="Yes",$P107+3,IF($G107="No",$P107+5,IF(N($I107)&gt;0,$P107+7,$P107+14))))</f>
        <v/>
      </c>
      <c r="R107" s="48">
        <f>IF($Q107="","",IF($J107="Yes",$Q107+7,IF($G107="No",$Q107+14,$Q107+30)))</f>
        <v/>
      </c>
      <c r="S107" s="47" t="n"/>
      <c r="T107" s="50" t="n"/>
      <c r="U107" s="47">
        <f>IF($F107="","",MIN(24,MAX(1,ROUNDUP(($F107-DayPlan!$C$2+1)/7,0))))</f>
        <v/>
      </c>
      <c r="V107" s="47">
        <f>IF($A107=""," ",4*($J107="Yes")+3*($G107="No")+2*(N($I107)&gt;0)+1*(AND(ISNUMBER($H107),$H107&gt;45))+3*(AND(ISNUMBER($P107),$P107&lt;=TODAY()))-6*($S107="Yes")+(750-ROW())/100000)</f>
        <v/>
      </c>
      <c r="W107" s="47">
        <f>IF(OR($A107="",NOT(ISNUMBER($P107))),"",INT($P107-TODAY()))</f>
        <v/>
      </c>
      <c r="X107" s="47" t="n"/>
    </row>
    <row r="108">
      <c r="A108" s="50" t="n"/>
      <c r="B108" s="47" t="n"/>
      <c r="C108" s="47" t="n"/>
      <c r="D108" s="50" t="n"/>
      <c r="E108" s="50" t="n"/>
      <c r="F108" s="48" t="n"/>
      <c r="G108" s="47" t="n"/>
      <c r="H108" s="47" t="n"/>
      <c r="I108" s="47" t="n"/>
      <c r="J108" s="47" t="n"/>
      <c r="K108" s="47" t="n"/>
      <c r="L108" s="47" t="n"/>
      <c r="M108" s="50" t="n"/>
      <c r="N108" s="50" t="n"/>
      <c r="O108" s="50" t="n"/>
      <c r="P108" s="48">
        <f>IF($F108="","",IF($J108="Yes",$F108+1,IF($G108="No",$F108+2,IF(N($I108)&gt;2,$F108+3,IF(N($I108)&gt;0,$F108+5,$F108+7)))))</f>
        <v/>
      </c>
      <c r="Q108" s="48">
        <f>IF($P108="","",IF($J108="Yes",$P108+3,IF($G108="No",$P108+5,IF(N($I108)&gt;0,$P108+7,$P108+14))))</f>
        <v/>
      </c>
      <c r="R108" s="48">
        <f>IF($Q108="","",IF($J108="Yes",$Q108+7,IF($G108="No",$Q108+14,$Q108+30)))</f>
        <v/>
      </c>
      <c r="S108" s="47" t="n"/>
      <c r="T108" s="50" t="n"/>
      <c r="U108" s="47">
        <f>IF($F108="","",MIN(24,MAX(1,ROUNDUP(($F108-DayPlan!$C$2+1)/7,0))))</f>
        <v/>
      </c>
      <c r="V108" s="47">
        <f>IF($A108=""," ",4*($J108="Yes")+3*($G108="No")+2*(N($I108)&gt;0)+1*(AND(ISNUMBER($H108),$H108&gt;45))+3*(AND(ISNUMBER($P108),$P108&lt;=TODAY()))-6*($S108="Yes")+(750-ROW())/100000)</f>
        <v/>
      </c>
      <c r="W108" s="47">
        <f>IF(OR($A108="",NOT(ISNUMBER($P108))),"",INT($P108-TODAY()))</f>
        <v/>
      </c>
      <c r="X108" s="47" t="n"/>
    </row>
    <row r="109">
      <c r="A109" s="50" t="n"/>
      <c r="B109" s="47" t="n"/>
      <c r="C109" s="47" t="n"/>
      <c r="D109" s="50" t="n"/>
      <c r="E109" s="50" t="n"/>
      <c r="F109" s="48" t="n"/>
      <c r="G109" s="47" t="n"/>
      <c r="H109" s="47" t="n"/>
      <c r="I109" s="47" t="n"/>
      <c r="J109" s="47" t="n"/>
      <c r="K109" s="47" t="n"/>
      <c r="L109" s="47" t="n"/>
      <c r="M109" s="50" t="n"/>
      <c r="N109" s="50" t="n"/>
      <c r="O109" s="50" t="n"/>
      <c r="P109" s="48">
        <f>IF($F109="","",IF($J109="Yes",$F109+1,IF($G109="No",$F109+2,IF(N($I109)&gt;2,$F109+3,IF(N($I109)&gt;0,$F109+5,$F109+7)))))</f>
        <v/>
      </c>
      <c r="Q109" s="48">
        <f>IF($P109="","",IF($J109="Yes",$P109+3,IF($G109="No",$P109+5,IF(N($I109)&gt;0,$P109+7,$P109+14))))</f>
        <v/>
      </c>
      <c r="R109" s="48">
        <f>IF($Q109="","",IF($J109="Yes",$Q109+7,IF($G109="No",$Q109+14,$Q109+30)))</f>
        <v/>
      </c>
      <c r="S109" s="47" t="n"/>
      <c r="T109" s="50" t="n"/>
      <c r="U109" s="47">
        <f>IF($F109="","",MIN(24,MAX(1,ROUNDUP(($F109-DayPlan!$C$2+1)/7,0))))</f>
        <v/>
      </c>
      <c r="V109" s="47">
        <f>IF($A109=""," ",4*($J109="Yes")+3*($G109="No")+2*(N($I109)&gt;0)+1*(AND(ISNUMBER($H109),$H109&gt;45))+3*(AND(ISNUMBER($P109),$P109&lt;=TODAY()))-6*($S109="Yes")+(750-ROW())/100000)</f>
        <v/>
      </c>
      <c r="W109" s="47">
        <f>IF(OR($A109="",NOT(ISNUMBER($P109))),"",INT($P109-TODAY()))</f>
        <v/>
      </c>
      <c r="X109" s="47" t="n"/>
    </row>
    <row r="110">
      <c r="A110" s="50" t="n"/>
      <c r="B110" s="47" t="n"/>
      <c r="C110" s="47" t="n"/>
      <c r="D110" s="50" t="n"/>
      <c r="E110" s="50" t="n"/>
      <c r="F110" s="48" t="n"/>
      <c r="G110" s="47" t="n"/>
      <c r="H110" s="47" t="n"/>
      <c r="I110" s="47" t="n"/>
      <c r="J110" s="47" t="n"/>
      <c r="K110" s="47" t="n"/>
      <c r="L110" s="47" t="n"/>
      <c r="M110" s="50" t="n"/>
      <c r="N110" s="50" t="n"/>
      <c r="O110" s="50" t="n"/>
      <c r="P110" s="48">
        <f>IF($F110="","",IF($J110="Yes",$F110+1,IF($G110="No",$F110+2,IF(N($I110)&gt;2,$F110+3,IF(N($I110)&gt;0,$F110+5,$F110+7)))))</f>
        <v/>
      </c>
      <c r="Q110" s="48">
        <f>IF($P110="","",IF($J110="Yes",$P110+3,IF($G110="No",$P110+5,IF(N($I110)&gt;0,$P110+7,$P110+14))))</f>
        <v/>
      </c>
      <c r="R110" s="48">
        <f>IF($Q110="","",IF($J110="Yes",$Q110+7,IF($G110="No",$Q110+14,$Q110+30)))</f>
        <v/>
      </c>
      <c r="S110" s="47" t="n"/>
      <c r="T110" s="50" t="n"/>
      <c r="U110" s="47">
        <f>IF($F110="","",MIN(24,MAX(1,ROUNDUP(($F110-DayPlan!$C$2+1)/7,0))))</f>
        <v/>
      </c>
      <c r="V110" s="47">
        <f>IF($A110=""," ",4*($J110="Yes")+3*($G110="No")+2*(N($I110)&gt;0)+1*(AND(ISNUMBER($H110),$H110&gt;45))+3*(AND(ISNUMBER($P110),$P110&lt;=TODAY()))-6*($S110="Yes")+(750-ROW())/100000)</f>
        <v/>
      </c>
      <c r="W110" s="47">
        <f>IF(OR($A110="",NOT(ISNUMBER($P110))),"",INT($P110-TODAY()))</f>
        <v/>
      </c>
      <c r="X110" s="47" t="n"/>
    </row>
    <row r="111">
      <c r="A111" s="50" t="n"/>
      <c r="B111" s="47" t="n"/>
      <c r="C111" s="47" t="n"/>
      <c r="D111" s="50" t="n"/>
      <c r="E111" s="50" t="n"/>
      <c r="F111" s="48" t="n"/>
      <c r="G111" s="47" t="n"/>
      <c r="H111" s="47" t="n"/>
      <c r="I111" s="47" t="n"/>
      <c r="J111" s="47" t="n"/>
      <c r="K111" s="47" t="n"/>
      <c r="L111" s="47" t="n"/>
      <c r="M111" s="50" t="n"/>
      <c r="N111" s="50" t="n"/>
      <c r="O111" s="50" t="n"/>
      <c r="P111" s="48">
        <f>IF($F111="","",IF($J111="Yes",$F111+1,IF($G111="No",$F111+2,IF(N($I111)&gt;2,$F111+3,IF(N($I111)&gt;0,$F111+5,$F111+7)))))</f>
        <v/>
      </c>
      <c r="Q111" s="48">
        <f>IF($P111="","",IF($J111="Yes",$P111+3,IF($G111="No",$P111+5,IF(N($I111)&gt;0,$P111+7,$P111+14))))</f>
        <v/>
      </c>
      <c r="R111" s="48">
        <f>IF($Q111="","",IF($J111="Yes",$Q111+7,IF($G111="No",$Q111+14,$Q111+30)))</f>
        <v/>
      </c>
      <c r="S111" s="47" t="n"/>
      <c r="T111" s="50" t="n"/>
      <c r="U111" s="47">
        <f>IF($F111="","",MIN(24,MAX(1,ROUNDUP(($F111-DayPlan!$C$2+1)/7,0))))</f>
        <v/>
      </c>
      <c r="V111" s="47">
        <f>IF($A111=""," ",4*($J111="Yes")+3*($G111="No")+2*(N($I111)&gt;0)+1*(AND(ISNUMBER($H111),$H111&gt;45))+3*(AND(ISNUMBER($P111),$P111&lt;=TODAY()))-6*($S111="Yes")+(750-ROW())/100000)</f>
        <v/>
      </c>
      <c r="W111" s="47">
        <f>IF(OR($A111="",NOT(ISNUMBER($P111))),"",INT($P111-TODAY()))</f>
        <v/>
      </c>
      <c r="X111" s="47" t="n"/>
    </row>
    <row r="112">
      <c r="A112" s="50" t="n"/>
      <c r="B112" s="47" t="n"/>
      <c r="C112" s="47" t="n"/>
      <c r="D112" s="50" t="n"/>
      <c r="E112" s="50" t="n"/>
      <c r="F112" s="48" t="n"/>
      <c r="G112" s="47" t="n"/>
      <c r="H112" s="47" t="n"/>
      <c r="I112" s="47" t="n"/>
      <c r="J112" s="47" t="n"/>
      <c r="K112" s="47" t="n"/>
      <c r="L112" s="47" t="n"/>
      <c r="M112" s="50" t="n"/>
      <c r="N112" s="50" t="n"/>
      <c r="O112" s="50" t="n"/>
      <c r="P112" s="48">
        <f>IF($F112="","",IF($J112="Yes",$F112+1,IF($G112="No",$F112+2,IF(N($I112)&gt;2,$F112+3,IF(N($I112)&gt;0,$F112+5,$F112+7)))))</f>
        <v/>
      </c>
      <c r="Q112" s="48">
        <f>IF($P112="","",IF($J112="Yes",$P112+3,IF($G112="No",$P112+5,IF(N($I112)&gt;0,$P112+7,$P112+14))))</f>
        <v/>
      </c>
      <c r="R112" s="48">
        <f>IF($Q112="","",IF($J112="Yes",$Q112+7,IF($G112="No",$Q112+14,$Q112+30)))</f>
        <v/>
      </c>
      <c r="S112" s="47" t="n"/>
      <c r="T112" s="50" t="n"/>
      <c r="U112" s="47">
        <f>IF($F112="","",MIN(24,MAX(1,ROUNDUP(($F112-DayPlan!$C$2+1)/7,0))))</f>
        <v/>
      </c>
      <c r="V112" s="47">
        <f>IF($A112=""," ",4*($J112="Yes")+3*($G112="No")+2*(N($I112)&gt;0)+1*(AND(ISNUMBER($H112),$H112&gt;45))+3*(AND(ISNUMBER($P112),$P112&lt;=TODAY()))-6*($S112="Yes")+(750-ROW())/100000)</f>
        <v/>
      </c>
      <c r="W112" s="47">
        <f>IF(OR($A112="",NOT(ISNUMBER($P112))),"",INT($P112-TODAY()))</f>
        <v/>
      </c>
      <c r="X112" s="47" t="n"/>
    </row>
    <row r="113">
      <c r="A113" s="50" t="n"/>
      <c r="B113" s="47" t="n"/>
      <c r="C113" s="47" t="n"/>
      <c r="D113" s="50" t="n"/>
      <c r="E113" s="50" t="n"/>
      <c r="F113" s="48" t="n"/>
      <c r="G113" s="47" t="n"/>
      <c r="H113" s="47" t="n"/>
      <c r="I113" s="47" t="n"/>
      <c r="J113" s="47" t="n"/>
      <c r="K113" s="47" t="n"/>
      <c r="L113" s="47" t="n"/>
      <c r="M113" s="50" t="n"/>
      <c r="N113" s="50" t="n"/>
      <c r="O113" s="50" t="n"/>
      <c r="P113" s="48">
        <f>IF($F113="","",IF($J113="Yes",$F113+1,IF($G113="No",$F113+2,IF(N($I113)&gt;2,$F113+3,IF(N($I113)&gt;0,$F113+5,$F113+7)))))</f>
        <v/>
      </c>
      <c r="Q113" s="48">
        <f>IF($P113="","",IF($J113="Yes",$P113+3,IF($G113="No",$P113+5,IF(N($I113)&gt;0,$P113+7,$P113+14))))</f>
        <v/>
      </c>
      <c r="R113" s="48">
        <f>IF($Q113="","",IF($J113="Yes",$Q113+7,IF($G113="No",$Q113+14,$Q113+30)))</f>
        <v/>
      </c>
      <c r="S113" s="47" t="n"/>
      <c r="T113" s="50" t="n"/>
      <c r="U113" s="47">
        <f>IF($F113="","",MIN(24,MAX(1,ROUNDUP(($F113-DayPlan!$C$2+1)/7,0))))</f>
        <v/>
      </c>
      <c r="V113" s="47">
        <f>IF($A113=""," ",4*($J113="Yes")+3*($G113="No")+2*(N($I113)&gt;0)+1*(AND(ISNUMBER($H113),$H113&gt;45))+3*(AND(ISNUMBER($P113),$P113&lt;=TODAY()))-6*($S113="Yes")+(750-ROW())/100000)</f>
        <v/>
      </c>
      <c r="W113" s="47">
        <f>IF(OR($A113="",NOT(ISNUMBER($P113))),"",INT($P113-TODAY()))</f>
        <v/>
      </c>
      <c r="X113" s="47" t="n"/>
    </row>
    <row r="114">
      <c r="A114" s="50" t="n"/>
      <c r="B114" s="47" t="n"/>
      <c r="C114" s="47" t="n"/>
      <c r="D114" s="50" t="n"/>
      <c r="E114" s="50" t="n"/>
      <c r="F114" s="48" t="n"/>
      <c r="G114" s="47" t="n"/>
      <c r="H114" s="47" t="n"/>
      <c r="I114" s="47" t="n"/>
      <c r="J114" s="47" t="n"/>
      <c r="K114" s="47" t="n"/>
      <c r="L114" s="47" t="n"/>
      <c r="M114" s="50" t="n"/>
      <c r="N114" s="50" t="n"/>
      <c r="O114" s="50" t="n"/>
      <c r="P114" s="48">
        <f>IF($F114="","",IF($J114="Yes",$F114+1,IF($G114="No",$F114+2,IF(N($I114)&gt;2,$F114+3,IF(N($I114)&gt;0,$F114+5,$F114+7)))))</f>
        <v/>
      </c>
      <c r="Q114" s="48">
        <f>IF($P114="","",IF($J114="Yes",$P114+3,IF($G114="No",$P114+5,IF(N($I114)&gt;0,$P114+7,$P114+14))))</f>
        <v/>
      </c>
      <c r="R114" s="48">
        <f>IF($Q114="","",IF($J114="Yes",$Q114+7,IF($G114="No",$Q114+14,$Q114+30)))</f>
        <v/>
      </c>
      <c r="S114" s="47" t="n"/>
      <c r="T114" s="50" t="n"/>
      <c r="U114" s="47">
        <f>IF($F114="","",MIN(24,MAX(1,ROUNDUP(($F114-DayPlan!$C$2+1)/7,0))))</f>
        <v/>
      </c>
      <c r="V114" s="47">
        <f>IF($A114=""," ",4*($J114="Yes")+3*($G114="No")+2*(N($I114)&gt;0)+1*(AND(ISNUMBER($H114),$H114&gt;45))+3*(AND(ISNUMBER($P114),$P114&lt;=TODAY()))-6*($S114="Yes")+(750-ROW())/100000)</f>
        <v/>
      </c>
      <c r="W114" s="47">
        <f>IF(OR($A114="",NOT(ISNUMBER($P114))),"",INT($P114-TODAY()))</f>
        <v/>
      </c>
      <c r="X114" s="47" t="n"/>
    </row>
    <row r="115">
      <c r="A115" s="50" t="n"/>
      <c r="B115" s="47" t="n"/>
      <c r="C115" s="47" t="n"/>
      <c r="D115" s="50" t="n"/>
      <c r="E115" s="50" t="n"/>
      <c r="F115" s="48" t="n"/>
      <c r="G115" s="47" t="n"/>
      <c r="H115" s="47" t="n"/>
      <c r="I115" s="47" t="n"/>
      <c r="J115" s="47" t="n"/>
      <c r="K115" s="47" t="n"/>
      <c r="L115" s="47" t="n"/>
      <c r="M115" s="50" t="n"/>
      <c r="N115" s="50" t="n"/>
      <c r="O115" s="50" t="n"/>
      <c r="P115" s="48">
        <f>IF($F115="","",IF($J115="Yes",$F115+1,IF($G115="No",$F115+2,IF(N($I115)&gt;2,$F115+3,IF(N($I115)&gt;0,$F115+5,$F115+7)))))</f>
        <v/>
      </c>
      <c r="Q115" s="48">
        <f>IF($P115="","",IF($J115="Yes",$P115+3,IF($G115="No",$P115+5,IF(N($I115)&gt;0,$P115+7,$P115+14))))</f>
        <v/>
      </c>
      <c r="R115" s="48">
        <f>IF($Q115="","",IF($J115="Yes",$Q115+7,IF($G115="No",$Q115+14,$Q115+30)))</f>
        <v/>
      </c>
      <c r="S115" s="47" t="n"/>
      <c r="T115" s="50" t="n"/>
      <c r="U115" s="47">
        <f>IF($F115="","",MIN(24,MAX(1,ROUNDUP(($F115-DayPlan!$C$2+1)/7,0))))</f>
        <v/>
      </c>
      <c r="V115" s="47">
        <f>IF($A115=""," ",4*($J115="Yes")+3*($G115="No")+2*(N($I115)&gt;0)+1*(AND(ISNUMBER($H115),$H115&gt;45))+3*(AND(ISNUMBER($P115),$P115&lt;=TODAY()))-6*($S115="Yes")+(750-ROW())/100000)</f>
        <v/>
      </c>
      <c r="W115" s="47">
        <f>IF(OR($A115="",NOT(ISNUMBER($P115))),"",INT($P115-TODAY()))</f>
        <v/>
      </c>
      <c r="X115" s="47" t="n"/>
    </row>
    <row r="116">
      <c r="A116" s="50" t="n"/>
      <c r="B116" s="47" t="n"/>
      <c r="C116" s="47" t="n"/>
      <c r="D116" s="50" t="n"/>
      <c r="E116" s="50" t="n"/>
      <c r="F116" s="48" t="n"/>
      <c r="G116" s="47" t="n"/>
      <c r="H116" s="47" t="n"/>
      <c r="I116" s="47" t="n"/>
      <c r="J116" s="47" t="n"/>
      <c r="K116" s="47" t="n"/>
      <c r="L116" s="47" t="n"/>
      <c r="M116" s="50" t="n"/>
      <c r="N116" s="50" t="n"/>
      <c r="O116" s="50" t="n"/>
      <c r="P116" s="48">
        <f>IF($F116="","",IF($J116="Yes",$F116+1,IF($G116="No",$F116+2,IF(N($I116)&gt;2,$F116+3,IF(N($I116)&gt;0,$F116+5,$F116+7)))))</f>
        <v/>
      </c>
      <c r="Q116" s="48">
        <f>IF($P116="","",IF($J116="Yes",$P116+3,IF($G116="No",$P116+5,IF(N($I116)&gt;0,$P116+7,$P116+14))))</f>
        <v/>
      </c>
      <c r="R116" s="48">
        <f>IF($Q116="","",IF($J116="Yes",$Q116+7,IF($G116="No",$Q116+14,$Q116+30)))</f>
        <v/>
      </c>
      <c r="S116" s="47" t="n"/>
      <c r="T116" s="50" t="n"/>
      <c r="U116" s="47">
        <f>IF($F116="","",MIN(24,MAX(1,ROUNDUP(($F116-DayPlan!$C$2+1)/7,0))))</f>
        <v/>
      </c>
      <c r="V116" s="47">
        <f>IF($A116=""," ",4*($J116="Yes")+3*($G116="No")+2*(N($I116)&gt;0)+1*(AND(ISNUMBER($H116),$H116&gt;45))+3*(AND(ISNUMBER($P116),$P116&lt;=TODAY()))-6*($S116="Yes")+(750-ROW())/100000)</f>
        <v/>
      </c>
      <c r="W116" s="47">
        <f>IF(OR($A116="",NOT(ISNUMBER($P116))),"",INT($P116-TODAY()))</f>
        <v/>
      </c>
      <c r="X116" s="47" t="n"/>
    </row>
    <row r="117">
      <c r="A117" s="50" t="n"/>
      <c r="B117" s="47" t="n"/>
      <c r="C117" s="47" t="n"/>
      <c r="D117" s="50" t="n"/>
      <c r="E117" s="50" t="n"/>
      <c r="F117" s="48" t="n"/>
      <c r="G117" s="47" t="n"/>
      <c r="H117" s="47" t="n"/>
      <c r="I117" s="47" t="n"/>
      <c r="J117" s="47" t="n"/>
      <c r="K117" s="47" t="n"/>
      <c r="L117" s="47" t="n"/>
      <c r="M117" s="50" t="n"/>
      <c r="N117" s="50" t="n"/>
      <c r="O117" s="50" t="n"/>
      <c r="P117" s="48">
        <f>IF($F117="","",IF($J117="Yes",$F117+1,IF($G117="No",$F117+2,IF(N($I117)&gt;2,$F117+3,IF(N($I117)&gt;0,$F117+5,$F117+7)))))</f>
        <v/>
      </c>
      <c r="Q117" s="48">
        <f>IF($P117="","",IF($J117="Yes",$P117+3,IF($G117="No",$P117+5,IF(N($I117)&gt;0,$P117+7,$P117+14))))</f>
        <v/>
      </c>
      <c r="R117" s="48">
        <f>IF($Q117="","",IF($J117="Yes",$Q117+7,IF($G117="No",$Q117+14,$Q117+30)))</f>
        <v/>
      </c>
      <c r="S117" s="47" t="n"/>
      <c r="T117" s="50" t="n"/>
      <c r="U117" s="47">
        <f>IF($F117="","",MIN(24,MAX(1,ROUNDUP(($F117-DayPlan!$C$2+1)/7,0))))</f>
        <v/>
      </c>
      <c r="V117" s="47">
        <f>IF($A117=""," ",4*($J117="Yes")+3*($G117="No")+2*(N($I117)&gt;0)+1*(AND(ISNUMBER($H117),$H117&gt;45))+3*(AND(ISNUMBER($P117),$P117&lt;=TODAY()))-6*($S117="Yes")+(750-ROW())/100000)</f>
        <v/>
      </c>
      <c r="W117" s="47">
        <f>IF(OR($A117="",NOT(ISNUMBER($P117))),"",INT($P117-TODAY()))</f>
        <v/>
      </c>
      <c r="X117" s="47" t="n"/>
    </row>
    <row r="118">
      <c r="A118" s="50" t="n"/>
      <c r="B118" s="47" t="n"/>
      <c r="C118" s="47" t="n"/>
      <c r="D118" s="50" t="n"/>
      <c r="E118" s="50" t="n"/>
      <c r="F118" s="48" t="n"/>
      <c r="G118" s="47" t="n"/>
      <c r="H118" s="47" t="n"/>
      <c r="I118" s="47" t="n"/>
      <c r="J118" s="47" t="n"/>
      <c r="K118" s="47" t="n"/>
      <c r="L118" s="47" t="n"/>
      <c r="M118" s="50" t="n"/>
      <c r="N118" s="50" t="n"/>
      <c r="O118" s="50" t="n"/>
      <c r="P118" s="48">
        <f>IF($F118="","",IF($J118="Yes",$F118+1,IF($G118="No",$F118+2,IF(N($I118)&gt;2,$F118+3,IF(N($I118)&gt;0,$F118+5,$F118+7)))))</f>
        <v/>
      </c>
      <c r="Q118" s="48">
        <f>IF($P118="","",IF($J118="Yes",$P118+3,IF($G118="No",$P118+5,IF(N($I118)&gt;0,$P118+7,$P118+14))))</f>
        <v/>
      </c>
      <c r="R118" s="48">
        <f>IF($Q118="","",IF($J118="Yes",$Q118+7,IF($G118="No",$Q118+14,$Q118+30)))</f>
        <v/>
      </c>
      <c r="S118" s="47" t="n"/>
      <c r="T118" s="50" t="n"/>
      <c r="U118" s="47">
        <f>IF($F118="","",MIN(24,MAX(1,ROUNDUP(($F118-DayPlan!$C$2+1)/7,0))))</f>
        <v/>
      </c>
      <c r="V118" s="47">
        <f>IF($A118=""," ",4*($J118="Yes")+3*($G118="No")+2*(N($I118)&gt;0)+1*(AND(ISNUMBER($H118),$H118&gt;45))+3*(AND(ISNUMBER($P118),$P118&lt;=TODAY()))-6*($S118="Yes")+(750-ROW())/100000)</f>
        <v/>
      </c>
      <c r="W118" s="47">
        <f>IF(OR($A118="",NOT(ISNUMBER($P118))),"",INT($P118-TODAY()))</f>
        <v/>
      </c>
      <c r="X118" s="47" t="n"/>
    </row>
    <row r="119">
      <c r="A119" s="50" t="n"/>
      <c r="B119" s="47" t="n"/>
      <c r="C119" s="47" t="n"/>
      <c r="D119" s="50" t="n"/>
      <c r="E119" s="50" t="n"/>
      <c r="F119" s="48" t="n"/>
      <c r="G119" s="47" t="n"/>
      <c r="H119" s="47" t="n"/>
      <c r="I119" s="47" t="n"/>
      <c r="J119" s="47" t="n"/>
      <c r="K119" s="47" t="n"/>
      <c r="L119" s="47" t="n"/>
      <c r="M119" s="50" t="n"/>
      <c r="N119" s="50" t="n"/>
      <c r="O119" s="50" t="n"/>
      <c r="P119" s="48">
        <f>IF($F119="","",IF($J119="Yes",$F119+1,IF($G119="No",$F119+2,IF(N($I119)&gt;2,$F119+3,IF(N($I119)&gt;0,$F119+5,$F119+7)))))</f>
        <v/>
      </c>
      <c r="Q119" s="48">
        <f>IF($P119="","",IF($J119="Yes",$P119+3,IF($G119="No",$P119+5,IF(N($I119)&gt;0,$P119+7,$P119+14))))</f>
        <v/>
      </c>
      <c r="R119" s="48">
        <f>IF($Q119="","",IF($J119="Yes",$Q119+7,IF($G119="No",$Q119+14,$Q119+30)))</f>
        <v/>
      </c>
      <c r="S119" s="47" t="n"/>
      <c r="T119" s="50" t="n"/>
      <c r="U119" s="47">
        <f>IF($F119="","",MIN(24,MAX(1,ROUNDUP(($F119-DayPlan!$C$2+1)/7,0))))</f>
        <v/>
      </c>
      <c r="V119" s="47">
        <f>IF($A119=""," ",4*($J119="Yes")+3*($G119="No")+2*(N($I119)&gt;0)+1*(AND(ISNUMBER($H119),$H119&gt;45))+3*(AND(ISNUMBER($P119),$P119&lt;=TODAY()))-6*($S119="Yes")+(750-ROW())/100000)</f>
        <v/>
      </c>
      <c r="W119" s="47">
        <f>IF(OR($A119="",NOT(ISNUMBER($P119))),"",INT($P119-TODAY()))</f>
        <v/>
      </c>
      <c r="X119" s="47" t="n"/>
    </row>
    <row r="120">
      <c r="A120" s="50" t="n"/>
      <c r="B120" s="47" t="n"/>
      <c r="C120" s="47" t="n"/>
      <c r="D120" s="50" t="n"/>
      <c r="E120" s="50" t="n"/>
      <c r="F120" s="48" t="n"/>
      <c r="G120" s="47" t="n"/>
      <c r="H120" s="47" t="n"/>
      <c r="I120" s="47" t="n"/>
      <c r="J120" s="47" t="n"/>
      <c r="K120" s="47" t="n"/>
      <c r="L120" s="47" t="n"/>
      <c r="M120" s="50" t="n"/>
      <c r="N120" s="50" t="n"/>
      <c r="O120" s="50" t="n"/>
      <c r="P120" s="48">
        <f>IF($F120="","",IF($J120="Yes",$F120+1,IF($G120="No",$F120+2,IF(N($I120)&gt;2,$F120+3,IF(N($I120)&gt;0,$F120+5,$F120+7)))))</f>
        <v/>
      </c>
      <c r="Q120" s="48">
        <f>IF($P120="","",IF($J120="Yes",$P120+3,IF($G120="No",$P120+5,IF(N($I120)&gt;0,$P120+7,$P120+14))))</f>
        <v/>
      </c>
      <c r="R120" s="48">
        <f>IF($Q120="","",IF($J120="Yes",$Q120+7,IF($G120="No",$Q120+14,$Q120+30)))</f>
        <v/>
      </c>
      <c r="S120" s="47" t="n"/>
      <c r="T120" s="50" t="n"/>
      <c r="U120" s="47">
        <f>IF($F120="","",MIN(24,MAX(1,ROUNDUP(($F120-DayPlan!$C$2+1)/7,0))))</f>
        <v/>
      </c>
      <c r="V120" s="47">
        <f>IF($A120=""," ",4*($J120="Yes")+3*($G120="No")+2*(N($I120)&gt;0)+1*(AND(ISNUMBER($H120),$H120&gt;45))+3*(AND(ISNUMBER($P120),$P120&lt;=TODAY()))-6*($S120="Yes")+(750-ROW())/100000)</f>
        <v/>
      </c>
      <c r="W120" s="47">
        <f>IF(OR($A120="",NOT(ISNUMBER($P120))),"",INT($P120-TODAY()))</f>
        <v/>
      </c>
      <c r="X120" s="47" t="n"/>
    </row>
    <row r="121">
      <c r="A121" s="50" t="n"/>
      <c r="B121" s="47" t="n"/>
      <c r="C121" s="47" t="n"/>
      <c r="D121" s="50" t="n"/>
      <c r="E121" s="50" t="n"/>
      <c r="F121" s="48" t="n"/>
      <c r="G121" s="47" t="n"/>
      <c r="H121" s="47" t="n"/>
      <c r="I121" s="47" t="n"/>
      <c r="J121" s="47" t="n"/>
      <c r="K121" s="47" t="n"/>
      <c r="L121" s="47" t="n"/>
      <c r="M121" s="50" t="n"/>
      <c r="N121" s="50" t="n"/>
      <c r="O121" s="50" t="n"/>
      <c r="P121" s="48">
        <f>IF($F121="","",IF($J121="Yes",$F121+1,IF($G121="No",$F121+2,IF(N($I121)&gt;2,$F121+3,IF(N($I121)&gt;0,$F121+5,$F121+7)))))</f>
        <v/>
      </c>
      <c r="Q121" s="48">
        <f>IF($P121="","",IF($J121="Yes",$P121+3,IF($G121="No",$P121+5,IF(N($I121)&gt;0,$P121+7,$P121+14))))</f>
        <v/>
      </c>
      <c r="R121" s="48">
        <f>IF($Q121="","",IF($J121="Yes",$Q121+7,IF($G121="No",$Q121+14,$Q121+30)))</f>
        <v/>
      </c>
      <c r="S121" s="47" t="n"/>
      <c r="T121" s="50" t="n"/>
      <c r="U121" s="47">
        <f>IF($F121="","",MIN(24,MAX(1,ROUNDUP(($F121-DayPlan!$C$2+1)/7,0))))</f>
        <v/>
      </c>
      <c r="V121" s="47">
        <f>IF($A121=""," ",4*($J121="Yes")+3*($G121="No")+2*(N($I121)&gt;0)+1*(AND(ISNUMBER($H121),$H121&gt;45))+3*(AND(ISNUMBER($P121),$P121&lt;=TODAY()))-6*($S121="Yes")+(750-ROW())/100000)</f>
        <v/>
      </c>
      <c r="W121" s="47">
        <f>IF(OR($A121="",NOT(ISNUMBER($P121))),"",INT($P121-TODAY()))</f>
        <v/>
      </c>
      <c r="X121" s="47" t="n"/>
    </row>
    <row r="122">
      <c r="A122" s="50" t="n"/>
      <c r="B122" s="47" t="n"/>
      <c r="C122" s="47" t="n"/>
      <c r="D122" s="50" t="n"/>
      <c r="E122" s="50" t="n"/>
      <c r="F122" s="48" t="n"/>
      <c r="G122" s="47" t="n"/>
      <c r="H122" s="47" t="n"/>
      <c r="I122" s="47" t="n"/>
      <c r="J122" s="47" t="n"/>
      <c r="K122" s="47" t="n"/>
      <c r="L122" s="47" t="n"/>
      <c r="M122" s="50" t="n"/>
      <c r="N122" s="50" t="n"/>
      <c r="O122" s="50" t="n"/>
      <c r="P122" s="48">
        <f>IF($F122="","",IF($J122="Yes",$F122+1,IF($G122="No",$F122+2,IF(N($I122)&gt;2,$F122+3,IF(N($I122)&gt;0,$F122+5,$F122+7)))))</f>
        <v/>
      </c>
      <c r="Q122" s="48">
        <f>IF($P122="","",IF($J122="Yes",$P122+3,IF($G122="No",$P122+5,IF(N($I122)&gt;0,$P122+7,$P122+14))))</f>
        <v/>
      </c>
      <c r="R122" s="48">
        <f>IF($Q122="","",IF($J122="Yes",$Q122+7,IF($G122="No",$Q122+14,$Q122+30)))</f>
        <v/>
      </c>
      <c r="S122" s="47" t="n"/>
      <c r="T122" s="50" t="n"/>
      <c r="U122" s="47">
        <f>IF($F122="","",MIN(24,MAX(1,ROUNDUP(($F122-DayPlan!$C$2+1)/7,0))))</f>
        <v/>
      </c>
      <c r="V122" s="47">
        <f>IF($A122=""," ",4*($J122="Yes")+3*($G122="No")+2*(N($I122)&gt;0)+1*(AND(ISNUMBER($H122),$H122&gt;45))+3*(AND(ISNUMBER($P122),$P122&lt;=TODAY()))-6*($S122="Yes")+(750-ROW())/100000)</f>
        <v/>
      </c>
      <c r="W122" s="47">
        <f>IF(OR($A122="",NOT(ISNUMBER($P122))),"",INT($P122-TODAY()))</f>
        <v/>
      </c>
      <c r="X122" s="47" t="n"/>
    </row>
    <row r="123">
      <c r="A123" s="50" t="n"/>
      <c r="B123" s="47" t="n"/>
      <c r="C123" s="47" t="n"/>
      <c r="D123" s="50" t="n"/>
      <c r="E123" s="50" t="n"/>
      <c r="F123" s="48" t="n"/>
      <c r="G123" s="47" t="n"/>
      <c r="H123" s="47" t="n"/>
      <c r="I123" s="47" t="n"/>
      <c r="J123" s="47" t="n"/>
      <c r="K123" s="47" t="n"/>
      <c r="L123" s="47" t="n"/>
      <c r="M123" s="50" t="n"/>
      <c r="N123" s="50" t="n"/>
      <c r="O123" s="50" t="n"/>
      <c r="P123" s="48">
        <f>IF($F123="","",IF($J123="Yes",$F123+1,IF($G123="No",$F123+2,IF(N($I123)&gt;2,$F123+3,IF(N($I123)&gt;0,$F123+5,$F123+7)))))</f>
        <v/>
      </c>
      <c r="Q123" s="48">
        <f>IF($P123="","",IF($J123="Yes",$P123+3,IF($G123="No",$P123+5,IF(N($I123)&gt;0,$P123+7,$P123+14))))</f>
        <v/>
      </c>
      <c r="R123" s="48">
        <f>IF($Q123="","",IF($J123="Yes",$Q123+7,IF($G123="No",$Q123+14,$Q123+30)))</f>
        <v/>
      </c>
      <c r="S123" s="47" t="n"/>
      <c r="T123" s="50" t="n"/>
      <c r="U123" s="47">
        <f>IF($F123="","",MIN(24,MAX(1,ROUNDUP(($F123-DayPlan!$C$2+1)/7,0))))</f>
        <v/>
      </c>
      <c r="V123" s="47">
        <f>IF($A123=""," ",4*($J123="Yes")+3*($G123="No")+2*(N($I123)&gt;0)+1*(AND(ISNUMBER($H123),$H123&gt;45))+3*(AND(ISNUMBER($P123),$P123&lt;=TODAY()))-6*($S123="Yes")+(750-ROW())/100000)</f>
        <v/>
      </c>
      <c r="W123" s="47">
        <f>IF(OR($A123="",NOT(ISNUMBER($P123))),"",INT($P123-TODAY()))</f>
        <v/>
      </c>
      <c r="X123" s="47" t="n"/>
    </row>
    <row r="124">
      <c r="A124" s="50" t="n"/>
      <c r="B124" s="47" t="n"/>
      <c r="C124" s="47" t="n"/>
      <c r="D124" s="50" t="n"/>
      <c r="E124" s="50" t="n"/>
      <c r="F124" s="48" t="n"/>
      <c r="G124" s="47" t="n"/>
      <c r="H124" s="47" t="n"/>
      <c r="I124" s="47" t="n"/>
      <c r="J124" s="47" t="n"/>
      <c r="K124" s="47" t="n"/>
      <c r="L124" s="47" t="n"/>
      <c r="M124" s="50" t="n"/>
      <c r="N124" s="50" t="n"/>
      <c r="O124" s="50" t="n"/>
      <c r="P124" s="48">
        <f>IF($F124="","",IF($J124="Yes",$F124+1,IF($G124="No",$F124+2,IF(N($I124)&gt;2,$F124+3,IF(N($I124)&gt;0,$F124+5,$F124+7)))))</f>
        <v/>
      </c>
      <c r="Q124" s="48">
        <f>IF($P124="","",IF($J124="Yes",$P124+3,IF($G124="No",$P124+5,IF(N($I124)&gt;0,$P124+7,$P124+14))))</f>
        <v/>
      </c>
      <c r="R124" s="48">
        <f>IF($Q124="","",IF($J124="Yes",$Q124+7,IF($G124="No",$Q124+14,$Q124+30)))</f>
        <v/>
      </c>
      <c r="S124" s="47" t="n"/>
      <c r="T124" s="50" t="n"/>
      <c r="U124" s="47">
        <f>IF($F124="","",MIN(24,MAX(1,ROUNDUP(($F124-DayPlan!$C$2+1)/7,0))))</f>
        <v/>
      </c>
      <c r="V124" s="47">
        <f>IF($A124=""," ",4*($J124="Yes")+3*($G124="No")+2*(N($I124)&gt;0)+1*(AND(ISNUMBER($H124),$H124&gt;45))+3*(AND(ISNUMBER($P124),$P124&lt;=TODAY()))-6*($S124="Yes")+(750-ROW())/100000)</f>
        <v/>
      </c>
      <c r="W124" s="47">
        <f>IF(OR($A124="",NOT(ISNUMBER($P124))),"",INT($P124-TODAY()))</f>
        <v/>
      </c>
      <c r="X124" s="47" t="n"/>
    </row>
    <row r="125">
      <c r="A125" s="50" t="n"/>
      <c r="B125" s="47" t="n"/>
      <c r="C125" s="47" t="n"/>
      <c r="D125" s="50" t="n"/>
      <c r="E125" s="50" t="n"/>
      <c r="F125" s="48" t="n"/>
      <c r="G125" s="47" t="n"/>
      <c r="H125" s="47" t="n"/>
      <c r="I125" s="47" t="n"/>
      <c r="J125" s="47" t="n"/>
      <c r="K125" s="47" t="n"/>
      <c r="L125" s="47" t="n"/>
      <c r="M125" s="50" t="n"/>
      <c r="N125" s="50" t="n"/>
      <c r="O125" s="50" t="n"/>
      <c r="P125" s="48">
        <f>IF($F125="","",IF($J125="Yes",$F125+1,IF($G125="No",$F125+2,IF(N($I125)&gt;2,$F125+3,IF(N($I125)&gt;0,$F125+5,$F125+7)))))</f>
        <v/>
      </c>
      <c r="Q125" s="48">
        <f>IF($P125="","",IF($J125="Yes",$P125+3,IF($G125="No",$P125+5,IF(N($I125)&gt;0,$P125+7,$P125+14))))</f>
        <v/>
      </c>
      <c r="R125" s="48">
        <f>IF($Q125="","",IF($J125="Yes",$Q125+7,IF($G125="No",$Q125+14,$Q125+30)))</f>
        <v/>
      </c>
      <c r="S125" s="47" t="n"/>
      <c r="T125" s="50" t="n"/>
      <c r="U125" s="47">
        <f>IF($F125="","",MIN(24,MAX(1,ROUNDUP(($F125-DayPlan!$C$2+1)/7,0))))</f>
        <v/>
      </c>
      <c r="V125" s="47">
        <f>IF($A125=""," ",4*($J125="Yes")+3*($G125="No")+2*(N($I125)&gt;0)+1*(AND(ISNUMBER($H125),$H125&gt;45))+3*(AND(ISNUMBER($P125),$P125&lt;=TODAY()))-6*($S125="Yes")+(750-ROW())/100000)</f>
        <v/>
      </c>
      <c r="W125" s="47">
        <f>IF(OR($A125="",NOT(ISNUMBER($P125))),"",INT($P125-TODAY()))</f>
        <v/>
      </c>
      <c r="X125" s="47" t="n"/>
    </row>
    <row r="126">
      <c r="A126" s="50" t="n"/>
      <c r="B126" s="47" t="n"/>
      <c r="C126" s="47" t="n"/>
      <c r="D126" s="50" t="n"/>
      <c r="E126" s="50" t="n"/>
      <c r="F126" s="48" t="n"/>
      <c r="G126" s="47" t="n"/>
      <c r="H126" s="47" t="n"/>
      <c r="I126" s="47" t="n"/>
      <c r="J126" s="47" t="n"/>
      <c r="K126" s="47" t="n"/>
      <c r="L126" s="47" t="n"/>
      <c r="M126" s="50" t="n"/>
      <c r="N126" s="50" t="n"/>
      <c r="O126" s="50" t="n"/>
      <c r="P126" s="48">
        <f>IF($F126="","",IF($J126="Yes",$F126+1,IF($G126="No",$F126+2,IF(N($I126)&gt;2,$F126+3,IF(N($I126)&gt;0,$F126+5,$F126+7)))))</f>
        <v/>
      </c>
      <c r="Q126" s="48">
        <f>IF($P126="","",IF($J126="Yes",$P126+3,IF($G126="No",$P126+5,IF(N($I126)&gt;0,$P126+7,$P126+14))))</f>
        <v/>
      </c>
      <c r="R126" s="48">
        <f>IF($Q126="","",IF($J126="Yes",$Q126+7,IF($G126="No",$Q126+14,$Q126+30)))</f>
        <v/>
      </c>
      <c r="S126" s="47" t="n"/>
      <c r="T126" s="50" t="n"/>
      <c r="U126" s="47">
        <f>IF($F126="","",MIN(24,MAX(1,ROUNDUP(($F126-DayPlan!$C$2+1)/7,0))))</f>
        <v/>
      </c>
      <c r="V126" s="47">
        <f>IF($A126=""," ",4*($J126="Yes")+3*($G126="No")+2*(N($I126)&gt;0)+1*(AND(ISNUMBER($H126),$H126&gt;45))+3*(AND(ISNUMBER($P126),$P126&lt;=TODAY()))-6*($S126="Yes")+(750-ROW())/100000)</f>
        <v/>
      </c>
      <c r="W126" s="47">
        <f>IF(OR($A126="",NOT(ISNUMBER($P126))),"",INT($P126-TODAY()))</f>
        <v/>
      </c>
      <c r="X126" s="47" t="n"/>
    </row>
    <row r="127">
      <c r="A127" s="50" t="n"/>
      <c r="B127" s="47" t="n"/>
      <c r="C127" s="47" t="n"/>
      <c r="D127" s="50" t="n"/>
      <c r="E127" s="50" t="n"/>
      <c r="F127" s="48" t="n"/>
      <c r="G127" s="47" t="n"/>
      <c r="H127" s="47" t="n"/>
      <c r="I127" s="47" t="n"/>
      <c r="J127" s="47" t="n"/>
      <c r="K127" s="47" t="n"/>
      <c r="L127" s="47" t="n"/>
      <c r="M127" s="50" t="n"/>
      <c r="N127" s="50" t="n"/>
      <c r="O127" s="50" t="n"/>
      <c r="P127" s="48">
        <f>IF($F127="","",IF($J127="Yes",$F127+1,IF($G127="No",$F127+2,IF(N($I127)&gt;2,$F127+3,IF(N($I127)&gt;0,$F127+5,$F127+7)))))</f>
        <v/>
      </c>
      <c r="Q127" s="48">
        <f>IF($P127="","",IF($J127="Yes",$P127+3,IF($G127="No",$P127+5,IF(N($I127)&gt;0,$P127+7,$P127+14))))</f>
        <v/>
      </c>
      <c r="R127" s="48">
        <f>IF($Q127="","",IF($J127="Yes",$Q127+7,IF($G127="No",$Q127+14,$Q127+30)))</f>
        <v/>
      </c>
      <c r="S127" s="47" t="n"/>
      <c r="T127" s="50" t="n"/>
      <c r="U127" s="47">
        <f>IF($F127="","",MIN(24,MAX(1,ROUNDUP(($F127-DayPlan!$C$2+1)/7,0))))</f>
        <v/>
      </c>
      <c r="V127" s="47">
        <f>IF($A127=""," ",4*($J127="Yes")+3*($G127="No")+2*(N($I127)&gt;0)+1*(AND(ISNUMBER($H127),$H127&gt;45))+3*(AND(ISNUMBER($P127),$P127&lt;=TODAY()))-6*($S127="Yes")+(750-ROW())/100000)</f>
        <v/>
      </c>
      <c r="W127" s="47">
        <f>IF(OR($A127="",NOT(ISNUMBER($P127))),"",INT($P127-TODAY()))</f>
        <v/>
      </c>
      <c r="X127" s="47" t="n"/>
    </row>
    <row r="128">
      <c r="A128" s="50" t="n"/>
      <c r="B128" s="47" t="n"/>
      <c r="C128" s="47" t="n"/>
      <c r="D128" s="50" t="n"/>
      <c r="E128" s="50" t="n"/>
      <c r="F128" s="48" t="n"/>
      <c r="G128" s="47" t="n"/>
      <c r="H128" s="47" t="n"/>
      <c r="I128" s="47" t="n"/>
      <c r="J128" s="47" t="n"/>
      <c r="K128" s="47" t="n"/>
      <c r="L128" s="47" t="n"/>
      <c r="M128" s="50" t="n"/>
      <c r="N128" s="50" t="n"/>
      <c r="O128" s="50" t="n"/>
      <c r="P128" s="48">
        <f>IF($F128="","",IF($J128="Yes",$F128+1,IF($G128="No",$F128+2,IF(N($I128)&gt;2,$F128+3,IF(N($I128)&gt;0,$F128+5,$F128+7)))))</f>
        <v/>
      </c>
      <c r="Q128" s="48">
        <f>IF($P128="","",IF($J128="Yes",$P128+3,IF($G128="No",$P128+5,IF(N($I128)&gt;0,$P128+7,$P128+14))))</f>
        <v/>
      </c>
      <c r="R128" s="48">
        <f>IF($Q128="","",IF($J128="Yes",$Q128+7,IF($G128="No",$Q128+14,$Q128+30)))</f>
        <v/>
      </c>
      <c r="S128" s="47" t="n"/>
      <c r="T128" s="50" t="n"/>
      <c r="U128" s="47">
        <f>IF($F128="","",MIN(24,MAX(1,ROUNDUP(($F128-DayPlan!$C$2+1)/7,0))))</f>
        <v/>
      </c>
      <c r="V128" s="47">
        <f>IF($A128=""," ",4*($J128="Yes")+3*($G128="No")+2*(N($I128)&gt;0)+1*(AND(ISNUMBER($H128),$H128&gt;45))+3*(AND(ISNUMBER($P128),$P128&lt;=TODAY()))-6*($S128="Yes")+(750-ROW())/100000)</f>
        <v/>
      </c>
      <c r="W128" s="47">
        <f>IF(OR($A128="",NOT(ISNUMBER($P128))),"",INT($P128-TODAY()))</f>
        <v/>
      </c>
      <c r="X128" s="47" t="n"/>
    </row>
    <row r="129">
      <c r="A129" s="50" t="n"/>
      <c r="B129" s="47" t="n"/>
      <c r="C129" s="47" t="n"/>
      <c r="D129" s="50" t="n"/>
      <c r="E129" s="50" t="n"/>
      <c r="F129" s="48" t="n"/>
      <c r="G129" s="47" t="n"/>
      <c r="H129" s="47" t="n"/>
      <c r="I129" s="47" t="n"/>
      <c r="J129" s="47" t="n"/>
      <c r="K129" s="47" t="n"/>
      <c r="L129" s="47" t="n"/>
      <c r="M129" s="50" t="n"/>
      <c r="N129" s="50" t="n"/>
      <c r="O129" s="50" t="n"/>
      <c r="P129" s="48">
        <f>IF($F129="","",IF($J129="Yes",$F129+1,IF($G129="No",$F129+2,IF(N($I129)&gt;2,$F129+3,IF(N($I129)&gt;0,$F129+5,$F129+7)))))</f>
        <v/>
      </c>
      <c r="Q129" s="48">
        <f>IF($P129="","",IF($J129="Yes",$P129+3,IF($G129="No",$P129+5,IF(N($I129)&gt;0,$P129+7,$P129+14))))</f>
        <v/>
      </c>
      <c r="R129" s="48">
        <f>IF($Q129="","",IF($J129="Yes",$Q129+7,IF($G129="No",$Q129+14,$Q129+30)))</f>
        <v/>
      </c>
      <c r="S129" s="47" t="n"/>
      <c r="T129" s="50" t="n"/>
      <c r="U129" s="47">
        <f>IF($F129="","",MIN(24,MAX(1,ROUNDUP(($F129-DayPlan!$C$2+1)/7,0))))</f>
        <v/>
      </c>
      <c r="V129" s="47">
        <f>IF($A129=""," ",4*($J129="Yes")+3*($G129="No")+2*(N($I129)&gt;0)+1*(AND(ISNUMBER($H129),$H129&gt;45))+3*(AND(ISNUMBER($P129),$P129&lt;=TODAY()))-6*($S129="Yes")+(750-ROW())/100000)</f>
        <v/>
      </c>
      <c r="W129" s="47">
        <f>IF(OR($A129="",NOT(ISNUMBER($P129))),"",INT($P129-TODAY()))</f>
        <v/>
      </c>
      <c r="X129" s="47" t="n"/>
    </row>
    <row r="130">
      <c r="A130" s="50" t="n"/>
      <c r="B130" s="47" t="n"/>
      <c r="C130" s="47" t="n"/>
      <c r="D130" s="50" t="n"/>
      <c r="E130" s="50" t="n"/>
      <c r="F130" s="48" t="n"/>
      <c r="G130" s="47" t="n"/>
      <c r="H130" s="47" t="n"/>
      <c r="I130" s="47" t="n"/>
      <c r="J130" s="47" t="n"/>
      <c r="K130" s="47" t="n"/>
      <c r="L130" s="47" t="n"/>
      <c r="M130" s="50" t="n"/>
      <c r="N130" s="50" t="n"/>
      <c r="O130" s="50" t="n"/>
      <c r="P130" s="48">
        <f>IF($F130="","",IF($J130="Yes",$F130+1,IF($G130="No",$F130+2,IF(N($I130)&gt;2,$F130+3,IF(N($I130)&gt;0,$F130+5,$F130+7)))))</f>
        <v/>
      </c>
      <c r="Q130" s="48">
        <f>IF($P130="","",IF($J130="Yes",$P130+3,IF($G130="No",$P130+5,IF(N($I130)&gt;0,$P130+7,$P130+14))))</f>
        <v/>
      </c>
      <c r="R130" s="48">
        <f>IF($Q130="","",IF($J130="Yes",$Q130+7,IF($G130="No",$Q130+14,$Q130+30)))</f>
        <v/>
      </c>
      <c r="S130" s="47" t="n"/>
      <c r="T130" s="50" t="n"/>
      <c r="U130" s="47">
        <f>IF($F130="","",MIN(24,MAX(1,ROUNDUP(($F130-DayPlan!$C$2+1)/7,0))))</f>
        <v/>
      </c>
      <c r="V130" s="47">
        <f>IF($A130=""," ",4*($J130="Yes")+3*($G130="No")+2*(N($I130)&gt;0)+1*(AND(ISNUMBER($H130),$H130&gt;45))+3*(AND(ISNUMBER($P130),$P130&lt;=TODAY()))-6*($S130="Yes")+(750-ROW())/100000)</f>
        <v/>
      </c>
      <c r="W130" s="47">
        <f>IF(OR($A130="",NOT(ISNUMBER($P130))),"",INT($P130-TODAY()))</f>
        <v/>
      </c>
      <c r="X130" s="47" t="n"/>
    </row>
    <row r="131">
      <c r="A131" s="50" t="n"/>
      <c r="B131" s="47" t="n"/>
      <c r="C131" s="47" t="n"/>
      <c r="D131" s="50" t="n"/>
      <c r="E131" s="50" t="n"/>
      <c r="F131" s="48" t="n"/>
      <c r="G131" s="47" t="n"/>
      <c r="H131" s="47" t="n"/>
      <c r="I131" s="47" t="n"/>
      <c r="J131" s="47" t="n"/>
      <c r="K131" s="47" t="n"/>
      <c r="L131" s="47" t="n"/>
      <c r="M131" s="50" t="n"/>
      <c r="N131" s="50" t="n"/>
      <c r="O131" s="50" t="n"/>
      <c r="P131" s="48">
        <f>IF($F131="","",IF($J131="Yes",$F131+1,IF($G131="No",$F131+2,IF(N($I131)&gt;2,$F131+3,IF(N($I131)&gt;0,$F131+5,$F131+7)))))</f>
        <v/>
      </c>
      <c r="Q131" s="48">
        <f>IF($P131="","",IF($J131="Yes",$P131+3,IF($G131="No",$P131+5,IF(N($I131)&gt;0,$P131+7,$P131+14))))</f>
        <v/>
      </c>
      <c r="R131" s="48">
        <f>IF($Q131="","",IF($J131="Yes",$Q131+7,IF($G131="No",$Q131+14,$Q131+30)))</f>
        <v/>
      </c>
      <c r="S131" s="47" t="n"/>
      <c r="T131" s="50" t="n"/>
      <c r="U131" s="47">
        <f>IF($F131="","",MIN(24,MAX(1,ROUNDUP(($F131-DayPlan!$C$2+1)/7,0))))</f>
        <v/>
      </c>
      <c r="V131" s="47">
        <f>IF($A131=""," ",4*($J131="Yes")+3*($G131="No")+2*(N($I131)&gt;0)+1*(AND(ISNUMBER($H131),$H131&gt;45))+3*(AND(ISNUMBER($P131),$P131&lt;=TODAY()))-6*($S131="Yes")+(750-ROW())/100000)</f>
        <v/>
      </c>
      <c r="W131" s="47">
        <f>IF(OR($A131="",NOT(ISNUMBER($P131))),"",INT($P131-TODAY()))</f>
        <v/>
      </c>
      <c r="X131" s="47" t="n"/>
    </row>
    <row r="132">
      <c r="A132" s="50" t="n"/>
      <c r="B132" s="47" t="n"/>
      <c r="C132" s="47" t="n"/>
      <c r="D132" s="50" t="n"/>
      <c r="E132" s="50" t="n"/>
      <c r="F132" s="48" t="n"/>
      <c r="G132" s="47" t="n"/>
      <c r="H132" s="47" t="n"/>
      <c r="I132" s="47" t="n"/>
      <c r="J132" s="47" t="n"/>
      <c r="K132" s="47" t="n"/>
      <c r="L132" s="47" t="n"/>
      <c r="M132" s="50" t="n"/>
      <c r="N132" s="50" t="n"/>
      <c r="O132" s="50" t="n"/>
      <c r="P132" s="48">
        <f>IF($F132="","",IF($J132="Yes",$F132+1,IF($G132="No",$F132+2,IF(N($I132)&gt;2,$F132+3,IF(N($I132)&gt;0,$F132+5,$F132+7)))))</f>
        <v/>
      </c>
      <c r="Q132" s="48">
        <f>IF($P132="","",IF($J132="Yes",$P132+3,IF($G132="No",$P132+5,IF(N($I132)&gt;0,$P132+7,$P132+14))))</f>
        <v/>
      </c>
      <c r="R132" s="48">
        <f>IF($Q132="","",IF($J132="Yes",$Q132+7,IF($G132="No",$Q132+14,$Q132+30)))</f>
        <v/>
      </c>
      <c r="S132" s="47" t="n"/>
      <c r="T132" s="50" t="n"/>
      <c r="U132" s="47">
        <f>IF($F132="","",MIN(24,MAX(1,ROUNDUP(($F132-DayPlan!$C$2+1)/7,0))))</f>
        <v/>
      </c>
      <c r="V132" s="47">
        <f>IF($A132=""," ",4*($J132="Yes")+3*($G132="No")+2*(N($I132)&gt;0)+1*(AND(ISNUMBER($H132),$H132&gt;45))+3*(AND(ISNUMBER($P132),$P132&lt;=TODAY()))-6*($S132="Yes")+(750-ROW())/100000)</f>
        <v/>
      </c>
      <c r="W132" s="47">
        <f>IF(OR($A132="",NOT(ISNUMBER($P132))),"",INT($P132-TODAY()))</f>
        <v/>
      </c>
      <c r="X132" s="47" t="n"/>
    </row>
    <row r="133">
      <c r="A133" s="50" t="n"/>
      <c r="B133" s="47" t="n"/>
      <c r="C133" s="47" t="n"/>
      <c r="D133" s="50" t="n"/>
      <c r="E133" s="50" t="n"/>
      <c r="F133" s="48" t="n"/>
      <c r="G133" s="47" t="n"/>
      <c r="H133" s="47" t="n"/>
      <c r="I133" s="47" t="n"/>
      <c r="J133" s="47" t="n"/>
      <c r="K133" s="47" t="n"/>
      <c r="L133" s="47" t="n"/>
      <c r="M133" s="50" t="n"/>
      <c r="N133" s="50" t="n"/>
      <c r="O133" s="50" t="n"/>
      <c r="P133" s="48">
        <f>IF($F133="","",IF($J133="Yes",$F133+1,IF($G133="No",$F133+2,IF(N($I133)&gt;2,$F133+3,IF(N($I133)&gt;0,$F133+5,$F133+7)))))</f>
        <v/>
      </c>
      <c r="Q133" s="48">
        <f>IF($P133="","",IF($J133="Yes",$P133+3,IF($G133="No",$P133+5,IF(N($I133)&gt;0,$P133+7,$P133+14))))</f>
        <v/>
      </c>
      <c r="R133" s="48">
        <f>IF($Q133="","",IF($J133="Yes",$Q133+7,IF($G133="No",$Q133+14,$Q133+30)))</f>
        <v/>
      </c>
      <c r="S133" s="47" t="n"/>
      <c r="T133" s="50" t="n"/>
      <c r="U133" s="47">
        <f>IF($F133="","",MIN(24,MAX(1,ROUNDUP(($F133-DayPlan!$C$2+1)/7,0))))</f>
        <v/>
      </c>
      <c r="V133" s="47">
        <f>IF($A133=""," ",4*($J133="Yes")+3*($G133="No")+2*(N($I133)&gt;0)+1*(AND(ISNUMBER($H133),$H133&gt;45))+3*(AND(ISNUMBER($P133),$P133&lt;=TODAY()))-6*($S133="Yes")+(750-ROW())/100000)</f>
        <v/>
      </c>
      <c r="W133" s="47">
        <f>IF(OR($A133="",NOT(ISNUMBER($P133))),"",INT($P133-TODAY()))</f>
        <v/>
      </c>
      <c r="X133" s="47" t="n"/>
    </row>
    <row r="134">
      <c r="A134" s="50" t="n"/>
      <c r="B134" s="47" t="n"/>
      <c r="C134" s="47" t="n"/>
      <c r="D134" s="50" t="n"/>
      <c r="E134" s="50" t="n"/>
      <c r="F134" s="48" t="n"/>
      <c r="G134" s="47" t="n"/>
      <c r="H134" s="47" t="n"/>
      <c r="I134" s="47" t="n"/>
      <c r="J134" s="47" t="n"/>
      <c r="K134" s="47" t="n"/>
      <c r="L134" s="47" t="n"/>
      <c r="M134" s="50" t="n"/>
      <c r="N134" s="50" t="n"/>
      <c r="O134" s="50" t="n"/>
      <c r="P134" s="48">
        <f>IF($F134="","",IF($J134="Yes",$F134+1,IF($G134="No",$F134+2,IF(N($I134)&gt;2,$F134+3,IF(N($I134)&gt;0,$F134+5,$F134+7)))))</f>
        <v/>
      </c>
      <c r="Q134" s="48">
        <f>IF($P134="","",IF($J134="Yes",$P134+3,IF($G134="No",$P134+5,IF(N($I134)&gt;0,$P134+7,$P134+14))))</f>
        <v/>
      </c>
      <c r="R134" s="48">
        <f>IF($Q134="","",IF($J134="Yes",$Q134+7,IF($G134="No",$Q134+14,$Q134+30)))</f>
        <v/>
      </c>
      <c r="S134" s="47" t="n"/>
      <c r="T134" s="50" t="n"/>
      <c r="U134" s="47">
        <f>IF($F134="","",MIN(24,MAX(1,ROUNDUP(($F134-DayPlan!$C$2+1)/7,0))))</f>
        <v/>
      </c>
      <c r="V134" s="47">
        <f>IF($A134=""," ",4*($J134="Yes")+3*($G134="No")+2*(N($I134)&gt;0)+1*(AND(ISNUMBER($H134),$H134&gt;45))+3*(AND(ISNUMBER($P134),$P134&lt;=TODAY()))-6*($S134="Yes")+(750-ROW())/100000)</f>
        <v/>
      </c>
      <c r="W134" s="47">
        <f>IF(OR($A134="",NOT(ISNUMBER($P134))),"",INT($P134-TODAY()))</f>
        <v/>
      </c>
      <c r="X134" s="47" t="n"/>
    </row>
    <row r="135">
      <c r="A135" s="50" t="n"/>
      <c r="B135" s="47" t="n"/>
      <c r="C135" s="47" t="n"/>
      <c r="D135" s="50" t="n"/>
      <c r="E135" s="50" t="n"/>
      <c r="F135" s="48" t="n"/>
      <c r="G135" s="47" t="n"/>
      <c r="H135" s="47" t="n"/>
      <c r="I135" s="47" t="n"/>
      <c r="J135" s="47" t="n"/>
      <c r="K135" s="47" t="n"/>
      <c r="L135" s="47" t="n"/>
      <c r="M135" s="50" t="n"/>
      <c r="N135" s="50" t="n"/>
      <c r="O135" s="50" t="n"/>
      <c r="P135" s="48">
        <f>IF($F135="","",IF($J135="Yes",$F135+1,IF($G135="No",$F135+2,IF(N($I135)&gt;2,$F135+3,IF(N($I135)&gt;0,$F135+5,$F135+7)))))</f>
        <v/>
      </c>
      <c r="Q135" s="48">
        <f>IF($P135="","",IF($J135="Yes",$P135+3,IF($G135="No",$P135+5,IF(N($I135)&gt;0,$P135+7,$P135+14))))</f>
        <v/>
      </c>
      <c r="R135" s="48">
        <f>IF($Q135="","",IF($J135="Yes",$Q135+7,IF($G135="No",$Q135+14,$Q135+30)))</f>
        <v/>
      </c>
      <c r="S135" s="47" t="n"/>
      <c r="T135" s="50" t="n"/>
      <c r="U135" s="47">
        <f>IF($F135="","",MIN(24,MAX(1,ROUNDUP(($F135-DayPlan!$C$2+1)/7,0))))</f>
        <v/>
      </c>
      <c r="V135" s="47">
        <f>IF($A135=""," ",4*($J135="Yes")+3*($G135="No")+2*(N($I135)&gt;0)+1*(AND(ISNUMBER($H135),$H135&gt;45))+3*(AND(ISNUMBER($P135),$P135&lt;=TODAY()))-6*($S135="Yes")+(750-ROW())/100000)</f>
        <v/>
      </c>
      <c r="W135" s="47">
        <f>IF(OR($A135="",NOT(ISNUMBER($P135))),"",INT($P135-TODAY()))</f>
        <v/>
      </c>
      <c r="X135" s="47" t="n"/>
    </row>
    <row r="136">
      <c r="A136" s="50" t="n"/>
      <c r="B136" s="47" t="n"/>
      <c r="C136" s="47" t="n"/>
      <c r="D136" s="50" t="n"/>
      <c r="E136" s="50" t="n"/>
      <c r="F136" s="48" t="n"/>
      <c r="G136" s="47" t="n"/>
      <c r="H136" s="47" t="n"/>
      <c r="I136" s="47" t="n"/>
      <c r="J136" s="47" t="n"/>
      <c r="K136" s="47" t="n"/>
      <c r="L136" s="47" t="n"/>
      <c r="M136" s="50" t="n"/>
      <c r="N136" s="50" t="n"/>
      <c r="O136" s="50" t="n"/>
      <c r="P136" s="48">
        <f>IF($F136="","",IF($J136="Yes",$F136+1,IF($G136="No",$F136+2,IF(N($I136)&gt;2,$F136+3,IF(N($I136)&gt;0,$F136+5,$F136+7)))))</f>
        <v/>
      </c>
      <c r="Q136" s="48">
        <f>IF($P136="","",IF($J136="Yes",$P136+3,IF($G136="No",$P136+5,IF(N($I136)&gt;0,$P136+7,$P136+14))))</f>
        <v/>
      </c>
      <c r="R136" s="48">
        <f>IF($Q136="","",IF($J136="Yes",$Q136+7,IF($G136="No",$Q136+14,$Q136+30)))</f>
        <v/>
      </c>
      <c r="S136" s="47" t="n"/>
      <c r="T136" s="50" t="n"/>
      <c r="U136" s="47">
        <f>IF($F136="","",MIN(24,MAX(1,ROUNDUP(($F136-DayPlan!$C$2+1)/7,0))))</f>
        <v/>
      </c>
      <c r="V136" s="47">
        <f>IF($A136=""," ",4*($J136="Yes")+3*($G136="No")+2*(N($I136)&gt;0)+1*(AND(ISNUMBER($H136),$H136&gt;45))+3*(AND(ISNUMBER($P136),$P136&lt;=TODAY()))-6*($S136="Yes")+(750-ROW())/100000)</f>
        <v/>
      </c>
      <c r="W136" s="47">
        <f>IF(OR($A136="",NOT(ISNUMBER($P136))),"",INT($P136-TODAY()))</f>
        <v/>
      </c>
      <c r="X136" s="47" t="n"/>
    </row>
    <row r="137">
      <c r="A137" s="50" t="n"/>
      <c r="B137" s="47" t="n"/>
      <c r="C137" s="47" t="n"/>
      <c r="D137" s="50" t="n"/>
      <c r="E137" s="50" t="n"/>
      <c r="F137" s="48" t="n"/>
      <c r="G137" s="47" t="n"/>
      <c r="H137" s="47" t="n"/>
      <c r="I137" s="47" t="n"/>
      <c r="J137" s="47" t="n"/>
      <c r="K137" s="47" t="n"/>
      <c r="L137" s="47" t="n"/>
      <c r="M137" s="50" t="n"/>
      <c r="N137" s="50" t="n"/>
      <c r="O137" s="50" t="n"/>
      <c r="P137" s="48">
        <f>IF($F137="","",IF($J137="Yes",$F137+1,IF($G137="No",$F137+2,IF(N($I137)&gt;2,$F137+3,IF(N($I137)&gt;0,$F137+5,$F137+7)))))</f>
        <v/>
      </c>
      <c r="Q137" s="48">
        <f>IF($P137="","",IF($J137="Yes",$P137+3,IF($G137="No",$P137+5,IF(N($I137)&gt;0,$P137+7,$P137+14))))</f>
        <v/>
      </c>
      <c r="R137" s="48">
        <f>IF($Q137="","",IF($J137="Yes",$Q137+7,IF($G137="No",$Q137+14,$Q137+30)))</f>
        <v/>
      </c>
      <c r="S137" s="47" t="n"/>
      <c r="T137" s="50" t="n"/>
      <c r="U137" s="47">
        <f>IF($F137="","",MIN(24,MAX(1,ROUNDUP(($F137-DayPlan!$C$2+1)/7,0))))</f>
        <v/>
      </c>
      <c r="V137" s="47">
        <f>IF($A137=""," ",4*($J137="Yes")+3*($G137="No")+2*(N($I137)&gt;0)+1*(AND(ISNUMBER($H137),$H137&gt;45))+3*(AND(ISNUMBER($P137),$P137&lt;=TODAY()))-6*($S137="Yes")+(750-ROW())/100000)</f>
        <v/>
      </c>
      <c r="W137" s="47">
        <f>IF(OR($A137="",NOT(ISNUMBER($P137))),"",INT($P137-TODAY()))</f>
        <v/>
      </c>
      <c r="X137" s="47" t="n"/>
    </row>
    <row r="138">
      <c r="A138" s="50" t="n"/>
      <c r="B138" s="47" t="n"/>
      <c r="C138" s="47" t="n"/>
      <c r="D138" s="50" t="n"/>
      <c r="E138" s="50" t="n"/>
      <c r="F138" s="48" t="n"/>
      <c r="G138" s="47" t="n"/>
      <c r="H138" s="47" t="n"/>
      <c r="I138" s="47" t="n"/>
      <c r="J138" s="47" t="n"/>
      <c r="K138" s="47" t="n"/>
      <c r="L138" s="47" t="n"/>
      <c r="M138" s="50" t="n"/>
      <c r="N138" s="50" t="n"/>
      <c r="O138" s="50" t="n"/>
      <c r="P138" s="48">
        <f>IF($F138="","",IF($J138="Yes",$F138+1,IF($G138="No",$F138+2,IF(N($I138)&gt;2,$F138+3,IF(N($I138)&gt;0,$F138+5,$F138+7)))))</f>
        <v/>
      </c>
      <c r="Q138" s="48">
        <f>IF($P138="","",IF($J138="Yes",$P138+3,IF($G138="No",$P138+5,IF(N($I138)&gt;0,$P138+7,$P138+14))))</f>
        <v/>
      </c>
      <c r="R138" s="48">
        <f>IF($Q138="","",IF($J138="Yes",$Q138+7,IF($G138="No",$Q138+14,$Q138+30)))</f>
        <v/>
      </c>
      <c r="S138" s="47" t="n"/>
      <c r="T138" s="50" t="n"/>
      <c r="U138" s="47">
        <f>IF($F138="","",MIN(24,MAX(1,ROUNDUP(($F138-DayPlan!$C$2+1)/7,0))))</f>
        <v/>
      </c>
      <c r="V138" s="47">
        <f>IF($A138=""," ",4*($J138="Yes")+3*($G138="No")+2*(N($I138)&gt;0)+1*(AND(ISNUMBER($H138),$H138&gt;45))+3*(AND(ISNUMBER($P138),$P138&lt;=TODAY()))-6*($S138="Yes")+(750-ROW())/100000)</f>
        <v/>
      </c>
      <c r="W138" s="47">
        <f>IF(OR($A138="",NOT(ISNUMBER($P138))),"",INT($P138-TODAY()))</f>
        <v/>
      </c>
      <c r="X138" s="47" t="n"/>
    </row>
    <row r="139">
      <c r="A139" s="50" t="n"/>
      <c r="B139" s="47" t="n"/>
      <c r="C139" s="47" t="n"/>
      <c r="D139" s="50" t="n"/>
      <c r="E139" s="50" t="n"/>
      <c r="F139" s="48" t="n"/>
      <c r="G139" s="47" t="n"/>
      <c r="H139" s="47" t="n"/>
      <c r="I139" s="47" t="n"/>
      <c r="J139" s="47" t="n"/>
      <c r="K139" s="47" t="n"/>
      <c r="L139" s="47" t="n"/>
      <c r="M139" s="50" t="n"/>
      <c r="N139" s="50" t="n"/>
      <c r="O139" s="50" t="n"/>
      <c r="P139" s="48">
        <f>IF($F139="","",IF($J139="Yes",$F139+1,IF($G139="No",$F139+2,IF(N($I139)&gt;2,$F139+3,IF(N($I139)&gt;0,$F139+5,$F139+7)))))</f>
        <v/>
      </c>
      <c r="Q139" s="48">
        <f>IF($P139="","",IF($J139="Yes",$P139+3,IF($G139="No",$P139+5,IF(N($I139)&gt;0,$P139+7,$P139+14))))</f>
        <v/>
      </c>
      <c r="R139" s="48">
        <f>IF($Q139="","",IF($J139="Yes",$Q139+7,IF($G139="No",$Q139+14,$Q139+30)))</f>
        <v/>
      </c>
      <c r="S139" s="47" t="n"/>
      <c r="T139" s="50" t="n"/>
      <c r="U139" s="47">
        <f>IF($F139="","",MIN(24,MAX(1,ROUNDUP(($F139-DayPlan!$C$2+1)/7,0))))</f>
        <v/>
      </c>
      <c r="V139" s="47">
        <f>IF($A139=""," ",4*($J139="Yes")+3*($G139="No")+2*(N($I139)&gt;0)+1*(AND(ISNUMBER($H139),$H139&gt;45))+3*(AND(ISNUMBER($P139),$P139&lt;=TODAY()))-6*($S139="Yes")+(750-ROW())/100000)</f>
        <v/>
      </c>
      <c r="W139" s="47">
        <f>IF(OR($A139="",NOT(ISNUMBER($P139))),"",INT($P139-TODAY()))</f>
        <v/>
      </c>
      <c r="X139" s="47" t="n"/>
    </row>
    <row r="140">
      <c r="A140" s="50" t="n"/>
      <c r="B140" s="47" t="n"/>
      <c r="C140" s="47" t="n"/>
      <c r="D140" s="50" t="n"/>
      <c r="E140" s="50" t="n"/>
      <c r="F140" s="48" t="n"/>
      <c r="G140" s="47" t="n"/>
      <c r="H140" s="47" t="n"/>
      <c r="I140" s="47" t="n"/>
      <c r="J140" s="47" t="n"/>
      <c r="K140" s="47" t="n"/>
      <c r="L140" s="47" t="n"/>
      <c r="M140" s="50" t="n"/>
      <c r="N140" s="50" t="n"/>
      <c r="O140" s="50" t="n"/>
      <c r="P140" s="48">
        <f>IF($F140="","",IF($J140="Yes",$F140+1,IF($G140="No",$F140+2,IF(N($I140)&gt;2,$F140+3,IF(N($I140)&gt;0,$F140+5,$F140+7)))))</f>
        <v/>
      </c>
      <c r="Q140" s="48">
        <f>IF($P140="","",IF($J140="Yes",$P140+3,IF($G140="No",$P140+5,IF(N($I140)&gt;0,$P140+7,$P140+14))))</f>
        <v/>
      </c>
      <c r="R140" s="48">
        <f>IF($Q140="","",IF($J140="Yes",$Q140+7,IF($G140="No",$Q140+14,$Q140+30)))</f>
        <v/>
      </c>
      <c r="S140" s="47" t="n"/>
      <c r="T140" s="50" t="n"/>
      <c r="U140" s="47">
        <f>IF($F140="","",MIN(24,MAX(1,ROUNDUP(($F140-DayPlan!$C$2+1)/7,0))))</f>
        <v/>
      </c>
      <c r="V140" s="47">
        <f>IF($A140=""," ",4*($J140="Yes")+3*($G140="No")+2*(N($I140)&gt;0)+1*(AND(ISNUMBER($H140),$H140&gt;45))+3*(AND(ISNUMBER($P140),$P140&lt;=TODAY()))-6*($S140="Yes")+(750-ROW())/100000)</f>
        <v/>
      </c>
      <c r="W140" s="47">
        <f>IF(OR($A140="",NOT(ISNUMBER($P140))),"",INT($P140-TODAY()))</f>
        <v/>
      </c>
      <c r="X140" s="47" t="n"/>
    </row>
    <row r="141">
      <c r="A141" s="50" t="n"/>
      <c r="B141" s="47" t="n"/>
      <c r="C141" s="47" t="n"/>
      <c r="D141" s="50" t="n"/>
      <c r="E141" s="50" t="n"/>
      <c r="F141" s="48" t="n"/>
      <c r="G141" s="47" t="n"/>
      <c r="H141" s="47" t="n"/>
      <c r="I141" s="47" t="n"/>
      <c r="J141" s="47" t="n"/>
      <c r="K141" s="47" t="n"/>
      <c r="L141" s="47" t="n"/>
      <c r="M141" s="50" t="n"/>
      <c r="N141" s="50" t="n"/>
      <c r="O141" s="50" t="n"/>
      <c r="P141" s="48">
        <f>IF($F141="","",IF($J141="Yes",$F141+1,IF($G141="No",$F141+2,IF(N($I141)&gt;2,$F141+3,IF(N($I141)&gt;0,$F141+5,$F141+7)))))</f>
        <v/>
      </c>
      <c r="Q141" s="48">
        <f>IF($P141="","",IF($J141="Yes",$P141+3,IF($G141="No",$P141+5,IF(N($I141)&gt;0,$P141+7,$P141+14))))</f>
        <v/>
      </c>
      <c r="R141" s="48">
        <f>IF($Q141="","",IF($J141="Yes",$Q141+7,IF($G141="No",$Q141+14,$Q141+30)))</f>
        <v/>
      </c>
      <c r="S141" s="47" t="n"/>
      <c r="T141" s="50" t="n"/>
      <c r="U141" s="47">
        <f>IF($F141="","",MIN(24,MAX(1,ROUNDUP(($F141-DayPlan!$C$2+1)/7,0))))</f>
        <v/>
      </c>
      <c r="V141" s="47">
        <f>IF($A141=""," ",4*($J141="Yes")+3*($G141="No")+2*(N($I141)&gt;0)+1*(AND(ISNUMBER($H141),$H141&gt;45))+3*(AND(ISNUMBER($P141),$P141&lt;=TODAY()))-6*($S141="Yes")+(750-ROW())/100000)</f>
        <v/>
      </c>
      <c r="W141" s="47">
        <f>IF(OR($A141="",NOT(ISNUMBER($P141))),"",INT($P141-TODAY()))</f>
        <v/>
      </c>
      <c r="X141" s="47" t="n"/>
    </row>
    <row r="142">
      <c r="A142" s="50" t="n"/>
      <c r="B142" s="47" t="n"/>
      <c r="C142" s="47" t="n"/>
      <c r="D142" s="50" t="n"/>
      <c r="E142" s="50" t="n"/>
      <c r="F142" s="48" t="n"/>
      <c r="G142" s="47" t="n"/>
      <c r="H142" s="47" t="n"/>
      <c r="I142" s="47" t="n"/>
      <c r="J142" s="47" t="n"/>
      <c r="K142" s="47" t="n"/>
      <c r="L142" s="47" t="n"/>
      <c r="M142" s="50" t="n"/>
      <c r="N142" s="50" t="n"/>
      <c r="O142" s="50" t="n"/>
      <c r="P142" s="48">
        <f>IF($F142="","",IF($J142="Yes",$F142+1,IF($G142="No",$F142+2,IF(N($I142)&gt;2,$F142+3,IF(N($I142)&gt;0,$F142+5,$F142+7)))))</f>
        <v/>
      </c>
      <c r="Q142" s="48">
        <f>IF($P142="","",IF($J142="Yes",$P142+3,IF($G142="No",$P142+5,IF(N($I142)&gt;0,$P142+7,$P142+14))))</f>
        <v/>
      </c>
      <c r="R142" s="48">
        <f>IF($Q142="","",IF($J142="Yes",$Q142+7,IF($G142="No",$Q142+14,$Q142+30)))</f>
        <v/>
      </c>
      <c r="S142" s="47" t="n"/>
      <c r="T142" s="50" t="n"/>
      <c r="U142" s="47">
        <f>IF($F142="","",MIN(24,MAX(1,ROUNDUP(($F142-DayPlan!$C$2+1)/7,0))))</f>
        <v/>
      </c>
      <c r="V142" s="47">
        <f>IF($A142=""," ",4*($J142="Yes")+3*($G142="No")+2*(N($I142)&gt;0)+1*(AND(ISNUMBER($H142),$H142&gt;45))+3*(AND(ISNUMBER($P142),$P142&lt;=TODAY()))-6*($S142="Yes")+(750-ROW())/100000)</f>
        <v/>
      </c>
      <c r="W142" s="47">
        <f>IF(OR($A142="",NOT(ISNUMBER($P142))),"",INT($P142-TODAY()))</f>
        <v/>
      </c>
      <c r="X142" s="47" t="n"/>
    </row>
    <row r="143">
      <c r="A143" s="50" t="n"/>
      <c r="B143" s="47" t="n"/>
      <c r="C143" s="47" t="n"/>
      <c r="D143" s="50" t="n"/>
      <c r="E143" s="50" t="n"/>
      <c r="F143" s="48" t="n"/>
      <c r="G143" s="47" t="n"/>
      <c r="H143" s="47" t="n"/>
      <c r="I143" s="47" t="n"/>
      <c r="J143" s="47" t="n"/>
      <c r="K143" s="47" t="n"/>
      <c r="L143" s="47" t="n"/>
      <c r="M143" s="50" t="n"/>
      <c r="N143" s="50" t="n"/>
      <c r="O143" s="50" t="n"/>
      <c r="P143" s="48">
        <f>IF($F143="","",IF($J143="Yes",$F143+1,IF($G143="No",$F143+2,IF(N($I143)&gt;2,$F143+3,IF(N($I143)&gt;0,$F143+5,$F143+7)))))</f>
        <v/>
      </c>
      <c r="Q143" s="48">
        <f>IF($P143="","",IF($J143="Yes",$P143+3,IF($G143="No",$P143+5,IF(N($I143)&gt;0,$P143+7,$P143+14))))</f>
        <v/>
      </c>
      <c r="R143" s="48">
        <f>IF($Q143="","",IF($J143="Yes",$Q143+7,IF($G143="No",$Q143+14,$Q143+30)))</f>
        <v/>
      </c>
      <c r="S143" s="47" t="n"/>
      <c r="T143" s="50" t="n"/>
      <c r="U143" s="47">
        <f>IF($F143="","",MIN(24,MAX(1,ROUNDUP(($F143-DayPlan!$C$2+1)/7,0))))</f>
        <v/>
      </c>
      <c r="V143" s="47">
        <f>IF($A143=""," ",4*($J143="Yes")+3*($G143="No")+2*(N($I143)&gt;0)+1*(AND(ISNUMBER($H143),$H143&gt;45))+3*(AND(ISNUMBER($P143),$P143&lt;=TODAY()))-6*($S143="Yes")+(750-ROW())/100000)</f>
        <v/>
      </c>
      <c r="W143" s="47">
        <f>IF(OR($A143="",NOT(ISNUMBER($P143))),"",INT($P143-TODAY()))</f>
        <v/>
      </c>
      <c r="X143" s="47" t="n"/>
    </row>
    <row r="144">
      <c r="A144" s="50" t="n"/>
      <c r="B144" s="47" t="n"/>
      <c r="C144" s="47" t="n"/>
      <c r="D144" s="50" t="n"/>
      <c r="E144" s="50" t="n"/>
      <c r="F144" s="48" t="n"/>
      <c r="G144" s="47" t="n"/>
      <c r="H144" s="47" t="n"/>
      <c r="I144" s="47" t="n"/>
      <c r="J144" s="47" t="n"/>
      <c r="K144" s="47" t="n"/>
      <c r="L144" s="47" t="n"/>
      <c r="M144" s="50" t="n"/>
      <c r="N144" s="50" t="n"/>
      <c r="O144" s="50" t="n"/>
      <c r="P144" s="48">
        <f>IF($F144="","",IF($J144="Yes",$F144+1,IF($G144="No",$F144+2,IF(N($I144)&gt;2,$F144+3,IF(N($I144)&gt;0,$F144+5,$F144+7)))))</f>
        <v/>
      </c>
      <c r="Q144" s="48">
        <f>IF($P144="","",IF($J144="Yes",$P144+3,IF($G144="No",$P144+5,IF(N($I144)&gt;0,$P144+7,$P144+14))))</f>
        <v/>
      </c>
      <c r="R144" s="48">
        <f>IF($Q144="","",IF($J144="Yes",$Q144+7,IF($G144="No",$Q144+14,$Q144+30)))</f>
        <v/>
      </c>
      <c r="S144" s="47" t="n"/>
      <c r="T144" s="50" t="n"/>
      <c r="U144" s="47">
        <f>IF($F144="","",MIN(24,MAX(1,ROUNDUP(($F144-DayPlan!$C$2+1)/7,0))))</f>
        <v/>
      </c>
      <c r="V144" s="47">
        <f>IF($A144=""," ",4*($J144="Yes")+3*($G144="No")+2*(N($I144)&gt;0)+1*(AND(ISNUMBER($H144),$H144&gt;45))+3*(AND(ISNUMBER($P144),$P144&lt;=TODAY()))-6*($S144="Yes")+(750-ROW())/100000)</f>
        <v/>
      </c>
      <c r="W144" s="47">
        <f>IF(OR($A144="",NOT(ISNUMBER($P144))),"",INT($P144-TODAY()))</f>
        <v/>
      </c>
      <c r="X144" s="47" t="n"/>
    </row>
    <row r="145">
      <c r="A145" s="50" t="n"/>
      <c r="B145" s="47" t="n"/>
      <c r="C145" s="47" t="n"/>
      <c r="D145" s="50" t="n"/>
      <c r="E145" s="50" t="n"/>
      <c r="F145" s="48" t="n"/>
      <c r="G145" s="47" t="n"/>
      <c r="H145" s="47" t="n"/>
      <c r="I145" s="47" t="n"/>
      <c r="J145" s="47" t="n"/>
      <c r="K145" s="47" t="n"/>
      <c r="L145" s="47" t="n"/>
      <c r="M145" s="50" t="n"/>
      <c r="N145" s="50" t="n"/>
      <c r="O145" s="50" t="n"/>
      <c r="P145" s="48">
        <f>IF($F145="","",IF($J145="Yes",$F145+1,IF($G145="No",$F145+2,IF(N($I145)&gt;2,$F145+3,IF(N($I145)&gt;0,$F145+5,$F145+7)))))</f>
        <v/>
      </c>
      <c r="Q145" s="48">
        <f>IF($P145="","",IF($J145="Yes",$P145+3,IF($G145="No",$P145+5,IF(N($I145)&gt;0,$P145+7,$P145+14))))</f>
        <v/>
      </c>
      <c r="R145" s="48">
        <f>IF($Q145="","",IF($J145="Yes",$Q145+7,IF($G145="No",$Q145+14,$Q145+30)))</f>
        <v/>
      </c>
      <c r="S145" s="47" t="n"/>
      <c r="T145" s="50" t="n"/>
      <c r="U145" s="47">
        <f>IF($F145="","",MIN(24,MAX(1,ROUNDUP(($F145-DayPlan!$C$2+1)/7,0))))</f>
        <v/>
      </c>
      <c r="V145" s="47">
        <f>IF($A145=""," ",4*($J145="Yes")+3*($G145="No")+2*(N($I145)&gt;0)+1*(AND(ISNUMBER($H145),$H145&gt;45))+3*(AND(ISNUMBER($P145),$P145&lt;=TODAY()))-6*($S145="Yes")+(750-ROW())/100000)</f>
        <v/>
      </c>
      <c r="W145" s="47">
        <f>IF(OR($A145="",NOT(ISNUMBER($P145))),"",INT($P145-TODAY()))</f>
        <v/>
      </c>
      <c r="X145" s="47" t="n"/>
    </row>
    <row r="146">
      <c r="A146" s="50" t="n"/>
      <c r="B146" s="47" t="n"/>
      <c r="C146" s="47" t="n"/>
      <c r="D146" s="50" t="n"/>
      <c r="E146" s="50" t="n"/>
      <c r="F146" s="48" t="n"/>
      <c r="G146" s="47" t="n"/>
      <c r="H146" s="47" t="n"/>
      <c r="I146" s="47" t="n"/>
      <c r="J146" s="47" t="n"/>
      <c r="K146" s="47" t="n"/>
      <c r="L146" s="47" t="n"/>
      <c r="M146" s="50" t="n"/>
      <c r="N146" s="50" t="n"/>
      <c r="O146" s="50" t="n"/>
      <c r="P146" s="48">
        <f>IF($F146="","",IF($J146="Yes",$F146+1,IF($G146="No",$F146+2,IF(N($I146)&gt;2,$F146+3,IF(N($I146)&gt;0,$F146+5,$F146+7)))))</f>
        <v/>
      </c>
      <c r="Q146" s="48">
        <f>IF($P146="","",IF($J146="Yes",$P146+3,IF($G146="No",$P146+5,IF(N($I146)&gt;0,$P146+7,$P146+14))))</f>
        <v/>
      </c>
      <c r="R146" s="48">
        <f>IF($Q146="","",IF($J146="Yes",$Q146+7,IF($G146="No",$Q146+14,$Q146+30)))</f>
        <v/>
      </c>
      <c r="S146" s="47" t="n"/>
      <c r="T146" s="50" t="n"/>
      <c r="U146" s="47">
        <f>IF($F146="","",MIN(24,MAX(1,ROUNDUP(($F146-DayPlan!$C$2+1)/7,0))))</f>
        <v/>
      </c>
      <c r="V146" s="47">
        <f>IF($A146=""," ",4*($J146="Yes")+3*($G146="No")+2*(N($I146)&gt;0)+1*(AND(ISNUMBER($H146),$H146&gt;45))+3*(AND(ISNUMBER($P146),$P146&lt;=TODAY()))-6*($S146="Yes")+(750-ROW())/100000)</f>
        <v/>
      </c>
      <c r="W146" s="47">
        <f>IF(OR($A146="",NOT(ISNUMBER($P146))),"",INT($P146-TODAY()))</f>
        <v/>
      </c>
      <c r="X146" s="47" t="n"/>
    </row>
    <row r="147">
      <c r="A147" s="50" t="n"/>
      <c r="B147" s="47" t="n"/>
      <c r="C147" s="47" t="n"/>
      <c r="D147" s="50" t="n"/>
      <c r="E147" s="50" t="n"/>
      <c r="F147" s="48" t="n"/>
      <c r="G147" s="47" t="n"/>
      <c r="H147" s="47" t="n"/>
      <c r="I147" s="47" t="n"/>
      <c r="J147" s="47" t="n"/>
      <c r="K147" s="47" t="n"/>
      <c r="L147" s="47" t="n"/>
      <c r="M147" s="50" t="n"/>
      <c r="N147" s="50" t="n"/>
      <c r="O147" s="50" t="n"/>
      <c r="P147" s="48">
        <f>IF($F147="","",IF($J147="Yes",$F147+1,IF($G147="No",$F147+2,IF(N($I147)&gt;2,$F147+3,IF(N($I147)&gt;0,$F147+5,$F147+7)))))</f>
        <v/>
      </c>
      <c r="Q147" s="48">
        <f>IF($P147="","",IF($J147="Yes",$P147+3,IF($G147="No",$P147+5,IF(N($I147)&gt;0,$P147+7,$P147+14))))</f>
        <v/>
      </c>
      <c r="R147" s="48">
        <f>IF($Q147="","",IF($J147="Yes",$Q147+7,IF($G147="No",$Q147+14,$Q147+30)))</f>
        <v/>
      </c>
      <c r="S147" s="47" t="n"/>
      <c r="T147" s="50" t="n"/>
      <c r="U147" s="47">
        <f>IF($F147="","",MIN(24,MAX(1,ROUNDUP(($F147-DayPlan!$C$2+1)/7,0))))</f>
        <v/>
      </c>
      <c r="V147" s="47">
        <f>IF($A147=""," ",4*($J147="Yes")+3*($G147="No")+2*(N($I147)&gt;0)+1*(AND(ISNUMBER($H147),$H147&gt;45))+3*(AND(ISNUMBER($P147),$P147&lt;=TODAY()))-6*($S147="Yes")+(750-ROW())/100000)</f>
        <v/>
      </c>
      <c r="W147" s="47">
        <f>IF(OR($A147="",NOT(ISNUMBER($P147))),"",INT($P147-TODAY()))</f>
        <v/>
      </c>
      <c r="X147" s="47" t="n"/>
    </row>
    <row r="148">
      <c r="A148" s="50" t="n"/>
      <c r="B148" s="47" t="n"/>
      <c r="C148" s="47" t="n"/>
      <c r="D148" s="50" t="n"/>
      <c r="E148" s="50" t="n"/>
      <c r="F148" s="48" t="n"/>
      <c r="G148" s="47" t="n"/>
      <c r="H148" s="47" t="n"/>
      <c r="I148" s="47" t="n"/>
      <c r="J148" s="47" t="n"/>
      <c r="K148" s="47" t="n"/>
      <c r="L148" s="47" t="n"/>
      <c r="M148" s="50" t="n"/>
      <c r="N148" s="50" t="n"/>
      <c r="O148" s="50" t="n"/>
      <c r="P148" s="48">
        <f>IF($F148="","",IF($J148="Yes",$F148+1,IF($G148="No",$F148+2,IF(N($I148)&gt;2,$F148+3,IF(N($I148)&gt;0,$F148+5,$F148+7)))))</f>
        <v/>
      </c>
      <c r="Q148" s="48">
        <f>IF($P148="","",IF($J148="Yes",$P148+3,IF($G148="No",$P148+5,IF(N($I148)&gt;0,$P148+7,$P148+14))))</f>
        <v/>
      </c>
      <c r="R148" s="48">
        <f>IF($Q148="","",IF($J148="Yes",$Q148+7,IF($G148="No",$Q148+14,$Q148+30)))</f>
        <v/>
      </c>
      <c r="S148" s="47" t="n"/>
      <c r="T148" s="50" t="n"/>
      <c r="U148" s="47">
        <f>IF($F148="","",MIN(24,MAX(1,ROUNDUP(($F148-DayPlan!$C$2+1)/7,0))))</f>
        <v/>
      </c>
      <c r="V148" s="47">
        <f>IF($A148=""," ",4*($J148="Yes")+3*($G148="No")+2*(N($I148)&gt;0)+1*(AND(ISNUMBER($H148),$H148&gt;45))+3*(AND(ISNUMBER($P148),$P148&lt;=TODAY()))-6*($S148="Yes")+(750-ROW())/100000)</f>
        <v/>
      </c>
      <c r="W148" s="47">
        <f>IF(OR($A148="",NOT(ISNUMBER($P148))),"",INT($P148-TODAY()))</f>
        <v/>
      </c>
      <c r="X148" s="47" t="n"/>
    </row>
    <row r="149">
      <c r="A149" s="50" t="n"/>
      <c r="B149" s="47" t="n"/>
      <c r="C149" s="47" t="n"/>
      <c r="D149" s="50" t="n"/>
      <c r="E149" s="50" t="n"/>
      <c r="F149" s="48" t="n"/>
      <c r="G149" s="47" t="n"/>
      <c r="H149" s="47" t="n"/>
      <c r="I149" s="47" t="n"/>
      <c r="J149" s="47" t="n"/>
      <c r="K149" s="47" t="n"/>
      <c r="L149" s="47" t="n"/>
      <c r="M149" s="50" t="n"/>
      <c r="N149" s="50" t="n"/>
      <c r="O149" s="50" t="n"/>
      <c r="P149" s="48">
        <f>IF($F149="","",IF($J149="Yes",$F149+1,IF($G149="No",$F149+2,IF(N($I149)&gt;2,$F149+3,IF(N($I149)&gt;0,$F149+5,$F149+7)))))</f>
        <v/>
      </c>
      <c r="Q149" s="48">
        <f>IF($P149="","",IF($J149="Yes",$P149+3,IF($G149="No",$P149+5,IF(N($I149)&gt;0,$P149+7,$P149+14))))</f>
        <v/>
      </c>
      <c r="R149" s="48">
        <f>IF($Q149="","",IF($J149="Yes",$Q149+7,IF($G149="No",$Q149+14,$Q149+30)))</f>
        <v/>
      </c>
      <c r="S149" s="47" t="n"/>
      <c r="T149" s="50" t="n"/>
      <c r="U149" s="47">
        <f>IF($F149="","",MIN(24,MAX(1,ROUNDUP(($F149-DayPlan!$C$2+1)/7,0))))</f>
        <v/>
      </c>
      <c r="V149" s="47">
        <f>IF($A149=""," ",4*($J149="Yes")+3*($G149="No")+2*(N($I149)&gt;0)+1*(AND(ISNUMBER($H149),$H149&gt;45))+3*(AND(ISNUMBER($P149),$P149&lt;=TODAY()))-6*($S149="Yes")+(750-ROW())/100000)</f>
        <v/>
      </c>
      <c r="W149" s="47">
        <f>IF(OR($A149="",NOT(ISNUMBER($P149))),"",INT($P149-TODAY()))</f>
        <v/>
      </c>
      <c r="X149" s="47" t="n"/>
    </row>
    <row r="150">
      <c r="A150" s="50" t="n"/>
      <c r="B150" s="47" t="n"/>
      <c r="C150" s="47" t="n"/>
      <c r="D150" s="50" t="n"/>
      <c r="E150" s="50" t="n"/>
      <c r="F150" s="48" t="n"/>
      <c r="G150" s="47" t="n"/>
      <c r="H150" s="47" t="n"/>
      <c r="I150" s="47" t="n"/>
      <c r="J150" s="47" t="n"/>
      <c r="K150" s="47" t="n"/>
      <c r="L150" s="47" t="n"/>
      <c r="M150" s="50" t="n"/>
      <c r="N150" s="50" t="n"/>
      <c r="O150" s="50" t="n"/>
      <c r="P150" s="48">
        <f>IF($F150="","",IF($J150="Yes",$F150+1,IF($G150="No",$F150+2,IF(N($I150)&gt;2,$F150+3,IF(N($I150)&gt;0,$F150+5,$F150+7)))))</f>
        <v/>
      </c>
      <c r="Q150" s="48">
        <f>IF($P150="","",IF($J150="Yes",$P150+3,IF($G150="No",$P150+5,IF(N($I150)&gt;0,$P150+7,$P150+14))))</f>
        <v/>
      </c>
      <c r="R150" s="48">
        <f>IF($Q150="","",IF($J150="Yes",$Q150+7,IF($G150="No",$Q150+14,$Q150+30)))</f>
        <v/>
      </c>
      <c r="S150" s="47" t="n"/>
      <c r="T150" s="50" t="n"/>
      <c r="U150" s="47">
        <f>IF($F150="","",MIN(24,MAX(1,ROUNDUP(($F150-DayPlan!$C$2+1)/7,0))))</f>
        <v/>
      </c>
      <c r="V150" s="47">
        <f>IF($A150=""," ",4*($J150="Yes")+3*($G150="No")+2*(N($I150)&gt;0)+1*(AND(ISNUMBER($H150),$H150&gt;45))+3*(AND(ISNUMBER($P150),$P150&lt;=TODAY()))-6*($S150="Yes")+(750-ROW())/100000)</f>
        <v/>
      </c>
      <c r="W150" s="47">
        <f>IF(OR($A150="",NOT(ISNUMBER($P150))),"",INT($P150-TODAY()))</f>
        <v/>
      </c>
      <c r="X150" s="47" t="n"/>
    </row>
    <row r="151">
      <c r="A151" s="50" t="n"/>
      <c r="B151" s="47" t="n"/>
      <c r="C151" s="47" t="n"/>
      <c r="D151" s="50" t="n"/>
      <c r="E151" s="50" t="n"/>
      <c r="F151" s="48" t="n"/>
      <c r="G151" s="47" t="n"/>
      <c r="H151" s="47" t="n"/>
      <c r="I151" s="47" t="n"/>
      <c r="J151" s="47" t="n"/>
      <c r="K151" s="47" t="n"/>
      <c r="L151" s="47" t="n"/>
      <c r="M151" s="50" t="n"/>
      <c r="N151" s="50" t="n"/>
      <c r="O151" s="50" t="n"/>
      <c r="P151" s="48">
        <f>IF($F151="","",IF($J151="Yes",$F151+1,IF($G151="No",$F151+2,IF(N($I151)&gt;2,$F151+3,IF(N($I151)&gt;0,$F151+5,$F151+7)))))</f>
        <v/>
      </c>
      <c r="Q151" s="48">
        <f>IF($P151="","",IF($J151="Yes",$P151+3,IF($G151="No",$P151+5,IF(N($I151)&gt;0,$P151+7,$P151+14))))</f>
        <v/>
      </c>
      <c r="R151" s="48">
        <f>IF($Q151="","",IF($J151="Yes",$Q151+7,IF($G151="No",$Q151+14,$Q151+30)))</f>
        <v/>
      </c>
      <c r="S151" s="47" t="n"/>
      <c r="T151" s="50" t="n"/>
      <c r="U151" s="47">
        <f>IF($F151="","",MIN(24,MAX(1,ROUNDUP(($F151-DayPlan!$C$2+1)/7,0))))</f>
        <v/>
      </c>
      <c r="V151" s="47">
        <f>IF($A151=""," ",4*($J151="Yes")+3*($G151="No")+2*(N($I151)&gt;0)+1*(AND(ISNUMBER($H151),$H151&gt;45))+3*(AND(ISNUMBER($P151),$P151&lt;=TODAY()))-6*($S151="Yes")+(750-ROW())/100000)</f>
        <v/>
      </c>
      <c r="W151" s="47">
        <f>IF(OR($A151="",NOT(ISNUMBER($P151))),"",INT($P151-TODAY()))</f>
        <v/>
      </c>
      <c r="X151" s="47" t="n"/>
    </row>
    <row r="152">
      <c r="A152" s="50" t="n"/>
      <c r="B152" s="47" t="n"/>
      <c r="C152" s="47" t="n"/>
      <c r="D152" s="50" t="n"/>
      <c r="E152" s="50" t="n"/>
      <c r="F152" s="48" t="n"/>
      <c r="G152" s="47" t="n"/>
      <c r="H152" s="47" t="n"/>
      <c r="I152" s="47" t="n"/>
      <c r="J152" s="47" t="n"/>
      <c r="K152" s="47" t="n"/>
      <c r="L152" s="47" t="n"/>
      <c r="M152" s="50" t="n"/>
      <c r="N152" s="50" t="n"/>
      <c r="O152" s="50" t="n"/>
      <c r="P152" s="48">
        <f>IF($F152="","",IF($J152="Yes",$F152+1,IF($G152="No",$F152+2,IF(N($I152)&gt;2,$F152+3,IF(N($I152)&gt;0,$F152+5,$F152+7)))))</f>
        <v/>
      </c>
      <c r="Q152" s="48">
        <f>IF($P152="","",IF($J152="Yes",$P152+3,IF($G152="No",$P152+5,IF(N($I152)&gt;0,$P152+7,$P152+14))))</f>
        <v/>
      </c>
      <c r="R152" s="48">
        <f>IF($Q152="","",IF($J152="Yes",$Q152+7,IF($G152="No",$Q152+14,$Q152+30)))</f>
        <v/>
      </c>
      <c r="S152" s="47" t="n"/>
      <c r="T152" s="50" t="n"/>
      <c r="U152" s="47">
        <f>IF($F152="","",MIN(24,MAX(1,ROUNDUP(($F152-DayPlan!$C$2+1)/7,0))))</f>
        <v/>
      </c>
      <c r="V152" s="47">
        <f>IF($A152=""," ",4*($J152="Yes")+3*($G152="No")+2*(N($I152)&gt;0)+1*(AND(ISNUMBER($H152),$H152&gt;45))+3*(AND(ISNUMBER($P152),$P152&lt;=TODAY()))-6*($S152="Yes")+(750-ROW())/100000)</f>
        <v/>
      </c>
      <c r="W152" s="47">
        <f>IF(OR($A152="",NOT(ISNUMBER($P152))),"",INT($P152-TODAY()))</f>
        <v/>
      </c>
      <c r="X152" s="47" t="n"/>
    </row>
    <row r="153">
      <c r="A153" s="50" t="n"/>
      <c r="B153" s="47" t="n"/>
      <c r="C153" s="47" t="n"/>
      <c r="D153" s="50" t="n"/>
      <c r="E153" s="50" t="n"/>
      <c r="F153" s="48" t="n"/>
      <c r="G153" s="47" t="n"/>
      <c r="H153" s="47" t="n"/>
      <c r="I153" s="47" t="n"/>
      <c r="J153" s="47" t="n"/>
      <c r="K153" s="47" t="n"/>
      <c r="L153" s="47" t="n"/>
      <c r="M153" s="50" t="n"/>
      <c r="N153" s="50" t="n"/>
      <c r="O153" s="50" t="n"/>
      <c r="P153" s="48">
        <f>IF($F153="","",IF($J153="Yes",$F153+1,IF($G153="No",$F153+2,IF(N($I153)&gt;2,$F153+3,IF(N($I153)&gt;0,$F153+5,$F153+7)))))</f>
        <v/>
      </c>
      <c r="Q153" s="48">
        <f>IF($P153="","",IF($J153="Yes",$P153+3,IF($G153="No",$P153+5,IF(N($I153)&gt;0,$P153+7,$P153+14))))</f>
        <v/>
      </c>
      <c r="R153" s="48">
        <f>IF($Q153="","",IF($J153="Yes",$Q153+7,IF($G153="No",$Q153+14,$Q153+30)))</f>
        <v/>
      </c>
      <c r="S153" s="47" t="n"/>
      <c r="T153" s="50" t="n"/>
      <c r="U153" s="47">
        <f>IF($F153="","",MIN(24,MAX(1,ROUNDUP(($F153-DayPlan!$C$2+1)/7,0))))</f>
        <v/>
      </c>
      <c r="V153" s="47">
        <f>IF($A153=""," ",4*($J153="Yes")+3*($G153="No")+2*(N($I153)&gt;0)+1*(AND(ISNUMBER($H153),$H153&gt;45))+3*(AND(ISNUMBER($P153),$P153&lt;=TODAY()))-6*($S153="Yes")+(750-ROW())/100000)</f>
        <v/>
      </c>
      <c r="W153" s="47">
        <f>IF(OR($A153="",NOT(ISNUMBER($P153))),"",INT($P153-TODAY()))</f>
        <v/>
      </c>
      <c r="X153" s="47" t="n"/>
    </row>
    <row r="154">
      <c r="A154" s="50" t="n"/>
      <c r="B154" s="47" t="n"/>
      <c r="C154" s="47" t="n"/>
      <c r="D154" s="50" t="n"/>
      <c r="E154" s="50" t="n"/>
      <c r="F154" s="48" t="n"/>
      <c r="G154" s="47" t="n"/>
      <c r="H154" s="47" t="n"/>
      <c r="I154" s="47" t="n"/>
      <c r="J154" s="47" t="n"/>
      <c r="K154" s="47" t="n"/>
      <c r="L154" s="47" t="n"/>
      <c r="M154" s="50" t="n"/>
      <c r="N154" s="50" t="n"/>
      <c r="O154" s="50" t="n"/>
      <c r="P154" s="48">
        <f>IF($F154="","",IF($J154="Yes",$F154+1,IF($G154="No",$F154+2,IF(N($I154)&gt;2,$F154+3,IF(N($I154)&gt;0,$F154+5,$F154+7)))))</f>
        <v/>
      </c>
      <c r="Q154" s="48">
        <f>IF($P154="","",IF($J154="Yes",$P154+3,IF($G154="No",$P154+5,IF(N($I154)&gt;0,$P154+7,$P154+14))))</f>
        <v/>
      </c>
      <c r="R154" s="48">
        <f>IF($Q154="","",IF($J154="Yes",$Q154+7,IF($G154="No",$Q154+14,$Q154+30)))</f>
        <v/>
      </c>
      <c r="S154" s="47" t="n"/>
      <c r="T154" s="50" t="n"/>
      <c r="U154" s="47">
        <f>IF($F154="","",MIN(24,MAX(1,ROUNDUP(($F154-DayPlan!$C$2+1)/7,0))))</f>
        <v/>
      </c>
      <c r="V154" s="47">
        <f>IF($A154=""," ",4*($J154="Yes")+3*($G154="No")+2*(N($I154)&gt;0)+1*(AND(ISNUMBER($H154),$H154&gt;45))+3*(AND(ISNUMBER($P154),$P154&lt;=TODAY()))-6*($S154="Yes")+(750-ROW())/100000)</f>
        <v/>
      </c>
      <c r="W154" s="47">
        <f>IF(OR($A154="",NOT(ISNUMBER($P154))),"",INT($P154-TODAY()))</f>
        <v/>
      </c>
      <c r="X154" s="47" t="n"/>
    </row>
    <row r="155">
      <c r="A155" s="50" t="n"/>
      <c r="B155" s="47" t="n"/>
      <c r="C155" s="47" t="n"/>
      <c r="D155" s="50" t="n"/>
      <c r="E155" s="50" t="n"/>
      <c r="F155" s="48" t="n"/>
      <c r="G155" s="47" t="n"/>
      <c r="H155" s="47" t="n"/>
      <c r="I155" s="47" t="n"/>
      <c r="J155" s="47" t="n"/>
      <c r="K155" s="47" t="n"/>
      <c r="L155" s="47" t="n"/>
      <c r="M155" s="50" t="n"/>
      <c r="N155" s="50" t="n"/>
      <c r="O155" s="50" t="n"/>
      <c r="P155" s="48">
        <f>IF($F155="","",IF($J155="Yes",$F155+1,IF($G155="No",$F155+2,IF(N($I155)&gt;2,$F155+3,IF(N($I155)&gt;0,$F155+5,$F155+7)))))</f>
        <v/>
      </c>
      <c r="Q155" s="48">
        <f>IF($P155="","",IF($J155="Yes",$P155+3,IF($G155="No",$P155+5,IF(N($I155)&gt;0,$P155+7,$P155+14))))</f>
        <v/>
      </c>
      <c r="R155" s="48">
        <f>IF($Q155="","",IF($J155="Yes",$Q155+7,IF($G155="No",$Q155+14,$Q155+30)))</f>
        <v/>
      </c>
      <c r="S155" s="47" t="n"/>
      <c r="T155" s="50" t="n"/>
      <c r="U155" s="47">
        <f>IF($F155="","",MIN(24,MAX(1,ROUNDUP(($F155-DayPlan!$C$2+1)/7,0))))</f>
        <v/>
      </c>
      <c r="V155" s="47">
        <f>IF($A155=""," ",4*($J155="Yes")+3*($G155="No")+2*(N($I155)&gt;0)+1*(AND(ISNUMBER($H155),$H155&gt;45))+3*(AND(ISNUMBER($P155),$P155&lt;=TODAY()))-6*($S155="Yes")+(750-ROW())/100000)</f>
        <v/>
      </c>
      <c r="W155" s="47">
        <f>IF(OR($A155="",NOT(ISNUMBER($P155))),"",INT($P155-TODAY()))</f>
        <v/>
      </c>
      <c r="X155" s="47" t="n"/>
    </row>
    <row r="156">
      <c r="A156" s="50" t="n"/>
      <c r="B156" s="47" t="n"/>
      <c r="C156" s="47" t="n"/>
      <c r="D156" s="50" t="n"/>
      <c r="E156" s="50" t="n"/>
      <c r="F156" s="48" t="n"/>
      <c r="G156" s="47" t="n"/>
      <c r="H156" s="47" t="n"/>
      <c r="I156" s="47" t="n"/>
      <c r="J156" s="47" t="n"/>
      <c r="K156" s="47" t="n"/>
      <c r="L156" s="47" t="n"/>
      <c r="M156" s="50" t="n"/>
      <c r="N156" s="50" t="n"/>
      <c r="O156" s="50" t="n"/>
      <c r="P156" s="48">
        <f>IF($F156="","",IF($J156="Yes",$F156+1,IF($G156="No",$F156+2,IF(N($I156)&gt;2,$F156+3,IF(N($I156)&gt;0,$F156+5,$F156+7)))))</f>
        <v/>
      </c>
      <c r="Q156" s="48">
        <f>IF($P156="","",IF($J156="Yes",$P156+3,IF($G156="No",$P156+5,IF(N($I156)&gt;0,$P156+7,$P156+14))))</f>
        <v/>
      </c>
      <c r="R156" s="48">
        <f>IF($Q156="","",IF($J156="Yes",$Q156+7,IF($G156="No",$Q156+14,$Q156+30)))</f>
        <v/>
      </c>
      <c r="S156" s="47" t="n"/>
      <c r="T156" s="50" t="n"/>
      <c r="U156" s="47">
        <f>IF($F156="","",MIN(24,MAX(1,ROUNDUP(($F156-DayPlan!$C$2+1)/7,0))))</f>
        <v/>
      </c>
      <c r="V156" s="47">
        <f>IF($A156=""," ",4*($J156="Yes")+3*($G156="No")+2*(N($I156)&gt;0)+1*(AND(ISNUMBER($H156),$H156&gt;45))+3*(AND(ISNUMBER($P156),$P156&lt;=TODAY()))-6*($S156="Yes")+(750-ROW())/100000)</f>
        <v/>
      </c>
      <c r="W156" s="47">
        <f>IF(OR($A156="",NOT(ISNUMBER($P156))),"",INT($P156-TODAY()))</f>
        <v/>
      </c>
      <c r="X156" s="47" t="n"/>
    </row>
    <row r="157">
      <c r="A157" s="50" t="n"/>
      <c r="B157" s="47" t="n"/>
      <c r="C157" s="47" t="n"/>
      <c r="D157" s="50" t="n"/>
      <c r="E157" s="50" t="n"/>
      <c r="F157" s="48" t="n"/>
      <c r="G157" s="47" t="n"/>
      <c r="H157" s="47" t="n"/>
      <c r="I157" s="47" t="n"/>
      <c r="J157" s="47" t="n"/>
      <c r="K157" s="47" t="n"/>
      <c r="L157" s="47" t="n"/>
      <c r="M157" s="50" t="n"/>
      <c r="N157" s="50" t="n"/>
      <c r="O157" s="50" t="n"/>
      <c r="P157" s="48">
        <f>IF($F157="","",IF($J157="Yes",$F157+1,IF($G157="No",$F157+2,IF(N($I157)&gt;2,$F157+3,IF(N($I157)&gt;0,$F157+5,$F157+7)))))</f>
        <v/>
      </c>
      <c r="Q157" s="48">
        <f>IF($P157="","",IF($J157="Yes",$P157+3,IF($G157="No",$P157+5,IF(N($I157)&gt;0,$P157+7,$P157+14))))</f>
        <v/>
      </c>
      <c r="R157" s="48">
        <f>IF($Q157="","",IF($J157="Yes",$Q157+7,IF($G157="No",$Q157+14,$Q157+30)))</f>
        <v/>
      </c>
      <c r="S157" s="47" t="n"/>
      <c r="T157" s="50" t="n"/>
      <c r="U157" s="47">
        <f>IF($F157="","",MIN(24,MAX(1,ROUNDUP(($F157-DayPlan!$C$2+1)/7,0))))</f>
        <v/>
      </c>
      <c r="V157" s="47">
        <f>IF($A157=""," ",4*($J157="Yes")+3*($G157="No")+2*(N($I157)&gt;0)+1*(AND(ISNUMBER($H157),$H157&gt;45))+3*(AND(ISNUMBER($P157),$P157&lt;=TODAY()))-6*($S157="Yes")+(750-ROW())/100000)</f>
        <v/>
      </c>
      <c r="W157" s="47">
        <f>IF(OR($A157="",NOT(ISNUMBER($P157))),"",INT($P157-TODAY()))</f>
        <v/>
      </c>
      <c r="X157" s="47" t="n"/>
    </row>
    <row r="158">
      <c r="A158" s="50" t="n"/>
      <c r="B158" s="47" t="n"/>
      <c r="C158" s="47" t="n"/>
      <c r="D158" s="50" t="n"/>
      <c r="E158" s="50" t="n"/>
      <c r="F158" s="48" t="n"/>
      <c r="G158" s="47" t="n"/>
      <c r="H158" s="47" t="n"/>
      <c r="I158" s="47" t="n"/>
      <c r="J158" s="47" t="n"/>
      <c r="K158" s="47" t="n"/>
      <c r="L158" s="47" t="n"/>
      <c r="M158" s="50" t="n"/>
      <c r="N158" s="50" t="n"/>
      <c r="O158" s="50" t="n"/>
      <c r="P158" s="48">
        <f>IF($F158="","",IF($J158="Yes",$F158+1,IF($G158="No",$F158+2,IF(N($I158)&gt;2,$F158+3,IF(N($I158)&gt;0,$F158+5,$F158+7)))))</f>
        <v/>
      </c>
      <c r="Q158" s="48">
        <f>IF($P158="","",IF($J158="Yes",$P158+3,IF($G158="No",$P158+5,IF(N($I158)&gt;0,$P158+7,$P158+14))))</f>
        <v/>
      </c>
      <c r="R158" s="48">
        <f>IF($Q158="","",IF($J158="Yes",$Q158+7,IF($G158="No",$Q158+14,$Q158+30)))</f>
        <v/>
      </c>
      <c r="S158" s="47" t="n"/>
      <c r="T158" s="50" t="n"/>
      <c r="U158" s="47">
        <f>IF($F158="","",MIN(24,MAX(1,ROUNDUP(($F158-DayPlan!$C$2+1)/7,0))))</f>
        <v/>
      </c>
      <c r="V158" s="47">
        <f>IF($A158=""," ",4*($J158="Yes")+3*($G158="No")+2*(N($I158)&gt;0)+1*(AND(ISNUMBER($H158),$H158&gt;45))+3*(AND(ISNUMBER($P158),$P158&lt;=TODAY()))-6*($S158="Yes")+(750-ROW())/100000)</f>
        <v/>
      </c>
      <c r="W158" s="47">
        <f>IF(OR($A158="",NOT(ISNUMBER($P158))),"",INT($P158-TODAY()))</f>
        <v/>
      </c>
      <c r="X158" s="47" t="n"/>
    </row>
    <row r="159">
      <c r="A159" s="50" t="n"/>
      <c r="B159" s="47" t="n"/>
      <c r="C159" s="47" t="n"/>
      <c r="D159" s="50" t="n"/>
      <c r="E159" s="50" t="n"/>
      <c r="F159" s="48" t="n"/>
      <c r="G159" s="47" t="n"/>
      <c r="H159" s="47" t="n"/>
      <c r="I159" s="47" t="n"/>
      <c r="J159" s="47" t="n"/>
      <c r="K159" s="47" t="n"/>
      <c r="L159" s="47" t="n"/>
      <c r="M159" s="50" t="n"/>
      <c r="N159" s="50" t="n"/>
      <c r="O159" s="50" t="n"/>
      <c r="P159" s="48">
        <f>IF($F159="","",IF($J159="Yes",$F159+1,IF($G159="No",$F159+2,IF(N($I159)&gt;2,$F159+3,IF(N($I159)&gt;0,$F159+5,$F159+7)))))</f>
        <v/>
      </c>
      <c r="Q159" s="48">
        <f>IF($P159="","",IF($J159="Yes",$P159+3,IF($G159="No",$P159+5,IF(N($I159)&gt;0,$P159+7,$P159+14))))</f>
        <v/>
      </c>
      <c r="R159" s="48">
        <f>IF($Q159="","",IF($J159="Yes",$Q159+7,IF($G159="No",$Q159+14,$Q159+30)))</f>
        <v/>
      </c>
      <c r="S159" s="47" t="n"/>
      <c r="T159" s="50" t="n"/>
      <c r="U159" s="47">
        <f>IF($F159="","",MIN(24,MAX(1,ROUNDUP(($F159-DayPlan!$C$2+1)/7,0))))</f>
        <v/>
      </c>
      <c r="V159" s="47">
        <f>IF($A159=""," ",4*($J159="Yes")+3*($G159="No")+2*(N($I159)&gt;0)+1*(AND(ISNUMBER($H159),$H159&gt;45))+3*(AND(ISNUMBER($P159),$P159&lt;=TODAY()))-6*($S159="Yes")+(750-ROW())/100000)</f>
        <v/>
      </c>
      <c r="W159" s="47">
        <f>IF(OR($A159="",NOT(ISNUMBER($P159))),"",INT($P159-TODAY()))</f>
        <v/>
      </c>
      <c r="X159" s="47" t="n"/>
    </row>
    <row r="160">
      <c r="A160" s="50" t="n"/>
      <c r="B160" s="47" t="n"/>
      <c r="C160" s="47" t="n"/>
      <c r="D160" s="50" t="n"/>
      <c r="E160" s="50" t="n"/>
      <c r="F160" s="48" t="n"/>
      <c r="G160" s="47" t="n"/>
      <c r="H160" s="47" t="n"/>
      <c r="I160" s="47" t="n"/>
      <c r="J160" s="47" t="n"/>
      <c r="K160" s="47" t="n"/>
      <c r="L160" s="47" t="n"/>
      <c r="M160" s="50" t="n"/>
      <c r="N160" s="50" t="n"/>
      <c r="O160" s="50" t="n"/>
      <c r="P160" s="48">
        <f>IF($F160="","",IF($J160="Yes",$F160+1,IF($G160="No",$F160+2,IF(N($I160)&gt;2,$F160+3,IF(N($I160)&gt;0,$F160+5,$F160+7)))))</f>
        <v/>
      </c>
      <c r="Q160" s="48">
        <f>IF($P160="","",IF($J160="Yes",$P160+3,IF($G160="No",$P160+5,IF(N($I160)&gt;0,$P160+7,$P160+14))))</f>
        <v/>
      </c>
      <c r="R160" s="48">
        <f>IF($Q160="","",IF($J160="Yes",$Q160+7,IF($G160="No",$Q160+14,$Q160+30)))</f>
        <v/>
      </c>
      <c r="S160" s="47" t="n"/>
      <c r="T160" s="50" t="n"/>
      <c r="U160" s="47">
        <f>IF($F160="","",MIN(24,MAX(1,ROUNDUP(($F160-DayPlan!$C$2+1)/7,0))))</f>
        <v/>
      </c>
      <c r="V160" s="47">
        <f>IF($A160=""," ",4*($J160="Yes")+3*($G160="No")+2*(N($I160)&gt;0)+1*(AND(ISNUMBER($H160),$H160&gt;45))+3*(AND(ISNUMBER($P160),$P160&lt;=TODAY()))-6*($S160="Yes")+(750-ROW())/100000)</f>
        <v/>
      </c>
      <c r="W160" s="47">
        <f>IF(OR($A160="",NOT(ISNUMBER($P160))),"",INT($P160-TODAY()))</f>
        <v/>
      </c>
      <c r="X160" s="47" t="n"/>
    </row>
    <row r="161">
      <c r="A161" s="50" t="n"/>
      <c r="B161" s="47" t="n"/>
      <c r="C161" s="47" t="n"/>
      <c r="D161" s="50" t="n"/>
      <c r="E161" s="50" t="n"/>
      <c r="F161" s="48" t="n"/>
      <c r="G161" s="47" t="n"/>
      <c r="H161" s="47" t="n"/>
      <c r="I161" s="47" t="n"/>
      <c r="J161" s="47" t="n"/>
      <c r="K161" s="47" t="n"/>
      <c r="L161" s="47" t="n"/>
      <c r="M161" s="50" t="n"/>
      <c r="N161" s="50" t="n"/>
      <c r="O161" s="50" t="n"/>
      <c r="P161" s="48">
        <f>IF($F161="","",IF($J161="Yes",$F161+1,IF($G161="No",$F161+2,IF(N($I161)&gt;2,$F161+3,IF(N($I161)&gt;0,$F161+5,$F161+7)))))</f>
        <v/>
      </c>
      <c r="Q161" s="48">
        <f>IF($P161="","",IF($J161="Yes",$P161+3,IF($G161="No",$P161+5,IF(N($I161)&gt;0,$P161+7,$P161+14))))</f>
        <v/>
      </c>
      <c r="R161" s="48">
        <f>IF($Q161="","",IF($J161="Yes",$Q161+7,IF($G161="No",$Q161+14,$Q161+30)))</f>
        <v/>
      </c>
      <c r="S161" s="47" t="n"/>
      <c r="T161" s="50" t="n"/>
      <c r="U161" s="47">
        <f>IF($F161="","",MIN(24,MAX(1,ROUNDUP(($F161-DayPlan!$C$2+1)/7,0))))</f>
        <v/>
      </c>
      <c r="V161" s="47">
        <f>IF($A161=""," ",4*($J161="Yes")+3*($G161="No")+2*(N($I161)&gt;0)+1*(AND(ISNUMBER($H161),$H161&gt;45))+3*(AND(ISNUMBER($P161),$P161&lt;=TODAY()))-6*($S161="Yes")+(750-ROW())/100000)</f>
        <v/>
      </c>
      <c r="W161" s="47">
        <f>IF(OR($A161="",NOT(ISNUMBER($P161))),"",INT($P161-TODAY()))</f>
        <v/>
      </c>
      <c r="X161" s="47" t="n"/>
    </row>
    <row r="162">
      <c r="A162" s="50" t="n"/>
      <c r="B162" s="47" t="n"/>
      <c r="C162" s="47" t="n"/>
      <c r="D162" s="50" t="n"/>
      <c r="E162" s="50" t="n"/>
      <c r="F162" s="48" t="n"/>
      <c r="G162" s="47" t="n"/>
      <c r="H162" s="47" t="n"/>
      <c r="I162" s="47" t="n"/>
      <c r="J162" s="47" t="n"/>
      <c r="K162" s="47" t="n"/>
      <c r="L162" s="47" t="n"/>
      <c r="M162" s="50" t="n"/>
      <c r="N162" s="50" t="n"/>
      <c r="O162" s="50" t="n"/>
      <c r="P162" s="48">
        <f>IF($F162="","",IF($J162="Yes",$F162+1,IF($G162="No",$F162+2,IF(N($I162)&gt;2,$F162+3,IF(N($I162)&gt;0,$F162+5,$F162+7)))))</f>
        <v/>
      </c>
      <c r="Q162" s="48">
        <f>IF($P162="","",IF($J162="Yes",$P162+3,IF($G162="No",$P162+5,IF(N($I162)&gt;0,$P162+7,$P162+14))))</f>
        <v/>
      </c>
      <c r="R162" s="48">
        <f>IF($Q162="","",IF($J162="Yes",$Q162+7,IF($G162="No",$Q162+14,$Q162+30)))</f>
        <v/>
      </c>
      <c r="S162" s="47" t="n"/>
      <c r="T162" s="50" t="n"/>
      <c r="U162" s="47">
        <f>IF($F162="","",MIN(24,MAX(1,ROUNDUP(($F162-DayPlan!$C$2+1)/7,0))))</f>
        <v/>
      </c>
      <c r="V162" s="47">
        <f>IF($A162=""," ",4*($J162="Yes")+3*($G162="No")+2*(N($I162)&gt;0)+1*(AND(ISNUMBER($H162),$H162&gt;45))+3*(AND(ISNUMBER($P162),$P162&lt;=TODAY()))-6*($S162="Yes")+(750-ROW())/100000)</f>
        <v/>
      </c>
      <c r="W162" s="47">
        <f>IF(OR($A162="",NOT(ISNUMBER($P162))),"",INT($P162-TODAY()))</f>
        <v/>
      </c>
      <c r="X162" s="47" t="n"/>
    </row>
    <row r="163">
      <c r="A163" s="50" t="n"/>
      <c r="B163" s="47" t="n"/>
      <c r="C163" s="47" t="n"/>
      <c r="D163" s="50" t="n"/>
      <c r="E163" s="50" t="n"/>
      <c r="F163" s="48" t="n"/>
      <c r="G163" s="47" t="n"/>
      <c r="H163" s="47" t="n"/>
      <c r="I163" s="47" t="n"/>
      <c r="J163" s="47" t="n"/>
      <c r="K163" s="47" t="n"/>
      <c r="L163" s="47" t="n"/>
      <c r="M163" s="50" t="n"/>
      <c r="N163" s="50" t="n"/>
      <c r="O163" s="50" t="n"/>
      <c r="P163" s="48">
        <f>IF($F163="","",IF($J163="Yes",$F163+1,IF($G163="No",$F163+2,IF(N($I163)&gt;2,$F163+3,IF(N($I163)&gt;0,$F163+5,$F163+7)))))</f>
        <v/>
      </c>
      <c r="Q163" s="48">
        <f>IF($P163="","",IF($J163="Yes",$P163+3,IF($G163="No",$P163+5,IF(N($I163)&gt;0,$P163+7,$P163+14))))</f>
        <v/>
      </c>
      <c r="R163" s="48">
        <f>IF($Q163="","",IF($J163="Yes",$Q163+7,IF($G163="No",$Q163+14,$Q163+30)))</f>
        <v/>
      </c>
      <c r="S163" s="47" t="n"/>
      <c r="T163" s="50" t="n"/>
      <c r="U163" s="47">
        <f>IF($F163="","",MIN(24,MAX(1,ROUNDUP(($F163-DayPlan!$C$2+1)/7,0))))</f>
        <v/>
      </c>
      <c r="V163" s="47">
        <f>IF($A163=""," ",4*($J163="Yes")+3*($G163="No")+2*(N($I163)&gt;0)+1*(AND(ISNUMBER($H163),$H163&gt;45))+3*(AND(ISNUMBER($P163),$P163&lt;=TODAY()))-6*($S163="Yes")+(750-ROW())/100000)</f>
        <v/>
      </c>
      <c r="W163" s="47">
        <f>IF(OR($A163="",NOT(ISNUMBER($P163))),"",INT($P163-TODAY()))</f>
        <v/>
      </c>
      <c r="X163" s="47" t="n"/>
    </row>
    <row r="164">
      <c r="A164" s="50" t="n"/>
      <c r="B164" s="47" t="n"/>
      <c r="C164" s="47" t="n"/>
      <c r="D164" s="50" t="n"/>
      <c r="E164" s="50" t="n"/>
      <c r="F164" s="48" t="n"/>
      <c r="G164" s="47" t="n"/>
      <c r="H164" s="47" t="n"/>
      <c r="I164" s="47" t="n"/>
      <c r="J164" s="47" t="n"/>
      <c r="K164" s="47" t="n"/>
      <c r="L164" s="47" t="n"/>
      <c r="M164" s="50" t="n"/>
      <c r="N164" s="50" t="n"/>
      <c r="O164" s="50" t="n"/>
      <c r="P164" s="48">
        <f>IF($F164="","",IF($J164="Yes",$F164+1,IF($G164="No",$F164+2,IF(N($I164)&gt;2,$F164+3,IF(N($I164)&gt;0,$F164+5,$F164+7)))))</f>
        <v/>
      </c>
      <c r="Q164" s="48">
        <f>IF($P164="","",IF($J164="Yes",$P164+3,IF($G164="No",$P164+5,IF(N($I164)&gt;0,$P164+7,$P164+14))))</f>
        <v/>
      </c>
      <c r="R164" s="48">
        <f>IF($Q164="","",IF($J164="Yes",$Q164+7,IF($G164="No",$Q164+14,$Q164+30)))</f>
        <v/>
      </c>
      <c r="S164" s="47" t="n"/>
      <c r="T164" s="50" t="n"/>
      <c r="U164" s="47">
        <f>IF($F164="","",MIN(24,MAX(1,ROUNDUP(($F164-DayPlan!$C$2+1)/7,0))))</f>
        <v/>
      </c>
      <c r="V164" s="47">
        <f>IF($A164=""," ",4*($J164="Yes")+3*($G164="No")+2*(N($I164)&gt;0)+1*(AND(ISNUMBER($H164),$H164&gt;45))+3*(AND(ISNUMBER($P164),$P164&lt;=TODAY()))-6*($S164="Yes")+(750-ROW())/100000)</f>
        <v/>
      </c>
      <c r="W164" s="47">
        <f>IF(OR($A164="",NOT(ISNUMBER($P164))),"",INT($P164-TODAY()))</f>
        <v/>
      </c>
      <c r="X164" s="47" t="n"/>
    </row>
    <row r="165">
      <c r="A165" s="50" t="n"/>
      <c r="B165" s="47" t="n"/>
      <c r="C165" s="47" t="n"/>
      <c r="D165" s="50" t="n"/>
      <c r="E165" s="50" t="n"/>
      <c r="F165" s="48" t="n"/>
      <c r="G165" s="47" t="n"/>
      <c r="H165" s="47" t="n"/>
      <c r="I165" s="47" t="n"/>
      <c r="J165" s="47" t="n"/>
      <c r="K165" s="47" t="n"/>
      <c r="L165" s="47" t="n"/>
      <c r="M165" s="50" t="n"/>
      <c r="N165" s="50" t="n"/>
      <c r="O165" s="50" t="n"/>
      <c r="P165" s="48">
        <f>IF($F165="","",IF($J165="Yes",$F165+1,IF($G165="No",$F165+2,IF(N($I165)&gt;2,$F165+3,IF(N($I165)&gt;0,$F165+5,$F165+7)))))</f>
        <v/>
      </c>
      <c r="Q165" s="48">
        <f>IF($P165="","",IF($J165="Yes",$P165+3,IF($G165="No",$P165+5,IF(N($I165)&gt;0,$P165+7,$P165+14))))</f>
        <v/>
      </c>
      <c r="R165" s="48">
        <f>IF($Q165="","",IF($J165="Yes",$Q165+7,IF($G165="No",$Q165+14,$Q165+30)))</f>
        <v/>
      </c>
      <c r="S165" s="47" t="n"/>
      <c r="T165" s="50" t="n"/>
      <c r="U165" s="47">
        <f>IF($F165="","",MIN(24,MAX(1,ROUNDUP(($F165-DayPlan!$C$2+1)/7,0))))</f>
        <v/>
      </c>
      <c r="V165" s="47">
        <f>IF($A165=""," ",4*($J165="Yes")+3*($G165="No")+2*(N($I165)&gt;0)+1*(AND(ISNUMBER($H165),$H165&gt;45))+3*(AND(ISNUMBER($P165),$P165&lt;=TODAY()))-6*($S165="Yes")+(750-ROW())/100000)</f>
        <v/>
      </c>
      <c r="W165" s="47">
        <f>IF(OR($A165="",NOT(ISNUMBER($P165))),"",INT($P165-TODAY()))</f>
        <v/>
      </c>
      <c r="X165" s="47" t="n"/>
    </row>
    <row r="166">
      <c r="A166" s="50" t="n"/>
      <c r="B166" s="47" t="n"/>
      <c r="C166" s="47" t="n"/>
      <c r="D166" s="50" t="n"/>
      <c r="E166" s="50" t="n"/>
      <c r="F166" s="48" t="n"/>
      <c r="G166" s="47" t="n"/>
      <c r="H166" s="47" t="n"/>
      <c r="I166" s="47" t="n"/>
      <c r="J166" s="47" t="n"/>
      <c r="K166" s="47" t="n"/>
      <c r="L166" s="47" t="n"/>
      <c r="M166" s="50" t="n"/>
      <c r="N166" s="50" t="n"/>
      <c r="O166" s="50" t="n"/>
      <c r="P166" s="48">
        <f>IF($F166="","",IF($J166="Yes",$F166+1,IF($G166="No",$F166+2,IF(N($I166)&gt;2,$F166+3,IF(N($I166)&gt;0,$F166+5,$F166+7)))))</f>
        <v/>
      </c>
      <c r="Q166" s="48">
        <f>IF($P166="","",IF($J166="Yes",$P166+3,IF($G166="No",$P166+5,IF(N($I166)&gt;0,$P166+7,$P166+14))))</f>
        <v/>
      </c>
      <c r="R166" s="48">
        <f>IF($Q166="","",IF($J166="Yes",$Q166+7,IF($G166="No",$Q166+14,$Q166+30)))</f>
        <v/>
      </c>
      <c r="S166" s="47" t="n"/>
      <c r="T166" s="50" t="n"/>
      <c r="U166" s="47">
        <f>IF($F166="","",MIN(24,MAX(1,ROUNDUP(($F166-DayPlan!$C$2+1)/7,0))))</f>
        <v/>
      </c>
      <c r="V166" s="47">
        <f>IF($A166=""," ",4*($J166="Yes")+3*($G166="No")+2*(N($I166)&gt;0)+1*(AND(ISNUMBER($H166),$H166&gt;45))+3*(AND(ISNUMBER($P166),$P166&lt;=TODAY()))-6*($S166="Yes")+(750-ROW())/100000)</f>
        <v/>
      </c>
      <c r="W166" s="47">
        <f>IF(OR($A166="",NOT(ISNUMBER($P166))),"",INT($P166-TODAY()))</f>
        <v/>
      </c>
      <c r="X166" s="47" t="n"/>
    </row>
    <row r="167">
      <c r="A167" s="50" t="n"/>
      <c r="B167" s="47" t="n"/>
      <c r="C167" s="47" t="n"/>
      <c r="D167" s="50" t="n"/>
      <c r="E167" s="50" t="n"/>
      <c r="F167" s="48" t="n"/>
      <c r="G167" s="47" t="n"/>
      <c r="H167" s="47" t="n"/>
      <c r="I167" s="47" t="n"/>
      <c r="J167" s="47" t="n"/>
      <c r="K167" s="47" t="n"/>
      <c r="L167" s="47" t="n"/>
      <c r="M167" s="50" t="n"/>
      <c r="N167" s="50" t="n"/>
      <c r="O167" s="50" t="n"/>
      <c r="P167" s="48">
        <f>IF($F167="","",IF($J167="Yes",$F167+1,IF($G167="No",$F167+2,IF(N($I167)&gt;2,$F167+3,IF(N($I167)&gt;0,$F167+5,$F167+7)))))</f>
        <v/>
      </c>
      <c r="Q167" s="48">
        <f>IF($P167="","",IF($J167="Yes",$P167+3,IF($G167="No",$P167+5,IF(N($I167)&gt;0,$P167+7,$P167+14))))</f>
        <v/>
      </c>
      <c r="R167" s="48">
        <f>IF($Q167="","",IF($J167="Yes",$Q167+7,IF($G167="No",$Q167+14,$Q167+30)))</f>
        <v/>
      </c>
      <c r="S167" s="47" t="n"/>
      <c r="T167" s="50" t="n"/>
      <c r="U167" s="47">
        <f>IF($F167="","",MIN(24,MAX(1,ROUNDUP(($F167-DayPlan!$C$2+1)/7,0))))</f>
        <v/>
      </c>
      <c r="V167" s="47">
        <f>IF($A167=""," ",4*($J167="Yes")+3*($G167="No")+2*(N($I167)&gt;0)+1*(AND(ISNUMBER($H167),$H167&gt;45))+3*(AND(ISNUMBER($P167),$P167&lt;=TODAY()))-6*($S167="Yes")+(750-ROW())/100000)</f>
        <v/>
      </c>
      <c r="W167" s="47">
        <f>IF(OR($A167="",NOT(ISNUMBER($P167))),"",INT($P167-TODAY()))</f>
        <v/>
      </c>
      <c r="X167" s="47" t="n"/>
    </row>
    <row r="168">
      <c r="A168" s="50" t="n"/>
      <c r="B168" s="47" t="n"/>
      <c r="C168" s="47" t="n"/>
      <c r="D168" s="50" t="n"/>
      <c r="E168" s="50" t="n"/>
      <c r="F168" s="48" t="n"/>
      <c r="G168" s="47" t="n"/>
      <c r="H168" s="47" t="n"/>
      <c r="I168" s="47" t="n"/>
      <c r="J168" s="47" t="n"/>
      <c r="K168" s="47" t="n"/>
      <c r="L168" s="47" t="n"/>
      <c r="M168" s="50" t="n"/>
      <c r="N168" s="50" t="n"/>
      <c r="O168" s="50" t="n"/>
      <c r="P168" s="48">
        <f>IF($F168="","",IF($J168="Yes",$F168+1,IF($G168="No",$F168+2,IF(N($I168)&gt;2,$F168+3,IF(N($I168)&gt;0,$F168+5,$F168+7)))))</f>
        <v/>
      </c>
      <c r="Q168" s="48">
        <f>IF($P168="","",IF($J168="Yes",$P168+3,IF($G168="No",$P168+5,IF(N($I168)&gt;0,$P168+7,$P168+14))))</f>
        <v/>
      </c>
      <c r="R168" s="48">
        <f>IF($Q168="","",IF($J168="Yes",$Q168+7,IF($G168="No",$Q168+14,$Q168+30)))</f>
        <v/>
      </c>
      <c r="S168" s="47" t="n"/>
      <c r="T168" s="50" t="n"/>
      <c r="U168" s="47">
        <f>IF($F168="","",MIN(24,MAX(1,ROUNDUP(($F168-DayPlan!$C$2+1)/7,0))))</f>
        <v/>
      </c>
      <c r="V168" s="47">
        <f>IF($A168=""," ",4*($J168="Yes")+3*($G168="No")+2*(N($I168)&gt;0)+1*(AND(ISNUMBER($H168),$H168&gt;45))+3*(AND(ISNUMBER($P168),$P168&lt;=TODAY()))-6*($S168="Yes")+(750-ROW())/100000)</f>
        <v/>
      </c>
      <c r="W168" s="47">
        <f>IF(OR($A168="",NOT(ISNUMBER($P168))),"",INT($P168-TODAY()))</f>
        <v/>
      </c>
      <c r="X168" s="47" t="n"/>
    </row>
    <row r="169">
      <c r="A169" s="50" t="n"/>
      <c r="B169" s="47" t="n"/>
      <c r="C169" s="47" t="n"/>
      <c r="D169" s="50" t="n"/>
      <c r="E169" s="50" t="n"/>
      <c r="F169" s="48" t="n"/>
      <c r="G169" s="47" t="n"/>
      <c r="H169" s="47" t="n"/>
      <c r="I169" s="47" t="n"/>
      <c r="J169" s="47" t="n"/>
      <c r="K169" s="47" t="n"/>
      <c r="L169" s="47" t="n"/>
      <c r="M169" s="50" t="n"/>
      <c r="N169" s="50" t="n"/>
      <c r="O169" s="50" t="n"/>
      <c r="P169" s="48">
        <f>IF($F169="","",IF($J169="Yes",$F169+1,IF($G169="No",$F169+2,IF(N($I169)&gt;2,$F169+3,IF(N($I169)&gt;0,$F169+5,$F169+7)))))</f>
        <v/>
      </c>
      <c r="Q169" s="48">
        <f>IF($P169="","",IF($J169="Yes",$P169+3,IF($G169="No",$P169+5,IF(N($I169)&gt;0,$P169+7,$P169+14))))</f>
        <v/>
      </c>
      <c r="R169" s="48">
        <f>IF($Q169="","",IF($J169="Yes",$Q169+7,IF($G169="No",$Q169+14,$Q169+30)))</f>
        <v/>
      </c>
      <c r="S169" s="47" t="n"/>
      <c r="T169" s="50" t="n"/>
      <c r="U169" s="47">
        <f>IF($F169="","",MIN(24,MAX(1,ROUNDUP(($F169-DayPlan!$C$2+1)/7,0))))</f>
        <v/>
      </c>
      <c r="V169" s="47">
        <f>IF($A169=""," ",4*($J169="Yes")+3*($G169="No")+2*(N($I169)&gt;0)+1*(AND(ISNUMBER($H169),$H169&gt;45))+3*(AND(ISNUMBER($P169),$P169&lt;=TODAY()))-6*($S169="Yes")+(750-ROW())/100000)</f>
        <v/>
      </c>
      <c r="W169" s="47">
        <f>IF(OR($A169="",NOT(ISNUMBER($P169))),"",INT($P169-TODAY()))</f>
        <v/>
      </c>
      <c r="X169" s="47" t="n"/>
    </row>
    <row r="170">
      <c r="A170" s="50" t="n"/>
      <c r="B170" s="47" t="n"/>
      <c r="C170" s="47" t="n"/>
      <c r="D170" s="50" t="n"/>
      <c r="E170" s="50" t="n"/>
      <c r="F170" s="48" t="n"/>
      <c r="G170" s="47" t="n"/>
      <c r="H170" s="47" t="n"/>
      <c r="I170" s="47" t="n"/>
      <c r="J170" s="47" t="n"/>
      <c r="K170" s="47" t="n"/>
      <c r="L170" s="47" t="n"/>
      <c r="M170" s="50" t="n"/>
      <c r="N170" s="50" t="n"/>
      <c r="O170" s="50" t="n"/>
      <c r="P170" s="48">
        <f>IF($F170="","",IF($J170="Yes",$F170+1,IF($G170="No",$F170+2,IF(N($I170)&gt;2,$F170+3,IF(N($I170)&gt;0,$F170+5,$F170+7)))))</f>
        <v/>
      </c>
      <c r="Q170" s="48">
        <f>IF($P170="","",IF($J170="Yes",$P170+3,IF($G170="No",$P170+5,IF(N($I170)&gt;0,$P170+7,$P170+14))))</f>
        <v/>
      </c>
      <c r="R170" s="48">
        <f>IF($Q170="","",IF($J170="Yes",$Q170+7,IF($G170="No",$Q170+14,$Q170+30)))</f>
        <v/>
      </c>
      <c r="S170" s="47" t="n"/>
      <c r="T170" s="50" t="n"/>
      <c r="U170" s="47">
        <f>IF($F170="","",MIN(24,MAX(1,ROUNDUP(($F170-DayPlan!$C$2+1)/7,0))))</f>
        <v/>
      </c>
      <c r="V170" s="47">
        <f>IF($A170=""," ",4*($J170="Yes")+3*($G170="No")+2*(N($I170)&gt;0)+1*(AND(ISNUMBER($H170),$H170&gt;45))+3*(AND(ISNUMBER($P170),$P170&lt;=TODAY()))-6*($S170="Yes")+(750-ROW())/100000)</f>
        <v/>
      </c>
      <c r="W170" s="47">
        <f>IF(OR($A170="",NOT(ISNUMBER($P170))),"",INT($P170-TODAY()))</f>
        <v/>
      </c>
      <c r="X170" s="47" t="n"/>
    </row>
    <row r="171">
      <c r="A171" s="50" t="n"/>
      <c r="B171" s="47" t="n"/>
      <c r="C171" s="47" t="n"/>
      <c r="D171" s="50" t="n"/>
      <c r="E171" s="50" t="n"/>
      <c r="F171" s="48" t="n"/>
      <c r="G171" s="47" t="n"/>
      <c r="H171" s="47" t="n"/>
      <c r="I171" s="47" t="n"/>
      <c r="J171" s="47" t="n"/>
      <c r="K171" s="47" t="n"/>
      <c r="L171" s="47" t="n"/>
      <c r="M171" s="50" t="n"/>
      <c r="N171" s="50" t="n"/>
      <c r="O171" s="50" t="n"/>
      <c r="P171" s="48">
        <f>IF($F171="","",IF($J171="Yes",$F171+1,IF($G171="No",$F171+2,IF(N($I171)&gt;2,$F171+3,IF(N($I171)&gt;0,$F171+5,$F171+7)))))</f>
        <v/>
      </c>
      <c r="Q171" s="48">
        <f>IF($P171="","",IF($J171="Yes",$P171+3,IF($G171="No",$P171+5,IF(N($I171)&gt;0,$P171+7,$P171+14))))</f>
        <v/>
      </c>
      <c r="R171" s="48">
        <f>IF($Q171="","",IF($J171="Yes",$Q171+7,IF($G171="No",$Q171+14,$Q171+30)))</f>
        <v/>
      </c>
      <c r="S171" s="47" t="n"/>
      <c r="T171" s="50" t="n"/>
      <c r="U171" s="47">
        <f>IF($F171="","",MIN(24,MAX(1,ROUNDUP(($F171-DayPlan!$C$2+1)/7,0))))</f>
        <v/>
      </c>
      <c r="V171" s="47">
        <f>IF($A171=""," ",4*($J171="Yes")+3*($G171="No")+2*(N($I171)&gt;0)+1*(AND(ISNUMBER($H171),$H171&gt;45))+3*(AND(ISNUMBER($P171),$P171&lt;=TODAY()))-6*($S171="Yes")+(750-ROW())/100000)</f>
        <v/>
      </c>
      <c r="W171" s="47">
        <f>IF(OR($A171="",NOT(ISNUMBER($P171))),"",INT($P171-TODAY()))</f>
        <v/>
      </c>
      <c r="X171" s="47" t="n"/>
    </row>
    <row r="172">
      <c r="A172" s="50" t="n"/>
      <c r="B172" s="47" t="n"/>
      <c r="C172" s="47" t="n"/>
      <c r="D172" s="50" t="n"/>
      <c r="E172" s="50" t="n"/>
      <c r="F172" s="48" t="n"/>
      <c r="G172" s="47" t="n"/>
      <c r="H172" s="47" t="n"/>
      <c r="I172" s="47" t="n"/>
      <c r="J172" s="47" t="n"/>
      <c r="K172" s="47" t="n"/>
      <c r="L172" s="47" t="n"/>
      <c r="M172" s="50" t="n"/>
      <c r="N172" s="50" t="n"/>
      <c r="O172" s="50" t="n"/>
      <c r="P172" s="48">
        <f>IF($F172="","",IF($J172="Yes",$F172+1,IF($G172="No",$F172+2,IF(N($I172)&gt;2,$F172+3,IF(N($I172)&gt;0,$F172+5,$F172+7)))))</f>
        <v/>
      </c>
      <c r="Q172" s="48">
        <f>IF($P172="","",IF($J172="Yes",$P172+3,IF($G172="No",$P172+5,IF(N($I172)&gt;0,$P172+7,$P172+14))))</f>
        <v/>
      </c>
      <c r="R172" s="48">
        <f>IF($Q172="","",IF($J172="Yes",$Q172+7,IF($G172="No",$Q172+14,$Q172+30)))</f>
        <v/>
      </c>
      <c r="S172" s="47" t="n"/>
      <c r="T172" s="50" t="n"/>
      <c r="U172" s="47">
        <f>IF($F172="","",MIN(24,MAX(1,ROUNDUP(($F172-DayPlan!$C$2+1)/7,0))))</f>
        <v/>
      </c>
      <c r="V172" s="47">
        <f>IF($A172=""," ",4*($J172="Yes")+3*($G172="No")+2*(N($I172)&gt;0)+1*(AND(ISNUMBER($H172),$H172&gt;45))+3*(AND(ISNUMBER($P172),$P172&lt;=TODAY()))-6*($S172="Yes")+(750-ROW())/100000)</f>
        <v/>
      </c>
      <c r="W172" s="47">
        <f>IF(OR($A172="",NOT(ISNUMBER($P172))),"",INT($P172-TODAY()))</f>
        <v/>
      </c>
      <c r="X172" s="47" t="n"/>
    </row>
    <row r="173">
      <c r="A173" s="50" t="n"/>
      <c r="B173" s="47" t="n"/>
      <c r="C173" s="47" t="n"/>
      <c r="D173" s="50" t="n"/>
      <c r="E173" s="50" t="n"/>
      <c r="F173" s="48" t="n"/>
      <c r="G173" s="47" t="n"/>
      <c r="H173" s="47" t="n"/>
      <c r="I173" s="47" t="n"/>
      <c r="J173" s="47" t="n"/>
      <c r="K173" s="47" t="n"/>
      <c r="L173" s="47" t="n"/>
      <c r="M173" s="50" t="n"/>
      <c r="N173" s="50" t="n"/>
      <c r="O173" s="50" t="n"/>
      <c r="P173" s="48">
        <f>IF($F173="","",IF($J173="Yes",$F173+1,IF($G173="No",$F173+2,IF(N($I173)&gt;2,$F173+3,IF(N($I173)&gt;0,$F173+5,$F173+7)))))</f>
        <v/>
      </c>
      <c r="Q173" s="48">
        <f>IF($P173="","",IF($J173="Yes",$P173+3,IF($G173="No",$P173+5,IF(N($I173)&gt;0,$P173+7,$P173+14))))</f>
        <v/>
      </c>
      <c r="R173" s="48">
        <f>IF($Q173="","",IF($J173="Yes",$Q173+7,IF($G173="No",$Q173+14,$Q173+30)))</f>
        <v/>
      </c>
      <c r="S173" s="47" t="n"/>
      <c r="T173" s="50" t="n"/>
      <c r="U173" s="47">
        <f>IF($F173="","",MIN(24,MAX(1,ROUNDUP(($F173-DayPlan!$C$2+1)/7,0))))</f>
        <v/>
      </c>
      <c r="V173" s="47">
        <f>IF($A173=""," ",4*($J173="Yes")+3*($G173="No")+2*(N($I173)&gt;0)+1*(AND(ISNUMBER($H173),$H173&gt;45))+3*(AND(ISNUMBER($P173),$P173&lt;=TODAY()))-6*($S173="Yes")+(750-ROW())/100000)</f>
        <v/>
      </c>
      <c r="W173" s="47">
        <f>IF(OR($A173="",NOT(ISNUMBER($P173))),"",INT($P173-TODAY()))</f>
        <v/>
      </c>
      <c r="X173" s="47" t="n"/>
    </row>
    <row r="174">
      <c r="A174" s="50" t="n"/>
      <c r="B174" s="47" t="n"/>
      <c r="C174" s="47" t="n"/>
      <c r="D174" s="50" t="n"/>
      <c r="E174" s="50" t="n"/>
      <c r="F174" s="48" t="n"/>
      <c r="G174" s="47" t="n"/>
      <c r="H174" s="47" t="n"/>
      <c r="I174" s="47" t="n"/>
      <c r="J174" s="47" t="n"/>
      <c r="K174" s="47" t="n"/>
      <c r="L174" s="47" t="n"/>
      <c r="M174" s="50" t="n"/>
      <c r="N174" s="50" t="n"/>
      <c r="O174" s="50" t="n"/>
      <c r="P174" s="48">
        <f>IF($F174="","",IF($J174="Yes",$F174+1,IF($G174="No",$F174+2,IF(N($I174)&gt;2,$F174+3,IF(N($I174)&gt;0,$F174+5,$F174+7)))))</f>
        <v/>
      </c>
      <c r="Q174" s="48">
        <f>IF($P174="","",IF($J174="Yes",$P174+3,IF($G174="No",$P174+5,IF(N($I174)&gt;0,$P174+7,$P174+14))))</f>
        <v/>
      </c>
      <c r="R174" s="48">
        <f>IF($Q174="","",IF($J174="Yes",$Q174+7,IF($G174="No",$Q174+14,$Q174+30)))</f>
        <v/>
      </c>
      <c r="S174" s="47" t="n"/>
      <c r="T174" s="50" t="n"/>
      <c r="U174" s="47">
        <f>IF($F174="","",MIN(24,MAX(1,ROUNDUP(($F174-DayPlan!$C$2+1)/7,0))))</f>
        <v/>
      </c>
      <c r="V174" s="47">
        <f>IF($A174=""," ",4*($J174="Yes")+3*($G174="No")+2*(N($I174)&gt;0)+1*(AND(ISNUMBER($H174),$H174&gt;45))+3*(AND(ISNUMBER($P174),$P174&lt;=TODAY()))-6*($S174="Yes")+(750-ROW())/100000)</f>
        <v/>
      </c>
      <c r="W174" s="47">
        <f>IF(OR($A174="",NOT(ISNUMBER($P174))),"",INT($P174-TODAY()))</f>
        <v/>
      </c>
      <c r="X174" s="47" t="n"/>
    </row>
    <row r="175">
      <c r="A175" s="50" t="n"/>
      <c r="B175" s="47" t="n"/>
      <c r="C175" s="47" t="n"/>
      <c r="D175" s="50" t="n"/>
      <c r="E175" s="50" t="n"/>
      <c r="F175" s="48" t="n"/>
      <c r="G175" s="47" t="n"/>
      <c r="H175" s="47" t="n"/>
      <c r="I175" s="47" t="n"/>
      <c r="J175" s="47" t="n"/>
      <c r="K175" s="47" t="n"/>
      <c r="L175" s="47" t="n"/>
      <c r="M175" s="50" t="n"/>
      <c r="N175" s="50" t="n"/>
      <c r="O175" s="50" t="n"/>
      <c r="P175" s="48">
        <f>IF($F175="","",IF($J175="Yes",$F175+1,IF($G175="No",$F175+2,IF(N($I175)&gt;2,$F175+3,IF(N($I175)&gt;0,$F175+5,$F175+7)))))</f>
        <v/>
      </c>
      <c r="Q175" s="48">
        <f>IF($P175="","",IF($J175="Yes",$P175+3,IF($G175="No",$P175+5,IF(N($I175)&gt;0,$P175+7,$P175+14))))</f>
        <v/>
      </c>
      <c r="R175" s="48">
        <f>IF($Q175="","",IF($J175="Yes",$Q175+7,IF($G175="No",$Q175+14,$Q175+30)))</f>
        <v/>
      </c>
      <c r="S175" s="47" t="n"/>
      <c r="T175" s="50" t="n"/>
      <c r="U175" s="47">
        <f>IF($F175="","",MIN(24,MAX(1,ROUNDUP(($F175-DayPlan!$C$2+1)/7,0))))</f>
        <v/>
      </c>
      <c r="V175" s="47">
        <f>IF($A175=""," ",4*($J175="Yes")+3*($G175="No")+2*(N($I175)&gt;0)+1*(AND(ISNUMBER($H175),$H175&gt;45))+3*(AND(ISNUMBER($P175),$P175&lt;=TODAY()))-6*($S175="Yes")+(750-ROW())/100000)</f>
        <v/>
      </c>
      <c r="W175" s="47">
        <f>IF(OR($A175="",NOT(ISNUMBER($P175))),"",INT($P175-TODAY()))</f>
        <v/>
      </c>
      <c r="X175" s="47" t="n"/>
    </row>
    <row r="176">
      <c r="A176" s="50" t="n"/>
      <c r="B176" s="47" t="n"/>
      <c r="C176" s="47" t="n"/>
      <c r="D176" s="50" t="n"/>
      <c r="E176" s="50" t="n"/>
      <c r="F176" s="48" t="n"/>
      <c r="G176" s="47" t="n"/>
      <c r="H176" s="47" t="n"/>
      <c r="I176" s="47" t="n"/>
      <c r="J176" s="47" t="n"/>
      <c r="K176" s="47" t="n"/>
      <c r="L176" s="47" t="n"/>
      <c r="M176" s="50" t="n"/>
      <c r="N176" s="50" t="n"/>
      <c r="O176" s="50" t="n"/>
      <c r="P176" s="48">
        <f>IF($F176="","",IF($J176="Yes",$F176+1,IF($G176="No",$F176+2,IF(N($I176)&gt;2,$F176+3,IF(N($I176)&gt;0,$F176+5,$F176+7)))))</f>
        <v/>
      </c>
      <c r="Q176" s="48">
        <f>IF($P176="","",IF($J176="Yes",$P176+3,IF($G176="No",$P176+5,IF(N($I176)&gt;0,$P176+7,$P176+14))))</f>
        <v/>
      </c>
      <c r="R176" s="48">
        <f>IF($Q176="","",IF($J176="Yes",$Q176+7,IF($G176="No",$Q176+14,$Q176+30)))</f>
        <v/>
      </c>
      <c r="S176" s="47" t="n"/>
      <c r="T176" s="50" t="n"/>
      <c r="U176" s="47">
        <f>IF($F176="","",MIN(24,MAX(1,ROUNDUP(($F176-DayPlan!$C$2+1)/7,0))))</f>
        <v/>
      </c>
      <c r="V176" s="47">
        <f>IF($A176=""," ",4*($J176="Yes")+3*($G176="No")+2*(N($I176)&gt;0)+1*(AND(ISNUMBER($H176),$H176&gt;45))+3*(AND(ISNUMBER($P176),$P176&lt;=TODAY()))-6*($S176="Yes")+(750-ROW())/100000)</f>
        <v/>
      </c>
      <c r="W176" s="47">
        <f>IF(OR($A176="",NOT(ISNUMBER($P176))),"",INT($P176-TODAY()))</f>
        <v/>
      </c>
      <c r="X176" s="47" t="n"/>
    </row>
    <row r="177">
      <c r="A177" s="50" t="n"/>
      <c r="B177" s="47" t="n"/>
      <c r="C177" s="47" t="n"/>
      <c r="D177" s="50" t="n"/>
      <c r="E177" s="50" t="n"/>
      <c r="F177" s="48" t="n"/>
      <c r="G177" s="47" t="n"/>
      <c r="H177" s="47" t="n"/>
      <c r="I177" s="47" t="n"/>
      <c r="J177" s="47" t="n"/>
      <c r="K177" s="47" t="n"/>
      <c r="L177" s="47" t="n"/>
      <c r="M177" s="50" t="n"/>
      <c r="N177" s="50" t="n"/>
      <c r="O177" s="50" t="n"/>
      <c r="P177" s="48">
        <f>IF($F177="","",IF($J177="Yes",$F177+1,IF($G177="No",$F177+2,IF(N($I177)&gt;2,$F177+3,IF(N($I177)&gt;0,$F177+5,$F177+7)))))</f>
        <v/>
      </c>
      <c r="Q177" s="48">
        <f>IF($P177="","",IF($J177="Yes",$P177+3,IF($G177="No",$P177+5,IF(N($I177)&gt;0,$P177+7,$P177+14))))</f>
        <v/>
      </c>
      <c r="R177" s="48">
        <f>IF($Q177="","",IF($J177="Yes",$Q177+7,IF($G177="No",$Q177+14,$Q177+30)))</f>
        <v/>
      </c>
      <c r="S177" s="47" t="n"/>
      <c r="T177" s="50" t="n"/>
      <c r="U177" s="47">
        <f>IF($F177="","",MIN(24,MAX(1,ROUNDUP(($F177-DayPlan!$C$2+1)/7,0))))</f>
        <v/>
      </c>
      <c r="V177" s="47">
        <f>IF($A177=""," ",4*($J177="Yes")+3*($G177="No")+2*(N($I177)&gt;0)+1*(AND(ISNUMBER($H177),$H177&gt;45))+3*(AND(ISNUMBER($P177),$P177&lt;=TODAY()))-6*($S177="Yes")+(750-ROW())/100000)</f>
        <v/>
      </c>
      <c r="W177" s="47">
        <f>IF(OR($A177="",NOT(ISNUMBER($P177))),"",INT($P177-TODAY()))</f>
        <v/>
      </c>
      <c r="X177" s="47" t="n"/>
    </row>
    <row r="178">
      <c r="A178" s="50" t="n"/>
      <c r="B178" s="47" t="n"/>
      <c r="C178" s="47" t="n"/>
      <c r="D178" s="50" t="n"/>
      <c r="E178" s="50" t="n"/>
      <c r="F178" s="48" t="n"/>
      <c r="G178" s="47" t="n"/>
      <c r="H178" s="47" t="n"/>
      <c r="I178" s="47" t="n"/>
      <c r="J178" s="47" t="n"/>
      <c r="K178" s="47" t="n"/>
      <c r="L178" s="47" t="n"/>
      <c r="M178" s="50" t="n"/>
      <c r="N178" s="50" t="n"/>
      <c r="O178" s="50" t="n"/>
      <c r="P178" s="48">
        <f>IF($F178="","",IF($J178="Yes",$F178+1,IF($G178="No",$F178+2,IF(N($I178)&gt;2,$F178+3,IF(N($I178)&gt;0,$F178+5,$F178+7)))))</f>
        <v/>
      </c>
      <c r="Q178" s="48">
        <f>IF($P178="","",IF($J178="Yes",$P178+3,IF($G178="No",$P178+5,IF(N($I178)&gt;0,$P178+7,$P178+14))))</f>
        <v/>
      </c>
      <c r="R178" s="48">
        <f>IF($Q178="","",IF($J178="Yes",$Q178+7,IF($G178="No",$Q178+14,$Q178+30)))</f>
        <v/>
      </c>
      <c r="S178" s="47" t="n"/>
      <c r="T178" s="50" t="n"/>
      <c r="U178" s="47">
        <f>IF($F178="","",MIN(24,MAX(1,ROUNDUP(($F178-DayPlan!$C$2+1)/7,0))))</f>
        <v/>
      </c>
      <c r="V178" s="47">
        <f>IF($A178=""," ",4*($J178="Yes")+3*($G178="No")+2*(N($I178)&gt;0)+1*(AND(ISNUMBER($H178),$H178&gt;45))+3*(AND(ISNUMBER($P178),$P178&lt;=TODAY()))-6*($S178="Yes")+(750-ROW())/100000)</f>
        <v/>
      </c>
      <c r="W178" s="47">
        <f>IF(OR($A178="",NOT(ISNUMBER($P178))),"",INT($P178-TODAY()))</f>
        <v/>
      </c>
      <c r="X178" s="47" t="n"/>
    </row>
    <row r="179">
      <c r="A179" s="50" t="n"/>
      <c r="B179" s="47" t="n"/>
      <c r="C179" s="47" t="n"/>
      <c r="D179" s="50" t="n"/>
      <c r="E179" s="50" t="n"/>
      <c r="F179" s="48" t="n"/>
      <c r="G179" s="47" t="n"/>
      <c r="H179" s="47" t="n"/>
      <c r="I179" s="47" t="n"/>
      <c r="J179" s="47" t="n"/>
      <c r="K179" s="47" t="n"/>
      <c r="L179" s="47" t="n"/>
      <c r="M179" s="50" t="n"/>
      <c r="N179" s="50" t="n"/>
      <c r="O179" s="50" t="n"/>
      <c r="P179" s="48">
        <f>IF($F179="","",IF($J179="Yes",$F179+1,IF($G179="No",$F179+2,IF(N($I179)&gt;2,$F179+3,IF(N($I179)&gt;0,$F179+5,$F179+7)))))</f>
        <v/>
      </c>
      <c r="Q179" s="48">
        <f>IF($P179="","",IF($J179="Yes",$P179+3,IF($G179="No",$P179+5,IF(N($I179)&gt;0,$P179+7,$P179+14))))</f>
        <v/>
      </c>
      <c r="R179" s="48">
        <f>IF($Q179="","",IF($J179="Yes",$Q179+7,IF($G179="No",$Q179+14,$Q179+30)))</f>
        <v/>
      </c>
      <c r="S179" s="47" t="n"/>
      <c r="T179" s="50" t="n"/>
      <c r="U179" s="47">
        <f>IF($F179="","",MIN(24,MAX(1,ROUNDUP(($F179-DayPlan!$C$2+1)/7,0))))</f>
        <v/>
      </c>
      <c r="V179" s="47">
        <f>IF($A179=""," ",4*($J179="Yes")+3*($G179="No")+2*(N($I179)&gt;0)+1*(AND(ISNUMBER($H179),$H179&gt;45))+3*(AND(ISNUMBER($P179),$P179&lt;=TODAY()))-6*($S179="Yes")+(750-ROW())/100000)</f>
        <v/>
      </c>
      <c r="W179" s="47">
        <f>IF(OR($A179="",NOT(ISNUMBER($P179))),"",INT($P179-TODAY()))</f>
        <v/>
      </c>
      <c r="X179" s="47" t="n"/>
    </row>
    <row r="180">
      <c r="A180" s="50" t="n"/>
      <c r="B180" s="47" t="n"/>
      <c r="C180" s="47" t="n"/>
      <c r="D180" s="50" t="n"/>
      <c r="E180" s="50" t="n"/>
      <c r="F180" s="48" t="n"/>
      <c r="G180" s="47" t="n"/>
      <c r="H180" s="47" t="n"/>
      <c r="I180" s="47" t="n"/>
      <c r="J180" s="47" t="n"/>
      <c r="K180" s="47" t="n"/>
      <c r="L180" s="47" t="n"/>
      <c r="M180" s="50" t="n"/>
      <c r="N180" s="50" t="n"/>
      <c r="O180" s="50" t="n"/>
      <c r="P180" s="48">
        <f>IF($F180="","",IF($J180="Yes",$F180+1,IF($G180="No",$F180+2,IF(N($I180)&gt;2,$F180+3,IF(N($I180)&gt;0,$F180+5,$F180+7)))))</f>
        <v/>
      </c>
      <c r="Q180" s="48">
        <f>IF($P180="","",IF($J180="Yes",$P180+3,IF($G180="No",$P180+5,IF(N($I180)&gt;0,$P180+7,$P180+14))))</f>
        <v/>
      </c>
      <c r="R180" s="48">
        <f>IF($Q180="","",IF($J180="Yes",$Q180+7,IF($G180="No",$Q180+14,$Q180+30)))</f>
        <v/>
      </c>
      <c r="S180" s="47" t="n"/>
      <c r="T180" s="50" t="n"/>
      <c r="U180" s="47">
        <f>IF($F180="","",MIN(24,MAX(1,ROUNDUP(($F180-DayPlan!$C$2+1)/7,0))))</f>
        <v/>
      </c>
      <c r="V180" s="47">
        <f>IF($A180=""," ",4*($J180="Yes")+3*($G180="No")+2*(N($I180)&gt;0)+1*(AND(ISNUMBER($H180),$H180&gt;45))+3*(AND(ISNUMBER($P180),$P180&lt;=TODAY()))-6*($S180="Yes")+(750-ROW())/100000)</f>
        <v/>
      </c>
      <c r="W180" s="47">
        <f>IF(OR($A180="",NOT(ISNUMBER($P180))),"",INT($P180-TODAY()))</f>
        <v/>
      </c>
      <c r="X180" s="47" t="n"/>
    </row>
    <row r="181">
      <c r="A181" s="50" t="n"/>
      <c r="B181" s="47" t="n"/>
      <c r="C181" s="47" t="n"/>
      <c r="D181" s="50" t="n"/>
      <c r="E181" s="50" t="n"/>
      <c r="F181" s="48" t="n"/>
      <c r="G181" s="47" t="n"/>
      <c r="H181" s="47" t="n"/>
      <c r="I181" s="47" t="n"/>
      <c r="J181" s="47" t="n"/>
      <c r="K181" s="47" t="n"/>
      <c r="L181" s="47" t="n"/>
      <c r="M181" s="50" t="n"/>
      <c r="N181" s="50" t="n"/>
      <c r="O181" s="50" t="n"/>
      <c r="P181" s="48">
        <f>IF($F181="","",IF($J181="Yes",$F181+1,IF($G181="No",$F181+2,IF(N($I181)&gt;2,$F181+3,IF(N($I181)&gt;0,$F181+5,$F181+7)))))</f>
        <v/>
      </c>
      <c r="Q181" s="48">
        <f>IF($P181="","",IF($J181="Yes",$P181+3,IF($G181="No",$P181+5,IF(N($I181)&gt;0,$P181+7,$P181+14))))</f>
        <v/>
      </c>
      <c r="R181" s="48">
        <f>IF($Q181="","",IF($J181="Yes",$Q181+7,IF($G181="No",$Q181+14,$Q181+30)))</f>
        <v/>
      </c>
      <c r="S181" s="47" t="n"/>
      <c r="T181" s="50" t="n"/>
      <c r="U181" s="47">
        <f>IF($F181="","",MIN(24,MAX(1,ROUNDUP(($F181-DayPlan!$C$2+1)/7,0))))</f>
        <v/>
      </c>
      <c r="V181" s="47">
        <f>IF($A181=""," ",4*($J181="Yes")+3*($G181="No")+2*(N($I181)&gt;0)+1*(AND(ISNUMBER($H181),$H181&gt;45))+3*(AND(ISNUMBER($P181),$P181&lt;=TODAY()))-6*($S181="Yes")+(750-ROW())/100000)</f>
        <v/>
      </c>
      <c r="W181" s="47">
        <f>IF(OR($A181="",NOT(ISNUMBER($P181))),"",INT($P181-TODAY()))</f>
        <v/>
      </c>
      <c r="X181" s="47" t="n"/>
    </row>
    <row r="182">
      <c r="A182" s="50" t="n"/>
      <c r="B182" s="47" t="n"/>
      <c r="C182" s="47" t="n"/>
      <c r="D182" s="50" t="n"/>
      <c r="E182" s="50" t="n"/>
      <c r="F182" s="48" t="n"/>
      <c r="G182" s="47" t="n"/>
      <c r="H182" s="47" t="n"/>
      <c r="I182" s="47" t="n"/>
      <c r="J182" s="47" t="n"/>
      <c r="K182" s="47" t="n"/>
      <c r="L182" s="47" t="n"/>
      <c r="M182" s="50" t="n"/>
      <c r="N182" s="50" t="n"/>
      <c r="O182" s="50" t="n"/>
      <c r="P182" s="48">
        <f>IF($F182="","",IF($J182="Yes",$F182+1,IF($G182="No",$F182+2,IF(N($I182)&gt;2,$F182+3,IF(N($I182)&gt;0,$F182+5,$F182+7)))))</f>
        <v/>
      </c>
      <c r="Q182" s="48">
        <f>IF($P182="","",IF($J182="Yes",$P182+3,IF($G182="No",$P182+5,IF(N($I182)&gt;0,$P182+7,$P182+14))))</f>
        <v/>
      </c>
      <c r="R182" s="48">
        <f>IF($Q182="","",IF($J182="Yes",$Q182+7,IF($G182="No",$Q182+14,$Q182+30)))</f>
        <v/>
      </c>
      <c r="S182" s="47" t="n"/>
      <c r="T182" s="50" t="n"/>
      <c r="U182" s="47">
        <f>IF($F182="","",MIN(24,MAX(1,ROUNDUP(($F182-DayPlan!$C$2+1)/7,0))))</f>
        <v/>
      </c>
      <c r="V182" s="47">
        <f>IF($A182=""," ",4*($J182="Yes")+3*($G182="No")+2*(N($I182)&gt;0)+1*(AND(ISNUMBER($H182),$H182&gt;45))+3*(AND(ISNUMBER($P182),$P182&lt;=TODAY()))-6*($S182="Yes")+(750-ROW())/100000)</f>
        <v/>
      </c>
      <c r="W182" s="47">
        <f>IF(OR($A182="",NOT(ISNUMBER($P182))),"",INT($P182-TODAY()))</f>
        <v/>
      </c>
      <c r="X182" s="47" t="n"/>
    </row>
    <row r="183">
      <c r="A183" s="50" t="n"/>
      <c r="B183" s="47" t="n"/>
      <c r="C183" s="47" t="n"/>
      <c r="D183" s="50" t="n"/>
      <c r="E183" s="50" t="n"/>
      <c r="F183" s="48" t="n"/>
      <c r="G183" s="47" t="n"/>
      <c r="H183" s="47" t="n"/>
      <c r="I183" s="47" t="n"/>
      <c r="J183" s="47" t="n"/>
      <c r="K183" s="47" t="n"/>
      <c r="L183" s="47" t="n"/>
      <c r="M183" s="50" t="n"/>
      <c r="N183" s="50" t="n"/>
      <c r="O183" s="50" t="n"/>
      <c r="P183" s="48">
        <f>IF($F183="","",IF($J183="Yes",$F183+1,IF($G183="No",$F183+2,IF(N($I183)&gt;2,$F183+3,IF(N($I183)&gt;0,$F183+5,$F183+7)))))</f>
        <v/>
      </c>
      <c r="Q183" s="48">
        <f>IF($P183="","",IF($J183="Yes",$P183+3,IF($G183="No",$P183+5,IF(N($I183)&gt;0,$P183+7,$P183+14))))</f>
        <v/>
      </c>
      <c r="R183" s="48">
        <f>IF($Q183="","",IF($J183="Yes",$Q183+7,IF($G183="No",$Q183+14,$Q183+30)))</f>
        <v/>
      </c>
      <c r="S183" s="47" t="n"/>
      <c r="T183" s="50" t="n"/>
      <c r="U183" s="47">
        <f>IF($F183="","",MIN(24,MAX(1,ROUNDUP(($F183-DayPlan!$C$2+1)/7,0))))</f>
        <v/>
      </c>
      <c r="V183" s="47">
        <f>IF($A183=""," ",4*($J183="Yes")+3*($G183="No")+2*(N($I183)&gt;0)+1*(AND(ISNUMBER($H183),$H183&gt;45))+3*(AND(ISNUMBER($P183),$P183&lt;=TODAY()))-6*($S183="Yes")+(750-ROW())/100000)</f>
        <v/>
      </c>
      <c r="W183" s="47">
        <f>IF(OR($A183="",NOT(ISNUMBER($P183))),"",INT($P183-TODAY()))</f>
        <v/>
      </c>
      <c r="X183" s="47" t="n"/>
    </row>
    <row r="184">
      <c r="A184" s="50" t="n"/>
      <c r="B184" s="47" t="n"/>
      <c r="C184" s="47" t="n"/>
      <c r="D184" s="50" t="n"/>
      <c r="E184" s="50" t="n"/>
      <c r="F184" s="48" t="n"/>
      <c r="G184" s="47" t="n"/>
      <c r="H184" s="47" t="n"/>
      <c r="I184" s="47" t="n"/>
      <c r="J184" s="47" t="n"/>
      <c r="K184" s="47" t="n"/>
      <c r="L184" s="47" t="n"/>
      <c r="M184" s="50" t="n"/>
      <c r="N184" s="50" t="n"/>
      <c r="O184" s="50" t="n"/>
      <c r="P184" s="48">
        <f>IF($F184="","",IF($J184="Yes",$F184+1,IF($G184="No",$F184+2,IF(N($I184)&gt;2,$F184+3,IF(N($I184)&gt;0,$F184+5,$F184+7)))))</f>
        <v/>
      </c>
      <c r="Q184" s="48">
        <f>IF($P184="","",IF($J184="Yes",$P184+3,IF($G184="No",$P184+5,IF(N($I184)&gt;0,$P184+7,$P184+14))))</f>
        <v/>
      </c>
      <c r="R184" s="48">
        <f>IF($Q184="","",IF($J184="Yes",$Q184+7,IF($G184="No",$Q184+14,$Q184+30)))</f>
        <v/>
      </c>
      <c r="S184" s="47" t="n"/>
      <c r="T184" s="50" t="n"/>
      <c r="U184" s="47">
        <f>IF($F184="","",MIN(24,MAX(1,ROUNDUP(($F184-DayPlan!$C$2+1)/7,0))))</f>
        <v/>
      </c>
      <c r="V184" s="47">
        <f>IF($A184=""," ",4*($J184="Yes")+3*($G184="No")+2*(N($I184)&gt;0)+1*(AND(ISNUMBER($H184),$H184&gt;45))+3*(AND(ISNUMBER($P184),$P184&lt;=TODAY()))-6*($S184="Yes")+(750-ROW())/100000)</f>
        <v/>
      </c>
      <c r="W184" s="47">
        <f>IF(OR($A184="",NOT(ISNUMBER($P184))),"",INT($P184-TODAY()))</f>
        <v/>
      </c>
      <c r="X184" s="47" t="n"/>
    </row>
    <row r="185">
      <c r="A185" s="50" t="n"/>
      <c r="B185" s="47" t="n"/>
      <c r="C185" s="47" t="n"/>
      <c r="D185" s="50" t="n"/>
      <c r="E185" s="50" t="n"/>
      <c r="F185" s="48" t="n"/>
      <c r="G185" s="47" t="n"/>
      <c r="H185" s="47" t="n"/>
      <c r="I185" s="47" t="n"/>
      <c r="J185" s="47" t="n"/>
      <c r="K185" s="47" t="n"/>
      <c r="L185" s="47" t="n"/>
      <c r="M185" s="50" t="n"/>
      <c r="N185" s="50" t="n"/>
      <c r="O185" s="50" t="n"/>
      <c r="P185" s="48">
        <f>IF($F185="","",IF($J185="Yes",$F185+1,IF($G185="No",$F185+2,IF(N($I185)&gt;2,$F185+3,IF(N($I185)&gt;0,$F185+5,$F185+7)))))</f>
        <v/>
      </c>
      <c r="Q185" s="48">
        <f>IF($P185="","",IF($J185="Yes",$P185+3,IF($G185="No",$P185+5,IF(N($I185)&gt;0,$P185+7,$P185+14))))</f>
        <v/>
      </c>
      <c r="R185" s="48">
        <f>IF($Q185="","",IF($J185="Yes",$Q185+7,IF($G185="No",$Q185+14,$Q185+30)))</f>
        <v/>
      </c>
      <c r="S185" s="47" t="n"/>
      <c r="T185" s="50" t="n"/>
      <c r="U185" s="47">
        <f>IF($F185="","",MIN(24,MAX(1,ROUNDUP(($F185-DayPlan!$C$2+1)/7,0))))</f>
        <v/>
      </c>
      <c r="V185" s="47">
        <f>IF($A185=""," ",4*($J185="Yes")+3*($G185="No")+2*(N($I185)&gt;0)+1*(AND(ISNUMBER($H185),$H185&gt;45))+3*(AND(ISNUMBER($P185),$P185&lt;=TODAY()))-6*($S185="Yes")+(750-ROW())/100000)</f>
        <v/>
      </c>
      <c r="W185" s="47">
        <f>IF(OR($A185="",NOT(ISNUMBER($P185))),"",INT($P185-TODAY()))</f>
        <v/>
      </c>
      <c r="X185" s="47" t="n"/>
    </row>
    <row r="186">
      <c r="A186" s="50" t="n"/>
      <c r="B186" s="47" t="n"/>
      <c r="C186" s="47" t="n"/>
      <c r="D186" s="50" t="n"/>
      <c r="E186" s="50" t="n"/>
      <c r="F186" s="48" t="n"/>
      <c r="G186" s="47" t="n"/>
      <c r="H186" s="47" t="n"/>
      <c r="I186" s="47" t="n"/>
      <c r="J186" s="47" t="n"/>
      <c r="K186" s="47" t="n"/>
      <c r="L186" s="47" t="n"/>
      <c r="M186" s="50" t="n"/>
      <c r="N186" s="50" t="n"/>
      <c r="O186" s="50" t="n"/>
      <c r="P186" s="48">
        <f>IF($F186="","",IF($J186="Yes",$F186+1,IF($G186="No",$F186+2,IF(N($I186)&gt;2,$F186+3,IF(N($I186)&gt;0,$F186+5,$F186+7)))))</f>
        <v/>
      </c>
      <c r="Q186" s="48">
        <f>IF($P186="","",IF($J186="Yes",$P186+3,IF($G186="No",$P186+5,IF(N($I186)&gt;0,$P186+7,$P186+14))))</f>
        <v/>
      </c>
      <c r="R186" s="48">
        <f>IF($Q186="","",IF($J186="Yes",$Q186+7,IF($G186="No",$Q186+14,$Q186+30)))</f>
        <v/>
      </c>
      <c r="S186" s="47" t="n"/>
      <c r="T186" s="50" t="n"/>
      <c r="U186" s="47">
        <f>IF($F186="","",MIN(24,MAX(1,ROUNDUP(($F186-DayPlan!$C$2+1)/7,0))))</f>
        <v/>
      </c>
      <c r="V186" s="47">
        <f>IF($A186=""," ",4*($J186="Yes")+3*($G186="No")+2*(N($I186)&gt;0)+1*(AND(ISNUMBER($H186),$H186&gt;45))+3*(AND(ISNUMBER($P186),$P186&lt;=TODAY()))-6*($S186="Yes")+(750-ROW())/100000)</f>
        <v/>
      </c>
      <c r="W186" s="47">
        <f>IF(OR($A186="",NOT(ISNUMBER($P186))),"",INT($P186-TODAY()))</f>
        <v/>
      </c>
      <c r="X186" s="47" t="n"/>
    </row>
    <row r="187">
      <c r="A187" s="50" t="n"/>
      <c r="B187" s="47" t="n"/>
      <c r="C187" s="47" t="n"/>
      <c r="D187" s="50" t="n"/>
      <c r="E187" s="50" t="n"/>
      <c r="F187" s="48" t="n"/>
      <c r="G187" s="47" t="n"/>
      <c r="H187" s="47" t="n"/>
      <c r="I187" s="47" t="n"/>
      <c r="J187" s="47" t="n"/>
      <c r="K187" s="47" t="n"/>
      <c r="L187" s="47" t="n"/>
      <c r="M187" s="50" t="n"/>
      <c r="N187" s="50" t="n"/>
      <c r="O187" s="50" t="n"/>
      <c r="P187" s="48">
        <f>IF($F187="","",IF($J187="Yes",$F187+1,IF($G187="No",$F187+2,IF(N($I187)&gt;2,$F187+3,IF(N($I187)&gt;0,$F187+5,$F187+7)))))</f>
        <v/>
      </c>
      <c r="Q187" s="48">
        <f>IF($P187="","",IF($J187="Yes",$P187+3,IF($G187="No",$P187+5,IF(N($I187)&gt;0,$P187+7,$P187+14))))</f>
        <v/>
      </c>
      <c r="R187" s="48">
        <f>IF($Q187="","",IF($J187="Yes",$Q187+7,IF($G187="No",$Q187+14,$Q187+30)))</f>
        <v/>
      </c>
      <c r="S187" s="47" t="n"/>
      <c r="T187" s="50" t="n"/>
      <c r="U187" s="47">
        <f>IF($F187="","",MIN(24,MAX(1,ROUNDUP(($F187-DayPlan!$C$2+1)/7,0))))</f>
        <v/>
      </c>
      <c r="V187" s="47">
        <f>IF($A187=""," ",4*($J187="Yes")+3*($G187="No")+2*(N($I187)&gt;0)+1*(AND(ISNUMBER($H187),$H187&gt;45))+3*(AND(ISNUMBER($P187),$P187&lt;=TODAY()))-6*($S187="Yes")+(750-ROW())/100000)</f>
        <v/>
      </c>
      <c r="W187" s="47">
        <f>IF(OR($A187="",NOT(ISNUMBER($P187))),"",INT($P187-TODAY()))</f>
        <v/>
      </c>
      <c r="X187" s="47" t="n"/>
    </row>
    <row r="188">
      <c r="A188" s="50" t="n"/>
      <c r="B188" s="47" t="n"/>
      <c r="C188" s="47" t="n"/>
      <c r="D188" s="50" t="n"/>
      <c r="E188" s="50" t="n"/>
      <c r="F188" s="48" t="n"/>
      <c r="G188" s="47" t="n"/>
      <c r="H188" s="47" t="n"/>
      <c r="I188" s="47" t="n"/>
      <c r="J188" s="47" t="n"/>
      <c r="K188" s="47" t="n"/>
      <c r="L188" s="47" t="n"/>
      <c r="M188" s="50" t="n"/>
      <c r="N188" s="50" t="n"/>
      <c r="O188" s="50" t="n"/>
      <c r="P188" s="48">
        <f>IF($F188="","",IF($J188="Yes",$F188+1,IF($G188="No",$F188+2,IF(N($I188)&gt;2,$F188+3,IF(N($I188)&gt;0,$F188+5,$F188+7)))))</f>
        <v/>
      </c>
      <c r="Q188" s="48">
        <f>IF($P188="","",IF($J188="Yes",$P188+3,IF($G188="No",$P188+5,IF(N($I188)&gt;0,$P188+7,$P188+14))))</f>
        <v/>
      </c>
      <c r="R188" s="48">
        <f>IF($Q188="","",IF($J188="Yes",$Q188+7,IF($G188="No",$Q188+14,$Q188+30)))</f>
        <v/>
      </c>
      <c r="S188" s="47" t="n"/>
      <c r="T188" s="50" t="n"/>
      <c r="U188" s="47">
        <f>IF($F188="","",MIN(24,MAX(1,ROUNDUP(($F188-DayPlan!$C$2+1)/7,0))))</f>
        <v/>
      </c>
      <c r="V188" s="47">
        <f>IF($A188=""," ",4*($J188="Yes")+3*($G188="No")+2*(N($I188)&gt;0)+1*(AND(ISNUMBER($H188),$H188&gt;45))+3*(AND(ISNUMBER($P188),$P188&lt;=TODAY()))-6*($S188="Yes")+(750-ROW())/100000)</f>
        <v/>
      </c>
      <c r="W188" s="47">
        <f>IF(OR($A188="",NOT(ISNUMBER($P188))),"",INT($P188-TODAY()))</f>
        <v/>
      </c>
      <c r="X188" s="47" t="n"/>
    </row>
    <row r="189">
      <c r="A189" s="50" t="n"/>
      <c r="B189" s="47" t="n"/>
      <c r="C189" s="47" t="n"/>
      <c r="D189" s="50" t="n"/>
      <c r="E189" s="50" t="n"/>
      <c r="F189" s="48" t="n"/>
      <c r="G189" s="47" t="n"/>
      <c r="H189" s="47" t="n"/>
      <c r="I189" s="47" t="n"/>
      <c r="J189" s="47" t="n"/>
      <c r="K189" s="47" t="n"/>
      <c r="L189" s="47" t="n"/>
      <c r="M189" s="50" t="n"/>
      <c r="N189" s="50" t="n"/>
      <c r="O189" s="50" t="n"/>
      <c r="P189" s="48">
        <f>IF($F189="","",IF($J189="Yes",$F189+1,IF($G189="No",$F189+2,IF(N($I189)&gt;2,$F189+3,IF(N($I189)&gt;0,$F189+5,$F189+7)))))</f>
        <v/>
      </c>
      <c r="Q189" s="48">
        <f>IF($P189="","",IF($J189="Yes",$P189+3,IF($G189="No",$P189+5,IF(N($I189)&gt;0,$P189+7,$P189+14))))</f>
        <v/>
      </c>
      <c r="R189" s="48">
        <f>IF($Q189="","",IF($J189="Yes",$Q189+7,IF($G189="No",$Q189+14,$Q189+30)))</f>
        <v/>
      </c>
      <c r="S189" s="47" t="n"/>
      <c r="T189" s="50" t="n"/>
      <c r="U189" s="47">
        <f>IF($F189="","",MIN(24,MAX(1,ROUNDUP(($F189-DayPlan!$C$2+1)/7,0))))</f>
        <v/>
      </c>
      <c r="V189" s="47">
        <f>IF($A189=""," ",4*($J189="Yes")+3*($G189="No")+2*(N($I189)&gt;0)+1*(AND(ISNUMBER($H189),$H189&gt;45))+3*(AND(ISNUMBER($P189),$P189&lt;=TODAY()))-6*($S189="Yes")+(750-ROW())/100000)</f>
        <v/>
      </c>
      <c r="W189" s="47">
        <f>IF(OR($A189="",NOT(ISNUMBER($P189))),"",INT($P189-TODAY()))</f>
        <v/>
      </c>
      <c r="X189" s="47" t="n"/>
    </row>
    <row r="190">
      <c r="A190" s="50" t="n"/>
      <c r="B190" s="47" t="n"/>
      <c r="C190" s="47" t="n"/>
      <c r="D190" s="50" t="n"/>
      <c r="E190" s="50" t="n"/>
      <c r="F190" s="48" t="n"/>
      <c r="G190" s="47" t="n"/>
      <c r="H190" s="47" t="n"/>
      <c r="I190" s="47" t="n"/>
      <c r="J190" s="47" t="n"/>
      <c r="K190" s="47" t="n"/>
      <c r="L190" s="47" t="n"/>
      <c r="M190" s="50" t="n"/>
      <c r="N190" s="50" t="n"/>
      <c r="O190" s="50" t="n"/>
      <c r="P190" s="48">
        <f>IF($F190="","",IF($J190="Yes",$F190+1,IF($G190="No",$F190+2,IF(N($I190)&gt;2,$F190+3,IF(N($I190)&gt;0,$F190+5,$F190+7)))))</f>
        <v/>
      </c>
      <c r="Q190" s="48">
        <f>IF($P190="","",IF($J190="Yes",$P190+3,IF($G190="No",$P190+5,IF(N($I190)&gt;0,$P190+7,$P190+14))))</f>
        <v/>
      </c>
      <c r="R190" s="48">
        <f>IF($Q190="","",IF($J190="Yes",$Q190+7,IF($G190="No",$Q190+14,$Q190+30)))</f>
        <v/>
      </c>
      <c r="S190" s="47" t="n"/>
      <c r="T190" s="50" t="n"/>
      <c r="U190" s="47">
        <f>IF($F190="","",MIN(24,MAX(1,ROUNDUP(($F190-DayPlan!$C$2+1)/7,0))))</f>
        <v/>
      </c>
      <c r="V190" s="47">
        <f>IF($A190=""," ",4*($J190="Yes")+3*($G190="No")+2*(N($I190)&gt;0)+1*(AND(ISNUMBER($H190),$H190&gt;45))+3*(AND(ISNUMBER($P190),$P190&lt;=TODAY()))-6*($S190="Yes")+(750-ROW())/100000)</f>
        <v/>
      </c>
      <c r="W190" s="47">
        <f>IF(OR($A190="",NOT(ISNUMBER($P190))),"",INT($P190-TODAY()))</f>
        <v/>
      </c>
      <c r="X190" s="47" t="n"/>
    </row>
    <row r="191">
      <c r="A191" s="50" t="n"/>
      <c r="B191" s="47" t="n"/>
      <c r="C191" s="47" t="n"/>
      <c r="D191" s="50" t="n"/>
      <c r="E191" s="50" t="n"/>
      <c r="F191" s="48" t="n"/>
      <c r="G191" s="47" t="n"/>
      <c r="H191" s="47" t="n"/>
      <c r="I191" s="47" t="n"/>
      <c r="J191" s="47" t="n"/>
      <c r="K191" s="47" t="n"/>
      <c r="L191" s="47" t="n"/>
      <c r="M191" s="50" t="n"/>
      <c r="N191" s="50" t="n"/>
      <c r="O191" s="50" t="n"/>
      <c r="P191" s="48">
        <f>IF($F191="","",IF($J191="Yes",$F191+1,IF($G191="No",$F191+2,IF(N($I191)&gt;2,$F191+3,IF(N($I191)&gt;0,$F191+5,$F191+7)))))</f>
        <v/>
      </c>
      <c r="Q191" s="48">
        <f>IF($P191="","",IF($J191="Yes",$P191+3,IF($G191="No",$P191+5,IF(N($I191)&gt;0,$P191+7,$P191+14))))</f>
        <v/>
      </c>
      <c r="R191" s="48">
        <f>IF($Q191="","",IF($J191="Yes",$Q191+7,IF($G191="No",$Q191+14,$Q191+30)))</f>
        <v/>
      </c>
      <c r="S191" s="47" t="n"/>
      <c r="T191" s="50" t="n"/>
      <c r="U191" s="47">
        <f>IF($F191="","",MIN(24,MAX(1,ROUNDUP(($F191-DayPlan!$C$2+1)/7,0))))</f>
        <v/>
      </c>
      <c r="V191" s="47">
        <f>IF($A191=""," ",4*($J191="Yes")+3*($G191="No")+2*(N($I191)&gt;0)+1*(AND(ISNUMBER($H191),$H191&gt;45))+3*(AND(ISNUMBER($P191),$P191&lt;=TODAY()))-6*($S191="Yes")+(750-ROW())/100000)</f>
        <v/>
      </c>
      <c r="W191" s="47">
        <f>IF(OR($A191="",NOT(ISNUMBER($P191))),"",INT($P191-TODAY()))</f>
        <v/>
      </c>
      <c r="X191" s="47" t="n"/>
    </row>
    <row r="192">
      <c r="A192" s="50" t="n"/>
      <c r="B192" s="47" t="n"/>
      <c r="C192" s="47" t="n"/>
      <c r="D192" s="50" t="n"/>
      <c r="E192" s="50" t="n"/>
      <c r="F192" s="48" t="n"/>
      <c r="G192" s="47" t="n"/>
      <c r="H192" s="47" t="n"/>
      <c r="I192" s="47" t="n"/>
      <c r="J192" s="47" t="n"/>
      <c r="K192" s="47" t="n"/>
      <c r="L192" s="47" t="n"/>
      <c r="M192" s="50" t="n"/>
      <c r="N192" s="50" t="n"/>
      <c r="O192" s="50" t="n"/>
      <c r="P192" s="48">
        <f>IF($F192="","",IF($J192="Yes",$F192+1,IF($G192="No",$F192+2,IF(N($I192)&gt;2,$F192+3,IF(N($I192)&gt;0,$F192+5,$F192+7)))))</f>
        <v/>
      </c>
      <c r="Q192" s="48">
        <f>IF($P192="","",IF($J192="Yes",$P192+3,IF($G192="No",$P192+5,IF(N($I192)&gt;0,$P192+7,$P192+14))))</f>
        <v/>
      </c>
      <c r="R192" s="48">
        <f>IF($Q192="","",IF($J192="Yes",$Q192+7,IF($G192="No",$Q192+14,$Q192+30)))</f>
        <v/>
      </c>
      <c r="S192" s="47" t="n"/>
      <c r="T192" s="50" t="n"/>
      <c r="U192" s="47">
        <f>IF($F192="","",MIN(24,MAX(1,ROUNDUP(($F192-DayPlan!$C$2+1)/7,0))))</f>
        <v/>
      </c>
      <c r="V192" s="47">
        <f>IF($A192=""," ",4*($J192="Yes")+3*($G192="No")+2*(N($I192)&gt;0)+1*(AND(ISNUMBER($H192),$H192&gt;45))+3*(AND(ISNUMBER($P192),$P192&lt;=TODAY()))-6*($S192="Yes")+(750-ROW())/100000)</f>
        <v/>
      </c>
      <c r="W192" s="47">
        <f>IF(OR($A192="",NOT(ISNUMBER($P192))),"",INT($P192-TODAY()))</f>
        <v/>
      </c>
      <c r="X192" s="47" t="n"/>
    </row>
    <row r="193">
      <c r="A193" s="50" t="n"/>
      <c r="B193" s="47" t="n"/>
      <c r="C193" s="47" t="n"/>
      <c r="D193" s="50" t="n"/>
      <c r="E193" s="50" t="n"/>
      <c r="F193" s="48" t="n"/>
      <c r="G193" s="47" t="n"/>
      <c r="H193" s="47" t="n"/>
      <c r="I193" s="47" t="n"/>
      <c r="J193" s="47" t="n"/>
      <c r="K193" s="47" t="n"/>
      <c r="L193" s="47" t="n"/>
      <c r="M193" s="50" t="n"/>
      <c r="N193" s="50" t="n"/>
      <c r="O193" s="50" t="n"/>
      <c r="P193" s="48">
        <f>IF($F193="","",IF($J193="Yes",$F193+1,IF($G193="No",$F193+2,IF(N($I193)&gt;2,$F193+3,IF(N($I193)&gt;0,$F193+5,$F193+7)))))</f>
        <v/>
      </c>
      <c r="Q193" s="48">
        <f>IF($P193="","",IF($J193="Yes",$P193+3,IF($G193="No",$P193+5,IF(N($I193)&gt;0,$P193+7,$P193+14))))</f>
        <v/>
      </c>
      <c r="R193" s="48">
        <f>IF($Q193="","",IF($J193="Yes",$Q193+7,IF($G193="No",$Q193+14,$Q193+30)))</f>
        <v/>
      </c>
      <c r="S193" s="47" t="n"/>
      <c r="T193" s="50" t="n"/>
      <c r="U193" s="47">
        <f>IF($F193="","",MIN(24,MAX(1,ROUNDUP(($F193-DayPlan!$C$2+1)/7,0))))</f>
        <v/>
      </c>
      <c r="V193" s="47">
        <f>IF($A193=""," ",4*($J193="Yes")+3*($G193="No")+2*(N($I193)&gt;0)+1*(AND(ISNUMBER($H193),$H193&gt;45))+3*(AND(ISNUMBER($P193),$P193&lt;=TODAY()))-6*($S193="Yes")+(750-ROW())/100000)</f>
        <v/>
      </c>
      <c r="W193" s="47">
        <f>IF(OR($A193="",NOT(ISNUMBER($P193))),"",INT($P193-TODAY()))</f>
        <v/>
      </c>
      <c r="X193" s="47" t="n"/>
    </row>
    <row r="194">
      <c r="A194" s="50" t="n"/>
      <c r="B194" s="47" t="n"/>
      <c r="C194" s="47" t="n"/>
      <c r="D194" s="50" t="n"/>
      <c r="E194" s="50" t="n"/>
      <c r="F194" s="48" t="n"/>
      <c r="G194" s="47" t="n"/>
      <c r="H194" s="47" t="n"/>
      <c r="I194" s="47" t="n"/>
      <c r="J194" s="47" t="n"/>
      <c r="K194" s="47" t="n"/>
      <c r="L194" s="47" t="n"/>
      <c r="M194" s="50" t="n"/>
      <c r="N194" s="50" t="n"/>
      <c r="O194" s="50" t="n"/>
      <c r="P194" s="48">
        <f>IF($F194="","",IF($J194="Yes",$F194+1,IF($G194="No",$F194+2,IF(N($I194)&gt;2,$F194+3,IF(N($I194)&gt;0,$F194+5,$F194+7)))))</f>
        <v/>
      </c>
      <c r="Q194" s="48">
        <f>IF($P194="","",IF($J194="Yes",$P194+3,IF($G194="No",$P194+5,IF(N($I194)&gt;0,$P194+7,$P194+14))))</f>
        <v/>
      </c>
      <c r="R194" s="48">
        <f>IF($Q194="","",IF($J194="Yes",$Q194+7,IF($G194="No",$Q194+14,$Q194+30)))</f>
        <v/>
      </c>
      <c r="S194" s="47" t="n"/>
      <c r="T194" s="50" t="n"/>
      <c r="U194" s="47">
        <f>IF($F194="","",MIN(24,MAX(1,ROUNDUP(($F194-DayPlan!$C$2+1)/7,0))))</f>
        <v/>
      </c>
      <c r="V194" s="47">
        <f>IF($A194=""," ",4*($J194="Yes")+3*($G194="No")+2*(N($I194)&gt;0)+1*(AND(ISNUMBER($H194),$H194&gt;45))+3*(AND(ISNUMBER($P194),$P194&lt;=TODAY()))-6*($S194="Yes")+(750-ROW())/100000)</f>
        <v/>
      </c>
      <c r="W194" s="47">
        <f>IF(OR($A194="",NOT(ISNUMBER($P194))),"",INT($P194-TODAY()))</f>
        <v/>
      </c>
      <c r="X194" s="47" t="n"/>
    </row>
    <row r="195">
      <c r="A195" s="50" t="n"/>
      <c r="B195" s="47" t="n"/>
      <c r="C195" s="47" t="n"/>
      <c r="D195" s="50" t="n"/>
      <c r="E195" s="50" t="n"/>
      <c r="F195" s="48" t="n"/>
      <c r="G195" s="47" t="n"/>
      <c r="H195" s="47" t="n"/>
      <c r="I195" s="47" t="n"/>
      <c r="J195" s="47" t="n"/>
      <c r="K195" s="47" t="n"/>
      <c r="L195" s="47" t="n"/>
      <c r="M195" s="50" t="n"/>
      <c r="N195" s="50" t="n"/>
      <c r="O195" s="50" t="n"/>
      <c r="P195" s="48">
        <f>IF($F195="","",IF($J195="Yes",$F195+1,IF($G195="No",$F195+2,IF(N($I195)&gt;2,$F195+3,IF(N($I195)&gt;0,$F195+5,$F195+7)))))</f>
        <v/>
      </c>
      <c r="Q195" s="48">
        <f>IF($P195="","",IF($J195="Yes",$P195+3,IF($G195="No",$P195+5,IF(N($I195)&gt;0,$P195+7,$P195+14))))</f>
        <v/>
      </c>
      <c r="R195" s="48">
        <f>IF($Q195="","",IF($J195="Yes",$Q195+7,IF($G195="No",$Q195+14,$Q195+30)))</f>
        <v/>
      </c>
      <c r="S195" s="47" t="n"/>
      <c r="T195" s="50" t="n"/>
      <c r="U195" s="47">
        <f>IF($F195="","",MIN(24,MAX(1,ROUNDUP(($F195-DayPlan!$C$2+1)/7,0))))</f>
        <v/>
      </c>
      <c r="V195" s="47">
        <f>IF($A195=""," ",4*($J195="Yes")+3*($G195="No")+2*(N($I195)&gt;0)+1*(AND(ISNUMBER($H195),$H195&gt;45))+3*(AND(ISNUMBER($P195),$P195&lt;=TODAY()))-6*($S195="Yes")+(750-ROW())/100000)</f>
        <v/>
      </c>
      <c r="W195" s="47">
        <f>IF(OR($A195="",NOT(ISNUMBER($P195))),"",INT($P195-TODAY()))</f>
        <v/>
      </c>
      <c r="X195" s="47" t="n"/>
    </row>
    <row r="196">
      <c r="A196" s="50" t="n"/>
      <c r="B196" s="47" t="n"/>
      <c r="C196" s="47" t="n"/>
      <c r="D196" s="50" t="n"/>
      <c r="E196" s="50" t="n"/>
      <c r="F196" s="48" t="n"/>
      <c r="G196" s="47" t="n"/>
      <c r="H196" s="47" t="n"/>
      <c r="I196" s="47" t="n"/>
      <c r="J196" s="47" t="n"/>
      <c r="K196" s="47" t="n"/>
      <c r="L196" s="47" t="n"/>
      <c r="M196" s="50" t="n"/>
      <c r="N196" s="50" t="n"/>
      <c r="O196" s="50" t="n"/>
      <c r="P196" s="48">
        <f>IF($F196="","",IF($J196="Yes",$F196+1,IF($G196="No",$F196+2,IF(N($I196)&gt;2,$F196+3,IF(N($I196)&gt;0,$F196+5,$F196+7)))))</f>
        <v/>
      </c>
      <c r="Q196" s="48">
        <f>IF($P196="","",IF($J196="Yes",$P196+3,IF($G196="No",$P196+5,IF(N($I196)&gt;0,$P196+7,$P196+14))))</f>
        <v/>
      </c>
      <c r="R196" s="48">
        <f>IF($Q196="","",IF($J196="Yes",$Q196+7,IF($G196="No",$Q196+14,$Q196+30)))</f>
        <v/>
      </c>
      <c r="S196" s="47" t="n"/>
      <c r="T196" s="50" t="n"/>
      <c r="U196" s="47">
        <f>IF($F196="","",MIN(24,MAX(1,ROUNDUP(($F196-DayPlan!$C$2+1)/7,0))))</f>
        <v/>
      </c>
      <c r="V196" s="47">
        <f>IF($A196=""," ",4*($J196="Yes")+3*($G196="No")+2*(N($I196)&gt;0)+1*(AND(ISNUMBER($H196),$H196&gt;45))+3*(AND(ISNUMBER($P196),$P196&lt;=TODAY()))-6*($S196="Yes")+(750-ROW())/100000)</f>
        <v/>
      </c>
      <c r="W196" s="47">
        <f>IF(OR($A196="",NOT(ISNUMBER($P196))),"",INT($P196-TODAY()))</f>
        <v/>
      </c>
      <c r="X196" s="47" t="n"/>
    </row>
    <row r="197">
      <c r="A197" s="50" t="n"/>
      <c r="B197" s="47" t="n"/>
      <c r="C197" s="47" t="n"/>
      <c r="D197" s="50" t="n"/>
      <c r="E197" s="50" t="n"/>
      <c r="F197" s="48" t="n"/>
      <c r="G197" s="47" t="n"/>
      <c r="H197" s="47" t="n"/>
      <c r="I197" s="47" t="n"/>
      <c r="J197" s="47" t="n"/>
      <c r="K197" s="47" t="n"/>
      <c r="L197" s="47" t="n"/>
      <c r="M197" s="50" t="n"/>
      <c r="N197" s="50" t="n"/>
      <c r="O197" s="50" t="n"/>
      <c r="P197" s="48">
        <f>IF($F197="","",IF($J197="Yes",$F197+1,IF($G197="No",$F197+2,IF(N($I197)&gt;2,$F197+3,IF(N($I197)&gt;0,$F197+5,$F197+7)))))</f>
        <v/>
      </c>
      <c r="Q197" s="48">
        <f>IF($P197="","",IF($J197="Yes",$P197+3,IF($G197="No",$P197+5,IF(N($I197)&gt;0,$P197+7,$P197+14))))</f>
        <v/>
      </c>
      <c r="R197" s="48">
        <f>IF($Q197="","",IF($J197="Yes",$Q197+7,IF($G197="No",$Q197+14,$Q197+30)))</f>
        <v/>
      </c>
      <c r="S197" s="47" t="n"/>
      <c r="T197" s="50" t="n"/>
      <c r="U197" s="47">
        <f>IF($F197="","",MIN(24,MAX(1,ROUNDUP(($F197-DayPlan!$C$2+1)/7,0))))</f>
        <v/>
      </c>
      <c r="V197" s="47">
        <f>IF($A197=""," ",4*($J197="Yes")+3*($G197="No")+2*(N($I197)&gt;0)+1*(AND(ISNUMBER($H197),$H197&gt;45))+3*(AND(ISNUMBER($P197),$P197&lt;=TODAY()))-6*($S197="Yes")+(750-ROW())/100000)</f>
        <v/>
      </c>
      <c r="W197" s="47">
        <f>IF(OR($A197="",NOT(ISNUMBER($P197))),"",INT($P197-TODAY()))</f>
        <v/>
      </c>
      <c r="X197" s="47" t="n"/>
    </row>
    <row r="198">
      <c r="A198" s="50" t="n"/>
      <c r="B198" s="47" t="n"/>
      <c r="C198" s="47" t="n"/>
      <c r="D198" s="50" t="n"/>
      <c r="E198" s="50" t="n"/>
      <c r="F198" s="48" t="n"/>
      <c r="G198" s="47" t="n"/>
      <c r="H198" s="47" t="n"/>
      <c r="I198" s="47" t="n"/>
      <c r="J198" s="47" t="n"/>
      <c r="K198" s="47" t="n"/>
      <c r="L198" s="47" t="n"/>
      <c r="M198" s="50" t="n"/>
      <c r="N198" s="50" t="n"/>
      <c r="O198" s="50" t="n"/>
      <c r="P198" s="48">
        <f>IF($F198="","",IF($J198="Yes",$F198+1,IF($G198="No",$F198+2,IF(N($I198)&gt;2,$F198+3,IF(N($I198)&gt;0,$F198+5,$F198+7)))))</f>
        <v/>
      </c>
      <c r="Q198" s="48">
        <f>IF($P198="","",IF($J198="Yes",$P198+3,IF($G198="No",$P198+5,IF(N($I198)&gt;0,$P198+7,$P198+14))))</f>
        <v/>
      </c>
      <c r="R198" s="48">
        <f>IF($Q198="","",IF($J198="Yes",$Q198+7,IF($G198="No",$Q198+14,$Q198+30)))</f>
        <v/>
      </c>
      <c r="S198" s="47" t="n"/>
      <c r="T198" s="50" t="n"/>
      <c r="U198" s="47">
        <f>IF($F198="","",MIN(24,MAX(1,ROUNDUP(($F198-DayPlan!$C$2+1)/7,0))))</f>
        <v/>
      </c>
      <c r="V198" s="47">
        <f>IF($A198=""," ",4*($J198="Yes")+3*($G198="No")+2*(N($I198)&gt;0)+1*(AND(ISNUMBER($H198),$H198&gt;45))+3*(AND(ISNUMBER($P198),$P198&lt;=TODAY()))-6*($S198="Yes")+(750-ROW())/100000)</f>
        <v/>
      </c>
      <c r="W198" s="47">
        <f>IF(OR($A198="",NOT(ISNUMBER($P198))),"",INT($P198-TODAY()))</f>
        <v/>
      </c>
      <c r="X198" s="47" t="n"/>
    </row>
    <row r="199">
      <c r="A199" s="50" t="n"/>
      <c r="B199" s="47" t="n"/>
      <c r="C199" s="47" t="n"/>
      <c r="D199" s="50" t="n"/>
      <c r="E199" s="50" t="n"/>
      <c r="F199" s="48" t="n"/>
      <c r="G199" s="47" t="n"/>
      <c r="H199" s="47" t="n"/>
      <c r="I199" s="47" t="n"/>
      <c r="J199" s="47" t="n"/>
      <c r="K199" s="47" t="n"/>
      <c r="L199" s="47" t="n"/>
      <c r="M199" s="50" t="n"/>
      <c r="N199" s="50" t="n"/>
      <c r="O199" s="50" t="n"/>
      <c r="P199" s="48">
        <f>IF($F199="","",IF($J199="Yes",$F199+1,IF($G199="No",$F199+2,IF(N($I199)&gt;2,$F199+3,IF(N($I199)&gt;0,$F199+5,$F199+7)))))</f>
        <v/>
      </c>
      <c r="Q199" s="48">
        <f>IF($P199="","",IF($J199="Yes",$P199+3,IF($G199="No",$P199+5,IF(N($I199)&gt;0,$P199+7,$P199+14))))</f>
        <v/>
      </c>
      <c r="R199" s="48">
        <f>IF($Q199="","",IF($J199="Yes",$Q199+7,IF($G199="No",$Q199+14,$Q199+30)))</f>
        <v/>
      </c>
      <c r="S199" s="47" t="n"/>
      <c r="T199" s="50" t="n"/>
      <c r="U199" s="47">
        <f>IF($F199="","",MIN(24,MAX(1,ROUNDUP(($F199-DayPlan!$C$2+1)/7,0))))</f>
        <v/>
      </c>
      <c r="V199" s="47">
        <f>IF($A199=""," ",4*($J199="Yes")+3*($G199="No")+2*(N($I199)&gt;0)+1*(AND(ISNUMBER($H199),$H199&gt;45))+3*(AND(ISNUMBER($P199),$P199&lt;=TODAY()))-6*($S199="Yes")+(750-ROW())/100000)</f>
        <v/>
      </c>
      <c r="W199" s="47">
        <f>IF(OR($A199="",NOT(ISNUMBER($P199))),"",INT($P199-TODAY()))</f>
        <v/>
      </c>
      <c r="X199" s="47" t="n"/>
    </row>
    <row r="200">
      <c r="A200" s="50" t="n"/>
      <c r="B200" s="47" t="n"/>
      <c r="C200" s="47" t="n"/>
      <c r="D200" s="50" t="n"/>
      <c r="E200" s="50" t="n"/>
      <c r="F200" s="48" t="n"/>
      <c r="G200" s="47" t="n"/>
      <c r="H200" s="47" t="n"/>
      <c r="I200" s="47" t="n"/>
      <c r="J200" s="47" t="n"/>
      <c r="K200" s="47" t="n"/>
      <c r="L200" s="47" t="n"/>
      <c r="M200" s="50" t="n"/>
      <c r="N200" s="50" t="n"/>
      <c r="O200" s="50" t="n"/>
      <c r="P200" s="48">
        <f>IF($F200="","",IF($J200="Yes",$F200+1,IF($G200="No",$F200+2,IF(N($I200)&gt;2,$F200+3,IF(N($I200)&gt;0,$F200+5,$F200+7)))))</f>
        <v/>
      </c>
      <c r="Q200" s="48">
        <f>IF($P200="","",IF($J200="Yes",$P200+3,IF($G200="No",$P200+5,IF(N($I200)&gt;0,$P200+7,$P200+14))))</f>
        <v/>
      </c>
      <c r="R200" s="48">
        <f>IF($Q200="","",IF($J200="Yes",$Q200+7,IF($G200="No",$Q200+14,$Q200+30)))</f>
        <v/>
      </c>
      <c r="S200" s="47" t="n"/>
      <c r="T200" s="50" t="n"/>
      <c r="U200" s="47">
        <f>IF($F200="","",MIN(24,MAX(1,ROUNDUP(($F200-DayPlan!$C$2+1)/7,0))))</f>
        <v/>
      </c>
      <c r="V200" s="47">
        <f>IF($A200=""," ",4*($J200="Yes")+3*($G200="No")+2*(N($I200)&gt;0)+1*(AND(ISNUMBER($H200),$H200&gt;45))+3*(AND(ISNUMBER($P200),$P200&lt;=TODAY()))-6*($S200="Yes")+(750-ROW())/100000)</f>
        <v/>
      </c>
      <c r="W200" s="47">
        <f>IF(OR($A200="",NOT(ISNUMBER($P200))),"",INT($P200-TODAY()))</f>
        <v/>
      </c>
      <c r="X200" s="47" t="n"/>
    </row>
    <row r="201">
      <c r="A201" s="50" t="n"/>
      <c r="B201" s="47" t="n"/>
      <c r="C201" s="47" t="n"/>
      <c r="D201" s="50" t="n"/>
      <c r="E201" s="50" t="n"/>
      <c r="F201" s="48" t="n"/>
      <c r="G201" s="47" t="n"/>
      <c r="H201" s="47" t="n"/>
      <c r="I201" s="47" t="n"/>
      <c r="J201" s="47" t="n"/>
      <c r="K201" s="47" t="n"/>
      <c r="L201" s="47" t="n"/>
      <c r="M201" s="50" t="n"/>
      <c r="N201" s="50" t="n"/>
      <c r="O201" s="50" t="n"/>
      <c r="P201" s="48">
        <f>IF($F201="","",IF($J201="Yes",$F201+1,IF($G201="No",$F201+2,IF(N($I201)&gt;2,$F201+3,IF(N($I201)&gt;0,$F201+5,$F201+7)))))</f>
        <v/>
      </c>
      <c r="Q201" s="48">
        <f>IF($P201="","",IF($J201="Yes",$P201+3,IF($G201="No",$P201+5,IF(N($I201)&gt;0,$P201+7,$P201+14))))</f>
        <v/>
      </c>
      <c r="R201" s="48">
        <f>IF($Q201="","",IF($J201="Yes",$Q201+7,IF($G201="No",$Q201+14,$Q201+30)))</f>
        <v/>
      </c>
      <c r="S201" s="47" t="n"/>
      <c r="T201" s="50" t="n"/>
      <c r="U201" s="47">
        <f>IF($F201="","",MIN(24,MAX(1,ROUNDUP(($F201-DayPlan!$C$2+1)/7,0))))</f>
        <v/>
      </c>
      <c r="V201" s="47">
        <f>IF($A201=""," ",4*($J201="Yes")+3*($G201="No")+2*(N($I201)&gt;0)+1*(AND(ISNUMBER($H201),$H201&gt;45))+3*(AND(ISNUMBER($P201),$P201&lt;=TODAY()))-6*($S201="Yes")+(750-ROW())/100000)</f>
        <v/>
      </c>
      <c r="W201" s="47">
        <f>IF(OR($A201="",NOT(ISNUMBER($P201))),"",INT($P201-TODAY()))</f>
        <v/>
      </c>
      <c r="X201" s="47" t="n"/>
    </row>
    <row r="202">
      <c r="A202" s="50" t="n"/>
      <c r="B202" s="47" t="n"/>
      <c r="C202" s="47" t="n"/>
      <c r="D202" s="50" t="n"/>
      <c r="E202" s="50" t="n"/>
      <c r="F202" s="48" t="n"/>
      <c r="G202" s="47" t="n"/>
      <c r="H202" s="47" t="n"/>
      <c r="I202" s="47" t="n"/>
      <c r="J202" s="47" t="n"/>
      <c r="K202" s="47" t="n"/>
      <c r="L202" s="47" t="n"/>
      <c r="M202" s="50" t="n"/>
      <c r="N202" s="50" t="n"/>
      <c r="O202" s="50" t="n"/>
      <c r="P202" s="48">
        <f>IF($F202="","",IF($J202="Yes",$F202+1,IF($G202="No",$F202+2,IF(N($I202)&gt;2,$F202+3,IF(N($I202)&gt;0,$F202+5,$F202+7)))))</f>
        <v/>
      </c>
      <c r="Q202" s="48">
        <f>IF($P202="","",IF($J202="Yes",$P202+3,IF($G202="No",$P202+5,IF(N($I202)&gt;0,$P202+7,$P202+14))))</f>
        <v/>
      </c>
      <c r="R202" s="48">
        <f>IF($Q202="","",IF($J202="Yes",$Q202+7,IF($G202="No",$Q202+14,$Q202+30)))</f>
        <v/>
      </c>
      <c r="S202" s="47" t="n"/>
      <c r="T202" s="50" t="n"/>
      <c r="U202" s="47">
        <f>IF($F202="","",MIN(24,MAX(1,ROUNDUP(($F202-DayPlan!$C$2+1)/7,0))))</f>
        <v/>
      </c>
      <c r="V202" s="47">
        <f>IF($A202=""," ",4*($J202="Yes")+3*($G202="No")+2*(N($I202)&gt;0)+1*(AND(ISNUMBER($H202),$H202&gt;45))+3*(AND(ISNUMBER($P202),$P202&lt;=TODAY()))-6*($S202="Yes")+(750-ROW())/100000)</f>
        <v/>
      </c>
      <c r="W202" s="47">
        <f>IF(OR($A202="",NOT(ISNUMBER($P202))),"",INT($P202-TODAY()))</f>
        <v/>
      </c>
      <c r="X202" s="47" t="n"/>
    </row>
    <row r="203">
      <c r="A203" s="50" t="n"/>
      <c r="B203" s="47" t="n"/>
      <c r="C203" s="47" t="n"/>
      <c r="D203" s="50" t="n"/>
      <c r="E203" s="50" t="n"/>
      <c r="F203" s="48" t="n"/>
      <c r="G203" s="47" t="n"/>
      <c r="H203" s="47" t="n"/>
      <c r="I203" s="47" t="n"/>
      <c r="J203" s="47" t="n"/>
      <c r="K203" s="47" t="n"/>
      <c r="L203" s="47" t="n"/>
      <c r="M203" s="50" t="n"/>
      <c r="N203" s="50" t="n"/>
      <c r="O203" s="50" t="n"/>
      <c r="P203" s="48">
        <f>IF($F203="","",IF($J203="Yes",$F203+1,IF($G203="No",$F203+2,IF(N($I203)&gt;2,$F203+3,IF(N($I203)&gt;0,$F203+5,$F203+7)))))</f>
        <v/>
      </c>
      <c r="Q203" s="48">
        <f>IF($P203="","",IF($J203="Yes",$P203+3,IF($G203="No",$P203+5,IF(N($I203)&gt;0,$P203+7,$P203+14))))</f>
        <v/>
      </c>
      <c r="R203" s="48">
        <f>IF($Q203="","",IF($J203="Yes",$Q203+7,IF($G203="No",$Q203+14,$Q203+30)))</f>
        <v/>
      </c>
      <c r="S203" s="47" t="n"/>
      <c r="T203" s="50" t="n"/>
      <c r="U203" s="47">
        <f>IF($F203="","",MIN(24,MAX(1,ROUNDUP(($F203-DayPlan!$C$2+1)/7,0))))</f>
        <v/>
      </c>
      <c r="V203" s="47">
        <f>IF($A203=""," ",4*($J203="Yes")+3*($G203="No")+2*(N($I203)&gt;0)+1*(AND(ISNUMBER($H203),$H203&gt;45))+3*(AND(ISNUMBER($P203),$P203&lt;=TODAY()))-6*($S203="Yes")+(750-ROW())/100000)</f>
        <v/>
      </c>
      <c r="W203" s="47">
        <f>IF(OR($A203="",NOT(ISNUMBER($P203))),"",INT($P203-TODAY()))</f>
        <v/>
      </c>
      <c r="X203" s="47" t="n"/>
    </row>
    <row r="204">
      <c r="A204" s="50" t="n"/>
      <c r="B204" s="47" t="n"/>
      <c r="C204" s="47" t="n"/>
      <c r="D204" s="50" t="n"/>
      <c r="E204" s="50" t="n"/>
      <c r="F204" s="48" t="n"/>
      <c r="G204" s="47" t="n"/>
      <c r="H204" s="47" t="n"/>
      <c r="I204" s="47" t="n"/>
      <c r="J204" s="47" t="n"/>
      <c r="K204" s="47" t="n"/>
      <c r="L204" s="47" t="n"/>
      <c r="M204" s="50" t="n"/>
      <c r="N204" s="50" t="n"/>
      <c r="O204" s="50" t="n"/>
      <c r="P204" s="48">
        <f>IF($F204="","",IF($J204="Yes",$F204+1,IF($G204="No",$F204+2,IF(N($I204)&gt;2,$F204+3,IF(N($I204)&gt;0,$F204+5,$F204+7)))))</f>
        <v/>
      </c>
      <c r="Q204" s="48">
        <f>IF($P204="","",IF($J204="Yes",$P204+3,IF($G204="No",$P204+5,IF(N($I204)&gt;0,$P204+7,$P204+14))))</f>
        <v/>
      </c>
      <c r="R204" s="48">
        <f>IF($Q204="","",IF($J204="Yes",$Q204+7,IF($G204="No",$Q204+14,$Q204+30)))</f>
        <v/>
      </c>
      <c r="S204" s="47" t="n"/>
      <c r="T204" s="50" t="n"/>
      <c r="U204" s="47">
        <f>IF($F204="","",MIN(24,MAX(1,ROUNDUP(($F204-DayPlan!$C$2+1)/7,0))))</f>
        <v/>
      </c>
      <c r="V204" s="47">
        <f>IF($A204=""," ",4*($J204="Yes")+3*($G204="No")+2*(N($I204)&gt;0)+1*(AND(ISNUMBER($H204),$H204&gt;45))+3*(AND(ISNUMBER($P204),$P204&lt;=TODAY()))-6*($S204="Yes")+(750-ROW())/100000)</f>
        <v/>
      </c>
      <c r="W204" s="47">
        <f>IF(OR($A204="",NOT(ISNUMBER($P204))),"",INT($P204-TODAY()))</f>
        <v/>
      </c>
      <c r="X204" s="47" t="n"/>
    </row>
    <row r="205">
      <c r="A205" s="50" t="n"/>
      <c r="B205" s="47" t="n"/>
      <c r="C205" s="47" t="n"/>
      <c r="D205" s="50" t="n"/>
      <c r="E205" s="50" t="n"/>
      <c r="F205" s="48" t="n"/>
      <c r="G205" s="47" t="n"/>
      <c r="H205" s="47" t="n"/>
      <c r="I205" s="47" t="n"/>
      <c r="J205" s="47" t="n"/>
      <c r="K205" s="47" t="n"/>
      <c r="L205" s="47" t="n"/>
      <c r="M205" s="50" t="n"/>
      <c r="N205" s="50" t="n"/>
      <c r="O205" s="50" t="n"/>
      <c r="P205" s="48">
        <f>IF($F205="","",IF($J205="Yes",$F205+1,IF($G205="No",$F205+2,IF(N($I205)&gt;2,$F205+3,IF(N($I205)&gt;0,$F205+5,$F205+7)))))</f>
        <v/>
      </c>
      <c r="Q205" s="48">
        <f>IF($P205="","",IF($J205="Yes",$P205+3,IF($G205="No",$P205+5,IF(N($I205)&gt;0,$P205+7,$P205+14))))</f>
        <v/>
      </c>
      <c r="R205" s="48">
        <f>IF($Q205="","",IF($J205="Yes",$Q205+7,IF($G205="No",$Q205+14,$Q205+30)))</f>
        <v/>
      </c>
      <c r="S205" s="47" t="n"/>
      <c r="T205" s="50" t="n"/>
      <c r="U205" s="47">
        <f>IF($F205="","",MIN(24,MAX(1,ROUNDUP(($F205-DayPlan!$C$2+1)/7,0))))</f>
        <v/>
      </c>
      <c r="V205" s="47">
        <f>IF($A205=""," ",4*($J205="Yes")+3*($G205="No")+2*(N($I205)&gt;0)+1*(AND(ISNUMBER($H205),$H205&gt;45))+3*(AND(ISNUMBER($P205),$P205&lt;=TODAY()))-6*($S205="Yes")+(750-ROW())/100000)</f>
        <v/>
      </c>
      <c r="W205" s="47">
        <f>IF(OR($A205="",NOT(ISNUMBER($P205))),"",INT($P205-TODAY()))</f>
        <v/>
      </c>
      <c r="X205" s="47" t="n"/>
    </row>
    <row r="206">
      <c r="A206" s="50" t="n"/>
      <c r="B206" s="47" t="n"/>
      <c r="C206" s="47" t="n"/>
      <c r="D206" s="50" t="n"/>
      <c r="E206" s="50" t="n"/>
      <c r="F206" s="48" t="n"/>
      <c r="G206" s="47" t="n"/>
      <c r="H206" s="47" t="n"/>
      <c r="I206" s="47" t="n"/>
      <c r="J206" s="47" t="n"/>
      <c r="K206" s="47" t="n"/>
      <c r="L206" s="47" t="n"/>
      <c r="M206" s="50" t="n"/>
      <c r="N206" s="50" t="n"/>
      <c r="O206" s="50" t="n"/>
      <c r="P206" s="48">
        <f>IF($F206="","",IF($J206="Yes",$F206+1,IF($G206="No",$F206+2,IF(N($I206)&gt;2,$F206+3,IF(N($I206)&gt;0,$F206+5,$F206+7)))))</f>
        <v/>
      </c>
      <c r="Q206" s="48">
        <f>IF($P206="","",IF($J206="Yes",$P206+3,IF($G206="No",$P206+5,IF(N($I206)&gt;0,$P206+7,$P206+14))))</f>
        <v/>
      </c>
      <c r="R206" s="48">
        <f>IF($Q206="","",IF($J206="Yes",$Q206+7,IF($G206="No",$Q206+14,$Q206+30)))</f>
        <v/>
      </c>
      <c r="S206" s="47" t="n"/>
      <c r="T206" s="50" t="n"/>
      <c r="U206" s="47">
        <f>IF($F206="","",MIN(24,MAX(1,ROUNDUP(($F206-DayPlan!$C$2+1)/7,0))))</f>
        <v/>
      </c>
      <c r="V206" s="47">
        <f>IF($A206=""," ",4*($J206="Yes")+3*($G206="No")+2*(N($I206)&gt;0)+1*(AND(ISNUMBER($H206),$H206&gt;45))+3*(AND(ISNUMBER($P206),$P206&lt;=TODAY()))-6*($S206="Yes")+(750-ROW())/100000)</f>
        <v/>
      </c>
      <c r="W206" s="47">
        <f>IF(OR($A206="",NOT(ISNUMBER($P206))),"",INT($P206-TODAY()))</f>
        <v/>
      </c>
      <c r="X206" s="47" t="n"/>
    </row>
    <row r="207">
      <c r="A207" s="50" t="n"/>
      <c r="B207" s="47" t="n"/>
      <c r="C207" s="47" t="n"/>
      <c r="D207" s="50" t="n"/>
      <c r="E207" s="50" t="n"/>
      <c r="F207" s="48" t="n"/>
      <c r="G207" s="47" t="n"/>
      <c r="H207" s="47" t="n"/>
      <c r="I207" s="47" t="n"/>
      <c r="J207" s="47" t="n"/>
      <c r="K207" s="47" t="n"/>
      <c r="L207" s="47" t="n"/>
      <c r="M207" s="50" t="n"/>
      <c r="N207" s="50" t="n"/>
      <c r="O207" s="50" t="n"/>
      <c r="P207" s="48">
        <f>IF($F207="","",IF($J207="Yes",$F207+1,IF($G207="No",$F207+2,IF(N($I207)&gt;2,$F207+3,IF(N($I207)&gt;0,$F207+5,$F207+7)))))</f>
        <v/>
      </c>
      <c r="Q207" s="48">
        <f>IF($P207="","",IF($J207="Yes",$P207+3,IF($G207="No",$P207+5,IF(N($I207)&gt;0,$P207+7,$P207+14))))</f>
        <v/>
      </c>
      <c r="R207" s="48">
        <f>IF($Q207="","",IF($J207="Yes",$Q207+7,IF($G207="No",$Q207+14,$Q207+30)))</f>
        <v/>
      </c>
      <c r="S207" s="47" t="n"/>
      <c r="T207" s="50" t="n"/>
      <c r="U207" s="47">
        <f>IF($F207="","",MIN(24,MAX(1,ROUNDUP(($F207-DayPlan!$C$2+1)/7,0))))</f>
        <v/>
      </c>
      <c r="V207" s="47">
        <f>IF($A207=""," ",4*($J207="Yes")+3*($G207="No")+2*(N($I207)&gt;0)+1*(AND(ISNUMBER($H207),$H207&gt;45))+3*(AND(ISNUMBER($P207),$P207&lt;=TODAY()))-6*($S207="Yes")+(750-ROW())/100000)</f>
        <v/>
      </c>
      <c r="W207" s="47">
        <f>IF(OR($A207="",NOT(ISNUMBER($P207))),"",INT($P207-TODAY()))</f>
        <v/>
      </c>
      <c r="X207" s="47" t="n"/>
    </row>
    <row r="208">
      <c r="A208" s="50" t="n"/>
      <c r="B208" s="47" t="n"/>
      <c r="C208" s="47" t="n"/>
      <c r="D208" s="50" t="n"/>
      <c r="E208" s="50" t="n"/>
      <c r="F208" s="48" t="n"/>
      <c r="G208" s="47" t="n"/>
      <c r="H208" s="47" t="n"/>
      <c r="I208" s="47" t="n"/>
      <c r="J208" s="47" t="n"/>
      <c r="K208" s="47" t="n"/>
      <c r="L208" s="47" t="n"/>
      <c r="M208" s="50" t="n"/>
      <c r="N208" s="50" t="n"/>
      <c r="O208" s="50" t="n"/>
      <c r="P208" s="48">
        <f>IF($F208="","",IF($J208="Yes",$F208+1,IF($G208="No",$F208+2,IF(N($I208)&gt;2,$F208+3,IF(N($I208)&gt;0,$F208+5,$F208+7)))))</f>
        <v/>
      </c>
      <c r="Q208" s="48">
        <f>IF($P208="","",IF($J208="Yes",$P208+3,IF($G208="No",$P208+5,IF(N($I208)&gt;0,$P208+7,$P208+14))))</f>
        <v/>
      </c>
      <c r="R208" s="48">
        <f>IF($Q208="","",IF($J208="Yes",$Q208+7,IF($G208="No",$Q208+14,$Q208+30)))</f>
        <v/>
      </c>
      <c r="S208" s="47" t="n"/>
      <c r="T208" s="50" t="n"/>
      <c r="U208" s="47">
        <f>IF($F208="","",MIN(24,MAX(1,ROUNDUP(($F208-DayPlan!$C$2+1)/7,0))))</f>
        <v/>
      </c>
      <c r="V208" s="47">
        <f>IF($A208=""," ",4*($J208="Yes")+3*($G208="No")+2*(N($I208)&gt;0)+1*(AND(ISNUMBER($H208),$H208&gt;45))+3*(AND(ISNUMBER($P208),$P208&lt;=TODAY()))-6*($S208="Yes")+(750-ROW())/100000)</f>
        <v/>
      </c>
      <c r="W208" s="47">
        <f>IF(OR($A208="",NOT(ISNUMBER($P208))),"",INT($P208-TODAY()))</f>
        <v/>
      </c>
      <c r="X208" s="47" t="n"/>
    </row>
    <row r="209">
      <c r="A209" s="50" t="n"/>
      <c r="B209" s="47" t="n"/>
      <c r="C209" s="47" t="n"/>
      <c r="D209" s="50" t="n"/>
      <c r="E209" s="50" t="n"/>
      <c r="F209" s="48" t="n"/>
      <c r="G209" s="47" t="n"/>
      <c r="H209" s="47" t="n"/>
      <c r="I209" s="47" t="n"/>
      <c r="J209" s="47" t="n"/>
      <c r="K209" s="47" t="n"/>
      <c r="L209" s="47" t="n"/>
      <c r="M209" s="50" t="n"/>
      <c r="N209" s="50" t="n"/>
      <c r="O209" s="50" t="n"/>
      <c r="P209" s="48">
        <f>IF($F209="","",IF($J209="Yes",$F209+1,IF($G209="No",$F209+2,IF(N($I209)&gt;2,$F209+3,IF(N($I209)&gt;0,$F209+5,$F209+7)))))</f>
        <v/>
      </c>
      <c r="Q209" s="48">
        <f>IF($P209="","",IF($J209="Yes",$P209+3,IF($G209="No",$P209+5,IF(N($I209)&gt;0,$P209+7,$P209+14))))</f>
        <v/>
      </c>
      <c r="R209" s="48">
        <f>IF($Q209="","",IF($J209="Yes",$Q209+7,IF($G209="No",$Q209+14,$Q209+30)))</f>
        <v/>
      </c>
      <c r="S209" s="47" t="n"/>
      <c r="T209" s="50" t="n"/>
      <c r="U209" s="47">
        <f>IF($F209="","",MIN(24,MAX(1,ROUNDUP(($F209-DayPlan!$C$2+1)/7,0))))</f>
        <v/>
      </c>
      <c r="V209" s="47">
        <f>IF($A209=""," ",4*($J209="Yes")+3*($G209="No")+2*(N($I209)&gt;0)+1*(AND(ISNUMBER($H209),$H209&gt;45))+3*(AND(ISNUMBER($P209),$P209&lt;=TODAY()))-6*($S209="Yes")+(750-ROW())/100000)</f>
        <v/>
      </c>
      <c r="W209" s="47">
        <f>IF(OR($A209="",NOT(ISNUMBER($P209))),"",INT($P209-TODAY()))</f>
        <v/>
      </c>
      <c r="X209" s="47" t="n"/>
    </row>
    <row r="210">
      <c r="A210" s="50" t="n"/>
      <c r="B210" s="47" t="n"/>
      <c r="C210" s="47" t="n"/>
      <c r="D210" s="50" t="n"/>
      <c r="E210" s="50" t="n"/>
      <c r="F210" s="48" t="n"/>
      <c r="G210" s="47" t="n"/>
      <c r="H210" s="47" t="n"/>
      <c r="I210" s="47" t="n"/>
      <c r="J210" s="47" t="n"/>
      <c r="K210" s="47" t="n"/>
      <c r="L210" s="47" t="n"/>
      <c r="M210" s="50" t="n"/>
      <c r="N210" s="50" t="n"/>
      <c r="O210" s="50" t="n"/>
      <c r="P210" s="48">
        <f>IF($F210="","",IF($J210="Yes",$F210+1,IF($G210="No",$F210+2,IF(N($I210)&gt;2,$F210+3,IF(N($I210)&gt;0,$F210+5,$F210+7)))))</f>
        <v/>
      </c>
      <c r="Q210" s="48">
        <f>IF($P210="","",IF($J210="Yes",$P210+3,IF($G210="No",$P210+5,IF(N($I210)&gt;0,$P210+7,$P210+14))))</f>
        <v/>
      </c>
      <c r="R210" s="48">
        <f>IF($Q210="","",IF($J210="Yes",$Q210+7,IF($G210="No",$Q210+14,$Q210+30)))</f>
        <v/>
      </c>
      <c r="S210" s="47" t="n"/>
      <c r="T210" s="50" t="n"/>
      <c r="U210" s="47">
        <f>IF($F210="","",MIN(24,MAX(1,ROUNDUP(($F210-DayPlan!$C$2+1)/7,0))))</f>
        <v/>
      </c>
      <c r="V210" s="47">
        <f>IF($A210=""," ",4*($J210="Yes")+3*($G210="No")+2*(N($I210)&gt;0)+1*(AND(ISNUMBER($H210),$H210&gt;45))+3*(AND(ISNUMBER($P210),$P210&lt;=TODAY()))-6*($S210="Yes")+(750-ROW())/100000)</f>
        <v/>
      </c>
      <c r="W210" s="47">
        <f>IF(OR($A210="",NOT(ISNUMBER($P210))),"",INT($P210-TODAY()))</f>
        <v/>
      </c>
      <c r="X210" s="47" t="n"/>
    </row>
    <row r="211">
      <c r="A211" s="50" t="n"/>
      <c r="B211" s="47" t="n"/>
      <c r="C211" s="47" t="n"/>
      <c r="D211" s="50" t="n"/>
      <c r="E211" s="50" t="n"/>
      <c r="F211" s="48" t="n"/>
      <c r="G211" s="47" t="n"/>
      <c r="H211" s="47" t="n"/>
      <c r="I211" s="47" t="n"/>
      <c r="J211" s="47" t="n"/>
      <c r="K211" s="47" t="n"/>
      <c r="L211" s="47" t="n"/>
      <c r="M211" s="50" t="n"/>
      <c r="N211" s="50" t="n"/>
      <c r="O211" s="50" t="n"/>
      <c r="P211" s="48">
        <f>IF($F211="","",IF($J211="Yes",$F211+1,IF($G211="No",$F211+2,IF(N($I211)&gt;2,$F211+3,IF(N($I211)&gt;0,$F211+5,$F211+7)))))</f>
        <v/>
      </c>
      <c r="Q211" s="48">
        <f>IF($P211="","",IF($J211="Yes",$P211+3,IF($G211="No",$P211+5,IF(N($I211)&gt;0,$P211+7,$P211+14))))</f>
        <v/>
      </c>
      <c r="R211" s="48">
        <f>IF($Q211="","",IF($J211="Yes",$Q211+7,IF($G211="No",$Q211+14,$Q211+30)))</f>
        <v/>
      </c>
      <c r="S211" s="47" t="n"/>
      <c r="T211" s="50" t="n"/>
      <c r="U211" s="47">
        <f>IF($F211="","",MIN(24,MAX(1,ROUNDUP(($F211-DayPlan!$C$2+1)/7,0))))</f>
        <v/>
      </c>
      <c r="V211" s="47">
        <f>IF($A211=""," ",4*($J211="Yes")+3*($G211="No")+2*(N($I211)&gt;0)+1*(AND(ISNUMBER($H211),$H211&gt;45))+3*(AND(ISNUMBER($P211),$P211&lt;=TODAY()))-6*($S211="Yes")+(750-ROW())/100000)</f>
        <v/>
      </c>
      <c r="W211" s="47">
        <f>IF(OR($A211="",NOT(ISNUMBER($P211))),"",INT($P211-TODAY()))</f>
        <v/>
      </c>
      <c r="X211" s="47" t="n"/>
    </row>
    <row r="212">
      <c r="A212" s="50" t="n"/>
      <c r="B212" s="47" t="n"/>
      <c r="C212" s="47" t="n"/>
      <c r="D212" s="50" t="n"/>
      <c r="E212" s="50" t="n"/>
      <c r="F212" s="48" t="n"/>
      <c r="G212" s="47" t="n"/>
      <c r="H212" s="47" t="n"/>
      <c r="I212" s="47" t="n"/>
      <c r="J212" s="47" t="n"/>
      <c r="K212" s="47" t="n"/>
      <c r="L212" s="47" t="n"/>
      <c r="M212" s="50" t="n"/>
      <c r="N212" s="50" t="n"/>
      <c r="O212" s="50" t="n"/>
      <c r="P212" s="48">
        <f>IF($F212="","",IF($J212="Yes",$F212+1,IF($G212="No",$F212+2,IF(N($I212)&gt;2,$F212+3,IF(N($I212)&gt;0,$F212+5,$F212+7)))))</f>
        <v/>
      </c>
      <c r="Q212" s="48">
        <f>IF($P212="","",IF($J212="Yes",$P212+3,IF($G212="No",$P212+5,IF(N($I212)&gt;0,$P212+7,$P212+14))))</f>
        <v/>
      </c>
      <c r="R212" s="48">
        <f>IF($Q212="","",IF($J212="Yes",$Q212+7,IF($G212="No",$Q212+14,$Q212+30)))</f>
        <v/>
      </c>
      <c r="S212" s="47" t="n"/>
      <c r="T212" s="50" t="n"/>
      <c r="U212" s="47">
        <f>IF($F212="","",MIN(24,MAX(1,ROUNDUP(($F212-DayPlan!$C$2+1)/7,0))))</f>
        <v/>
      </c>
      <c r="V212" s="47">
        <f>IF($A212=""," ",4*($J212="Yes")+3*($G212="No")+2*(N($I212)&gt;0)+1*(AND(ISNUMBER($H212),$H212&gt;45))+3*(AND(ISNUMBER($P212),$P212&lt;=TODAY()))-6*($S212="Yes")+(750-ROW())/100000)</f>
        <v/>
      </c>
      <c r="W212" s="47">
        <f>IF(OR($A212="",NOT(ISNUMBER($P212))),"",INT($P212-TODAY()))</f>
        <v/>
      </c>
      <c r="X212" s="47" t="n"/>
    </row>
    <row r="213">
      <c r="A213" s="50" t="n"/>
      <c r="B213" s="47" t="n"/>
      <c r="C213" s="47" t="n"/>
      <c r="D213" s="50" t="n"/>
      <c r="E213" s="50" t="n"/>
      <c r="F213" s="48" t="n"/>
      <c r="G213" s="47" t="n"/>
      <c r="H213" s="47" t="n"/>
      <c r="I213" s="47" t="n"/>
      <c r="J213" s="47" t="n"/>
      <c r="K213" s="47" t="n"/>
      <c r="L213" s="47" t="n"/>
      <c r="M213" s="50" t="n"/>
      <c r="N213" s="50" t="n"/>
      <c r="O213" s="50" t="n"/>
      <c r="P213" s="48">
        <f>IF($F213="","",IF($J213="Yes",$F213+1,IF($G213="No",$F213+2,IF(N($I213)&gt;2,$F213+3,IF(N($I213)&gt;0,$F213+5,$F213+7)))))</f>
        <v/>
      </c>
      <c r="Q213" s="48">
        <f>IF($P213="","",IF($J213="Yes",$P213+3,IF($G213="No",$P213+5,IF(N($I213)&gt;0,$P213+7,$P213+14))))</f>
        <v/>
      </c>
      <c r="R213" s="48">
        <f>IF($Q213="","",IF($J213="Yes",$Q213+7,IF($G213="No",$Q213+14,$Q213+30)))</f>
        <v/>
      </c>
      <c r="S213" s="47" t="n"/>
      <c r="T213" s="50" t="n"/>
      <c r="U213" s="47">
        <f>IF($F213="","",MIN(24,MAX(1,ROUNDUP(($F213-DayPlan!$C$2+1)/7,0))))</f>
        <v/>
      </c>
      <c r="V213" s="47">
        <f>IF($A213=""," ",4*($J213="Yes")+3*($G213="No")+2*(N($I213)&gt;0)+1*(AND(ISNUMBER($H213),$H213&gt;45))+3*(AND(ISNUMBER($P213),$P213&lt;=TODAY()))-6*($S213="Yes")+(750-ROW())/100000)</f>
        <v/>
      </c>
      <c r="W213" s="47">
        <f>IF(OR($A213="",NOT(ISNUMBER($P213))),"",INT($P213-TODAY()))</f>
        <v/>
      </c>
      <c r="X213" s="47" t="n"/>
    </row>
    <row r="214">
      <c r="A214" s="50" t="n"/>
      <c r="B214" s="47" t="n"/>
      <c r="C214" s="47" t="n"/>
      <c r="D214" s="50" t="n"/>
      <c r="E214" s="50" t="n"/>
      <c r="F214" s="48" t="n"/>
      <c r="G214" s="47" t="n"/>
      <c r="H214" s="47" t="n"/>
      <c r="I214" s="47" t="n"/>
      <c r="J214" s="47" t="n"/>
      <c r="K214" s="47" t="n"/>
      <c r="L214" s="47" t="n"/>
      <c r="M214" s="50" t="n"/>
      <c r="N214" s="50" t="n"/>
      <c r="O214" s="50" t="n"/>
      <c r="P214" s="48">
        <f>IF($F214="","",IF($J214="Yes",$F214+1,IF($G214="No",$F214+2,IF(N($I214)&gt;2,$F214+3,IF(N($I214)&gt;0,$F214+5,$F214+7)))))</f>
        <v/>
      </c>
      <c r="Q214" s="48">
        <f>IF($P214="","",IF($J214="Yes",$P214+3,IF($G214="No",$P214+5,IF(N($I214)&gt;0,$P214+7,$P214+14))))</f>
        <v/>
      </c>
      <c r="R214" s="48">
        <f>IF($Q214="","",IF($J214="Yes",$Q214+7,IF($G214="No",$Q214+14,$Q214+30)))</f>
        <v/>
      </c>
      <c r="S214" s="47" t="n"/>
      <c r="T214" s="50" t="n"/>
      <c r="U214" s="47">
        <f>IF($F214="","",MIN(24,MAX(1,ROUNDUP(($F214-DayPlan!$C$2+1)/7,0))))</f>
        <v/>
      </c>
      <c r="V214" s="47">
        <f>IF($A214=""," ",4*($J214="Yes")+3*($G214="No")+2*(N($I214)&gt;0)+1*(AND(ISNUMBER($H214),$H214&gt;45))+3*(AND(ISNUMBER($P214),$P214&lt;=TODAY()))-6*($S214="Yes")+(750-ROW())/100000)</f>
        <v/>
      </c>
      <c r="W214" s="47">
        <f>IF(OR($A214="",NOT(ISNUMBER($P214))),"",INT($P214-TODAY()))</f>
        <v/>
      </c>
      <c r="X214" s="47" t="n"/>
    </row>
    <row r="215">
      <c r="A215" s="50" t="n"/>
      <c r="B215" s="47" t="n"/>
      <c r="C215" s="47" t="n"/>
      <c r="D215" s="50" t="n"/>
      <c r="E215" s="50" t="n"/>
      <c r="F215" s="48" t="n"/>
      <c r="G215" s="47" t="n"/>
      <c r="H215" s="47" t="n"/>
      <c r="I215" s="47" t="n"/>
      <c r="J215" s="47" t="n"/>
      <c r="K215" s="47" t="n"/>
      <c r="L215" s="47" t="n"/>
      <c r="M215" s="50" t="n"/>
      <c r="N215" s="50" t="n"/>
      <c r="O215" s="50" t="n"/>
      <c r="P215" s="48">
        <f>IF($F215="","",IF($J215="Yes",$F215+1,IF($G215="No",$F215+2,IF(N($I215)&gt;2,$F215+3,IF(N($I215)&gt;0,$F215+5,$F215+7)))))</f>
        <v/>
      </c>
      <c r="Q215" s="48">
        <f>IF($P215="","",IF($J215="Yes",$P215+3,IF($G215="No",$P215+5,IF(N($I215)&gt;0,$P215+7,$P215+14))))</f>
        <v/>
      </c>
      <c r="R215" s="48">
        <f>IF($Q215="","",IF($J215="Yes",$Q215+7,IF($G215="No",$Q215+14,$Q215+30)))</f>
        <v/>
      </c>
      <c r="S215" s="47" t="n"/>
      <c r="T215" s="50" t="n"/>
      <c r="U215" s="47">
        <f>IF($F215="","",MIN(24,MAX(1,ROUNDUP(($F215-DayPlan!$C$2+1)/7,0))))</f>
        <v/>
      </c>
      <c r="V215" s="47">
        <f>IF($A215=""," ",4*($J215="Yes")+3*($G215="No")+2*(N($I215)&gt;0)+1*(AND(ISNUMBER($H215),$H215&gt;45))+3*(AND(ISNUMBER($P215),$P215&lt;=TODAY()))-6*($S215="Yes")+(750-ROW())/100000)</f>
        <v/>
      </c>
      <c r="W215" s="47">
        <f>IF(OR($A215="",NOT(ISNUMBER($P215))),"",INT($P215-TODAY()))</f>
        <v/>
      </c>
      <c r="X215" s="47" t="n"/>
    </row>
    <row r="216">
      <c r="A216" s="50" t="n"/>
      <c r="B216" s="47" t="n"/>
      <c r="C216" s="47" t="n"/>
      <c r="D216" s="50" t="n"/>
      <c r="E216" s="50" t="n"/>
      <c r="F216" s="48" t="n"/>
      <c r="G216" s="47" t="n"/>
      <c r="H216" s="47" t="n"/>
      <c r="I216" s="47" t="n"/>
      <c r="J216" s="47" t="n"/>
      <c r="K216" s="47" t="n"/>
      <c r="L216" s="47" t="n"/>
      <c r="M216" s="50" t="n"/>
      <c r="N216" s="50" t="n"/>
      <c r="O216" s="50" t="n"/>
      <c r="P216" s="48">
        <f>IF($F216="","",IF($J216="Yes",$F216+1,IF($G216="No",$F216+2,IF(N($I216)&gt;2,$F216+3,IF(N($I216)&gt;0,$F216+5,$F216+7)))))</f>
        <v/>
      </c>
      <c r="Q216" s="48">
        <f>IF($P216="","",IF($J216="Yes",$P216+3,IF($G216="No",$P216+5,IF(N($I216)&gt;0,$P216+7,$P216+14))))</f>
        <v/>
      </c>
      <c r="R216" s="48">
        <f>IF($Q216="","",IF($J216="Yes",$Q216+7,IF($G216="No",$Q216+14,$Q216+30)))</f>
        <v/>
      </c>
      <c r="S216" s="47" t="n"/>
      <c r="T216" s="50" t="n"/>
      <c r="U216" s="47">
        <f>IF($F216="","",MIN(24,MAX(1,ROUNDUP(($F216-DayPlan!$C$2+1)/7,0))))</f>
        <v/>
      </c>
      <c r="V216" s="47">
        <f>IF($A216=""," ",4*($J216="Yes")+3*($G216="No")+2*(N($I216)&gt;0)+1*(AND(ISNUMBER($H216),$H216&gt;45))+3*(AND(ISNUMBER($P216),$P216&lt;=TODAY()))-6*($S216="Yes")+(750-ROW())/100000)</f>
        <v/>
      </c>
      <c r="W216" s="47">
        <f>IF(OR($A216="",NOT(ISNUMBER($P216))),"",INT($P216-TODAY()))</f>
        <v/>
      </c>
      <c r="X216" s="47" t="n"/>
    </row>
    <row r="217">
      <c r="A217" s="50" t="n"/>
      <c r="B217" s="47" t="n"/>
      <c r="C217" s="47" t="n"/>
      <c r="D217" s="50" t="n"/>
      <c r="E217" s="50" t="n"/>
      <c r="F217" s="48" t="n"/>
      <c r="G217" s="47" t="n"/>
      <c r="H217" s="47" t="n"/>
      <c r="I217" s="47" t="n"/>
      <c r="J217" s="47" t="n"/>
      <c r="K217" s="47" t="n"/>
      <c r="L217" s="47" t="n"/>
      <c r="M217" s="50" t="n"/>
      <c r="N217" s="50" t="n"/>
      <c r="O217" s="50" t="n"/>
      <c r="P217" s="48">
        <f>IF($F217="","",IF($J217="Yes",$F217+1,IF($G217="No",$F217+2,IF(N($I217)&gt;2,$F217+3,IF(N($I217)&gt;0,$F217+5,$F217+7)))))</f>
        <v/>
      </c>
      <c r="Q217" s="48">
        <f>IF($P217="","",IF($J217="Yes",$P217+3,IF($G217="No",$P217+5,IF(N($I217)&gt;0,$P217+7,$P217+14))))</f>
        <v/>
      </c>
      <c r="R217" s="48">
        <f>IF($Q217="","",IF($J217="Yes",$Q217+7,IF($G217="No",$Q217+14,$Q217+30)))</f>
        <v/>
      </c>
      <c r="S217" s="47" t="n"/>
      <c r="T217" s="50" t="n"/>
      <c r="U217" s="47">
        <f>IF($F217="","",MIN(24,MAX(1,ROUNDUP(($F217-DayPlan!$C$2+1)/7,0))))</f>
        <v/>
      </c>
      <c r="V217" s="47">
        <f>IF($A217=""," ",4*($J217="Yes")+3*($G217="No")+2*(N($I217)&gt;0)+1*(AND(ISNUMBER($H217),$H217&gt;45))+3*(AND(ISNUMBER($P217),$P217&lt;=TODAY()))-6*($S217="Yes")+(750-ROW())/100000)</f>
        <v/>
      </c>
      <c r="W217" s="47">
        <f>IF(OR($A217="",NOT(ISNUMBER($P217))),"",INT($P217-TODAY()))</f>
        <v/>
      </c>
      <c r="X217" s="47" t="n"/>
    </row>
    <row r="218">
      <c r="A218" s="50" t="n"/>
      <c r="B218" s="47" t="n"/>
      <c r="C218" s="47" t="n"/>
      <c r="D218" s="50" t="n"/>
      <c r="E218" s="50" t="n"/>
      <c r="F218" s="48" t="n"/>
      <c r="G218" s="47" t="n"/>
      <c r="H218" s="47" t="n"/>
      <c r="I218" s="47" t="n"/>
      <c r="J218" s="47" t="n"/>
      <c r="K218" s="47" t="n"/>
      <c r="L218" s="47" t="n"/>
      <c r="M218" s="50" t="n"/>
      <c r="N218" s="50" t="n"/>
      <c r="O218" s="50" t="n"/>
      <c r="P218" s="48">
        <f>IF($F218="","",IF($J218="Yes",$F218+1,IF($G218="No",$F218+2,IF(N($I218)&gt;2,$F218+3,IF(N($I218)&gt;0,$F218+5,$F218+7)))))</f>
        <v/>
      </c>
      <c r="Q218" s="48">
        <f>IF($P218="","",IF($J218="Yes",$P218+3,IF($G218="No",$P218+5,IF(N($I218)&gt;0,$P218+7,$P218+14))))</f>
        <v/>
      </c>
      <c r="R218" s="48">
        <f>IF($Q218="","",IF($J218="Yes",$Q218+7,IF($G218="No",$Q218+14,$Q218+30)))</f>
        <v/>
      </c>
      <c r="S218" s="47" t="n"/>
      <c r="T218" s="50" t="n"/>
      <c r="U218" s="47">
        <f>IF($F218="","",MIN(24,MAX(1,ROUNDUP(($F218-DayPlan!$C$2+1)/7,0))))</f>
        <v/>
      </c>
      <c r="V218" s="47">
        <f>IF($A218=""," ",4*($J218="Yes")+3*($G218="No")+2*(N($I218)&gt;0)+1*(AND(ISNUMBER($H218),$H218&gt;45))+3*(AND(ISNUMBER($P218),$P218&lt;=TODAY()))-6*($S218="Yes")+(750-ROW())/100000)</f>
        <v/>
      </c>
      <c r="W218" s="47">
        <f>IF(OR($A218="",NOT(ISNUMBER($P218))),"",INT($P218-TODAY()))</f>
        <v/>
      </c>
      <c r="X218" s="47" t="n"/>
    </row>
    <row r="219">
      <c r="A219" s="50" t="n"/>
      <c r="B219" s="47" t="n"/>
      <c r="C219" s="47" t="n"/>
      <c r="D219" s="50" t="n"/>
      <c r="E219" s="50" t="n"/>
      <c r="F219" s="48" t="n"/>
      <c r="G219" s="47" t="n"/>
      <c r="H219" s="47" t="n"/>
      <c r="I219" s="47" t="n"/>
      <c r="J219" s="47" t="n"/>
      <c r="K219" s="47" t="n"/>
      <c r="L219" s="47" t="n"/>
      <c r="M219" s="50" t="n"/>
      <c r="N219" s="50" t="n"/>
      <c r="O219" s="50" t="n"/>
      <c r="P219" s="48">
        <f>IF($F219="","",IF($J219="Yes",$F219+1,IF($G219="No",$F219+2,IF(N($I219)&gt;2,$F219+3,IF(N($I219)&gt;0,$F219+5,$F219+7)))))</f>
        <v/>
      </c>
      <c r="Q219" s="48">
        <f>IF($P219="","",IF($J219="Yes",$P219+3,IF($G219="No",$P219+5,IF(N($I219)&gt;0,$P219+7,$P219+14))))</f>
        <v/>
      </c>
      <c r="R219" s="48">
        <f>IF($Q219="","",IF($J219="Yes",$Q219+7,IF($G219="No",$Q219+14,$Q219+30)))</f>
        <v/>
      </c>
      <c r="S219" s="47" t="n"/>
      <c r="T219" s="50" t="n"/>
      <c r="U219" s="47">
        <f>IF($F219="","",MIN(24,MAX(1,ROUNDUP(($F219-DayPlan!$C$2+1)/7,0))))</f>
        <v/>
      </c>
      <c r="V219" s="47">
        <f>IF($A219=""," ",4*($J219="Yes")+3*($G219="No")+2*(N($I219)&gt;0)+1*(AND(ISNUMBER($H219),$H219&gt;45))+3*(AND(ISNUMBER($P219),$P219&lt;=TODAY()))-6*($S219="Yes")+(750-ROW())/100000)</f>
        <v/>
      </c>
      <c r="W219" s="47">
        <f>IF(OR($A219="",NOT(ISNUMBER($P219))),"",INT($P219-TODAY()))</f>
        <v/>
      </c>
      <c r="X219" s="47" t="n"/>
    </row>
    <row r="220">
      <c r="A220" s="50" t="n"/>
      <c r="B220" s="47" t="n"/>
      <c r="C220" s="47" t="n"/>
      <c r="D220" s="50" t="n"/>
      <c r="E220" s="50" t="n"/>
      <c r="F220" s="48" t="n"/>
      <c r="G220" s="47" t="n"/>
      <c r="H220" s="47" t="n"/>
      <c r="I220" s="47" t="n"/>
      <c r="J220" s="47" t="n"/>
      <c r="K220" s="47" t="n"/>
      <c r="L220" s="47" t="n"/>
      <c r="M220" s="50" t="n"/>
      <c r="N220" s="50" t="n"/>
      <c r="O220" s="50" t="n"/>
      <c r="P220" s="48">
        <f>IF($F220="","",IF($J220="Yes",$F220+1,IF($G220="No",$F220+2,IF(N($I220)&gt;2,$F220+3,IF(N($I220)&gt;0,$F220+5,$F220+7)))))</f>
        <v/>
      </c>
      <c r="Q220" s="48">
        <f>IF($P220="","",IF($J220="Yes",$P220+3,IF($G220="No",$P220+5,IF(N($I220)&gt;0,$P220+7,$P220+14))))</f>
        <v/>
      </c>
      <c r="R220" s="48">
        <f>IF($Q220="","",IF($J220="Yes",$Q220+7,IF($G220="No",$Q220+14,$Q220+30)))</f>
        <v/>
      </c>
      <c r="S220" s="47" t="n"/>
      <c r="T220" s="50" t="n"/>
      <c r="U220" s="47">
        <f>IF($F220="","",MIN(24,MAX(1,ROUNDUP(($F220-DayPlan!$C$2+1)/7,0))))</f>
        <v/>
      </c>
      <c r="V220" s="47">
        <f>IF($A220=""," ",4*($J220="Yes")+3*($G220="No")+2*(N($I220)&gt;0)+1*(AND(ISNUMBER($H220),$H220&gt;45))+3*(AND(ISNUMBER($P220),$P220&lt;=TODAY()))-6*($S220="Yes")+(750-ROW())/100000)</f>
        <v/>
      </c>
      <c r="W220" s="47">
        <f>IF(OR($A220="",NOT(ISNUMBER($P220))),"",INT($P220-TODAY()))</f>
        <v/>
      </c>
      <c r="X220" s="47" t="n"/>
    </row>
    <row r="221">
      <c r="A221" s="50" t="n"/>
      <c r="B221" s="47" t="n"/>
      <c r="C221" s="47" t="n"/>
      <c r="D221" s="50" t="n"/>
      <c r="E221" s="50" t="n"/>
      <c r="F221" s="48" t="n"/>
      <c r="G221" s="47" t="n"/>
      <c r="H221" s="47" t="n"/>
      <c r="I221" s="47" t="n"/>
      <c r="J221" s="47" t="n"/>
      <c r="K221" s="47" t="n"/>
      <c r="L221" s="47" t="n"/>
      <c r="M221" s="50" t="n"/>
      <c r="N221" s="50" t="n"/>
      <c r="O221" s="50" t="n"/>
      <c r="P221" s="48">
        <f>IF($F221="","",IF($J221="Yes",$F221+1,IF($G221="No",$F221+2,IF(N($I221)&gt;2,$F221+3,IF(N($I221)&gt;0,$F221+5,$F221+7)))))</f>
        <v/>
      </c>
      <c r="Q221" s="48">
        <f>IF($P221="","",IF($J221="Yes",$P221+3,IF($G221="No",$P221+5,IF(N($I221)&gt;0,$P221+7,$P221+14))))</f>
        <v/>
      </c>
      <c r="R221" s="48">
        <f>IF($Q221="","",IF($J221="Yes",$Q221+7,IF($G221="No",$Q221+14,$Q221+30)))</f>
        <v/>
      </c>
      <c r="S221" s="47" t="n"/>
      <c r="T221" s="50" t="n"/>
      <c r="U221" s="47">
        <f>IF($F221="","",MIN(24,MAX(1,ROUNDUP(($F221-DayPlan!$C$2+1)/7,0))))</f>
        <v/>
      </c>
      <c r="V221" s="47">
        <f>IF($A221=""," ",4*($J221="Yes")+3*($G221="No")+2*(N($I221)&gt;0)+1*(AND(ISNUMBER($H221),$H221&gt;45))+3*(AND(ISNUMBER($P221),$P221&lt;=TODAY()))-6*($S221="Yes")+(750-ROW())/100000)</f>
        <v/>
      </c>
      <c r="W221" s="47">
        <f>IF(OR($A221="",NOT(ISNUMBER($P221))),"",INT($P221-TODAY()))</f>
        <v/>
      </c>
      <c r="X221" s="47" t="n"/>
    </row>
    <row r="222">
      <c r="A222" s="50" t="n"/>
      <c r="B222" s="47" t="n"/>
      <c r="C222" s="47" t="n"/>
      <c r="D222" s="50" t="n"/>
      <c r="E222" s="50" t="n"/>
      <c r="F222" s="48" t="n"/>
      <c r="G222" s="47" t="n"/>
      <c r="H222" s="47" t="n"/>
      <c r="I222" s="47" t="n"/>
      <c r="J222" s="47" t="n"/>
      <c r="K222" s="47" t="n"/>
      <c r="L222" s="47" t="n"/>
      <c r="M222" s="50" t="n"/>
      <c r="N222" s="50" t="n"/>
      <c r="O222" s="50" t="n"/>
      <c r="P222" s="48">
        <f>IF($F222="","",IF($J222="Yes",$F222+1,IF($G222="No",$F222+2,IF(N($I222)&gt;2,$F222+3,IF(N($I222)&gt;0,$F222+5,$F222+7)))))</f>
        <v/>
      </c>
      <c r="Q222" s="48">
        <f>IF($P222="","",IF($J222="Yes",$P222+3,IF($G222="No",$P222+5,IF(N($I222)&gt;0,$P222+7,$P222+14))))</f>
        <v/>
      </c>
      <c r="R222" s="48">
        <f>IF($Q222="","",IF($J222="Yes",$Q222+7,IF($G222="No",$Q222+14,$Q222+30)))</f>
        <v/>
      </c>
      <c r="S222" s="47" t="n"/>
      <c r="T222" s="50" t="n"/>
      <c r="U222" s="47">
        <f>IF($F222="","",MIN(24,MAX(1,ROUNDUP(($F222-DayPlan!$C$2+1)/7,0))))</f>
        <v/>
      </c>
      <c r="V222" s="47">
        <f>IF($A222=""," ",4*($J222="Yes")+3*($G222="No")+2*(N($I222)&gt;0)+1*(AND(ISNUMBER($H222),$H222&gt;45))+3*(AND(ISNUMBER($P222),$P222&lt;=TODAY()))-6*($S222="Yes")+(750-ROW())/100000)</f>
        <v/>
      </c>
      <c r="W222" s="47">
        <f>IF(OR($A222="",NOT(ISNUMBER($P222))),"",INT($P222-TODAY()))</f>
        <v/>
      </c>
      <c r="X222" s="47" t="n"/>
    </row>
    <row r="223">
      <c r="A223" s="50" t="n"/>
      <c r="B223" s="47" t="n"/>
      <c r="C223" s="47" t="n"/>
      <c r="D223" s="50" t="n"/>
      <c r="E223" s="50" t="n"/>
      <c r="F223" s="48" t="n"/>
      <c r="G223" s="47" t="n"/>
      <c r="H223" s="47" t="n"/>
      <c r="I223" s="47" t="n"/>
      <c r="J223" s="47" t="n"/>
      <c r="K223" s="47" t="n"/>
      <c r="L223" s="47" t="n"/>
      <c r="M223" s="50" t="n"/>
      <c r="N223" s="50" t="n"/>
      <c r="O223" s="50" t="n"/>
      <c r="P223" s="48">
        <f>IF($F223="","",IF($J223="Yes",$F223+1,IF($G223="No",$F223+2,IF(N($I223)&gt;2,$F223+3,IF(N($I223)&gt;0,$F223+5,$F223+7)))))</f>
        <v/>
      </c>
      <c r="Q223" s="48">
        <f>IF($P223="","",IF($J223="Yes",$P223+3,IF($G223="No",$P223+5,IF(N($I223)&gt;0,$P223+7,$P223+14))))</f>
        <v/>
      </c>
      <c r="R223" s="48">
        <f>IF($Q223="","",IF($J223="Yes",$Q223+7,IF($G223="No",$Q223+14,$Q223+30)))</f>
        <v/>
      </c>
      <c r="S223" s="47" t="n"/>
      <c r="T223" s="50" t="n"/>
      <c r="U223" s="47">
        <f>IF($F223="","",MIN(24,MAX(1,ROUNDUP(($F223-DayPlan!$C$2+1)/7,0))))</f>
        <v/>
      </c>
      <c r="V223" s="47">
        <f>IF($A223=""," ",4*($J223="Yes")+3*($G223="No")+2*(N($I223)&gt;0)+1*(AND(ISNUMBER($H223),$H223&gt;45))+3*(AND(ISNUMBER($P223),$P223&lt;=TODAY()))-6*($S223="Yes")+(750-ROW())/100000)</f>
        <v/>
      </c>
      <c r="W223" s="47">
        <f>IF(OR($A223="",NOT(ISNUMBER($P223))),"",INT($P223-TODAY()))</f>
        <v/>
      </c>
      <c r="X223" s="47" t="n"/>
    </row>
    <row r="224">
      <c r="A224" s="50" t="n"/>
      <c r="B224" s="47" t="n"/>
      <c r="C224" s="47" t="n"/>
      <c r="D224" s="50" t="n"/>
      <c r="E224" s="50" t="n"/>
      <c r="F224" s="48" t="n"/>
      <c r="G224" s="47" t="n"/>
      <c r="H224" s="47" t="n"/>
      <c r="I224" s="47" t="n"/>
      <c r="J224" s="47" t="n"/>
      <c r="K224" s="47" t="n"/>
      <c r="L224" s="47" t="n"/>
      <c r="M224" s="50" t="n"/>
      <c r="N224" s="50" t="n"/>
      <c r="O224" s="50" t="n"/>
      <c r="P224" s="48">
        <f>IF($F224="","",IF($J224="Yes",$F224+1,IF($G224="No",$F224+2,IF(N($I224)&gt;2,$F224+3,IF(N($I224)&gt;0,$F224+5,$F224+7)))))</f>
        <v/>
      </c>
      <c r="Q224" s="48">
        <f>IF($P224="","",IF($J224="Yes",$P224+3,IF($G224="No",$P224+5,IF(N($I224)&gt;0,$P224+7,$P224+14))))</f>
        <v/>
      </c>
      <c r="R224" s="48">
        <f>IF($Q224="","",IF($J224="Yes",$Q224+7,IF($G224="No",$Q224+14,$Q224+30)))</f>
        <v/>
      </c>
      <c r="S224" s="47" t="n"/>
      <c r="T224" s="50" t="n"/>
      <c r="U224" s="47">
        <f>IF($F224="","",MIN(24,MAX(1,ROUNDUP(($F224-DayPlan!$C$2+1)/7,0))))</f>
        <v/>
      </c>
      <c r="V224" s="47">
        <f>IF($A224=""," ",4*($J224="Yes")+3*($G224="No")+2*(N($I224)&gt;0)+1*(AND(ISNUMBER($H224),$H224&gt;45))+3*(AND(ISNUMBER($P224),$P224&lt;=TODAY()))-6*($S224="Yes")+(750-ROW())/100000)</f>
        <v/>
      </c>
      <c r="W224" s="47">
        <f>IF(OR($A224="",NOT(ISNUMBER($P224))),"",INT($P224-TODAY()))</f>
        <v/>
      </c>
      <c r="X224" s="47" t="n"/>
    </row>
    <row r="225">
      <c r="A225" s="50" t="n"/>
      <c r="B225" s="47" t="n"/>
      <c r="C225" s="47" t="n"/>
      <c r="D225" s="50" t="n"/>
      <c r="E225" s="50" t="n"/>
      <c r="F225" s="48" t="n"/>
      <c r="G225" s="47" t="n"/>
      <c r="H225" s="47" t="n"/>
      <c r="I225" s="47" t="n"/>
      <c r="J225" s="47" t="n"/>
      <c r="K225" s="47" t="n"/>
      <c r="L225" s="47" t="n"/>
      <c r="M225" s="50" t="n"/>
      <c r="N225" s="50" t="n"/>
      <c r="O225" s="50" t="n"/>
      <c r="P225" s="48">
        <f>IF($F225="","",IF($J225="Yes",$F225+1,IF($G225="No",$F225+2,IF(N($I225)&gt;2,$F225+3,IF(N($I225)&gt;0,$F225+5,$F225+7)))))</f>
        <v/>
      </c>
      <c r="Q225" s="48">
        <f>IF($P225="","",IF($J225="Yes",$P225+3,IF($G225="No",$P225+5,IF(N($I225)&gt;0,$P225+7,$P225+14))))</f>
        <v/>
      </c>
      <c r="R225" s="48">
        <f>IF($Q225="","",IF($J225="Yes",$Q225+7,IF($G225="No",$Q225+14,$Q225+30)))</f>
        <v/>
      </c>
      <c r="S225" s="47" t="n"/>
      <c r="T225" s="50" t="n"/>
      <c r="U225" s="47">
        <f>IF($F225="","",MIN(24,MAX(1,ROUNDUP(($F225-DayPlan!$C$2+1)/7,0))))</f>
        <v/>
      </c>
      <c r="V225" s="47">
        <f>IF($A225=""," ",4*($J225="Yes")+3*($G225="No")+2*(N($I225)&gt;0)+1*(AND(ISNUMBER($H225),$H225&gt;45))+3*(AND(ISNUMBER($P225),$P225&lt;=TODAY()))-6*($S225="Yes")+(750-ROW())/100000)</f>
        <v/>
      </c>
      <c r="W225" s="47">
        <f>IF(OR($A225="",NOT(ISNUMBER($P225))),"",INT($P225-TODAY()))</f>
        <v/>
      </c>
      <c r="X225" s="47" t="n"/>
    </row>
    <row r="226">
      <c r="A226" s="50" t="n"/>
      <c r="B226" s="47" t="n"/>
      <c r="C226" s="47" t="n"/>
      <c r="D226" s="50" t="n"/>
      <c r="E226" s="50" t="n"/>
      <c r="F226" s="48" t="n"/>
      <c r="G226" s="47" t="n"/>
      <c r="H226" s="47" t="n"/>
      <c r="I226" s="47" t="n"/>
      <c r="J226" s="47" t="n"/>
      <c r="K226" s="47" t="n"/>
      <c r="L226" s="47" t="n"/>
      <c r="M226" s="50" t="n"/>
      <c r="N226" s="50" t="n"/>
      <c r="O226" s="50" t="n"/>
      <c r="P226" s="48">
        <f>IF($F226="","",IF($J226="Yes",$F226+1,IF($G226="No",$F226+2,IF(N($I226)&gt;2,$F226+3,IF(N($I226)&gt;0,$F226+5,$F226+7)))))</f>
        <v/>
      </c>
      <c r="Q226" s="48">
        <f>IF($P226="","",IF($J226="Yes",$P226+3,IF($G226="No",$P226+5,IF(N($I226)&gt;0,$P226+7,$P226+14))))</f>
        <v/>
      </c>
      <c r="R226" s="48">
        <f>IF($Q226="","",IF($J226="Yes",$Q226+7,IF($G226="No",$Q226+14,$Q226+30)))</f>
        <v/>
      </c>
      <c r="S226" s="47" t="n"/>
      <c r="T226" s="50" t="n"/>
      <c r="U226" s="47">
        <f>IF($F226="","",MIN(24,MAX(1,ROUNDUP(($F226-DayPlan!$C$2+1)/7,0))))</f>
        <v/>
      </c>
      <c r="V226" s="47">
        <f>IF($A226=""," ",4*($J226="Yes")+3*($G226="No")+2*(N($I226)&gt;0)+1*(AND(ISNUMBER($H226),$H226&gt;45))+3*(AND(ISNUMBER($P226),$P226&lt;=TODAY()))-6*($S226="Yes")+(750-ROW())/100000)</f>
        <v/>
      </c>
      <c r="W226" s="47">
        <f>IF(OR($A226="",NOT(ISNUMBER($P226))),"",INT($P226-TODAY()))</f>
        <v/>
      </c>
      <c r="X226" s="47" t="n"/>
    </row>
    <row r="227">
      <c r="A227" s="50" t="n"/>
      <c r="B227" s="47" t="n"/>
      <c r="C227" s="47" t="n"/>
      <c r="D227" s="50" t="n"/>
      <c r="E227" s="50" t="n"/>
      <c r="F227" s="48" t="n"/>
      <c r="G227" s="47" t="n"/>
      <c r="H227" s="47" t="n"/>
      <c r="I227" s="47" t="n"/>
      <c r="J227" s="47" t="n"/>
      <c r="K227" s="47" t="n"/>
      <c r="L227" s="47" t="n"/>
      <c r="M227" s="50" t="n"/>
      <c r="N227" s="50" t="n"/>
      <c r="O227" s="50" t="n"/>
      <c r="P227" s="48">
        <f>IF($F227="","",IF($J227="Yes",$F227+1,IF($G227="No",$F227+2,IF(N($I227)&gt;2,$F227+3,IF(N($I227)&gt;0,$F227+5,$F227+7)))))</f>
        <v/>
      </c>
      <c r="Q227" s="48">
        <f>IF($P227="","",IF($J227="Yes",$P227+3,IF($G227="No",$P227+5,IF(N($I227)&gt;0,$P227+7,$P227+14))))</f>
        <v/>
      </c>
      <c r="R227" s="48">
        <f>IF($Q227="","",IF($J227="Yes",$Q227+7,IF($G227="No",$Q227+14,$Q227+30)))</f>
        <v/>
      </c>
      <c r="S227" s="47" t="n"/>
      <c r="T227" s="50" t="n"/>
      <c r="U227" s="47">
        <f>IF($F227="","",MIN(24,MAX(1,ROUNDUP(($F227-DayPlan!$C$2+1)/7,0))))</f>
        <v/>
      </c>
      <c r="V227" s="47">
        <f>IF($A227=""," ",4*($J227="Yes")+3*($G227="No")+2*(N($I227)&gt;0)+1*(AND(ISNUMBER($H227),$H227&gt;45))+3*(AND(ISNUMBER($P227),$P227&lt;=TODAY()))-6*($S227="Yes")+(750-ROW())/100000)</f>
        <v/>
      </c>
      <c r="W227" s="47">
        <f>IF(OR($A227="",NOT(ISNUMBER($P227))),"",INT($P227-TODAY()))</f>
        <v/>
      </c>
      <c r="X227" s="47" t="n"/>
    </row>
    <row r="228">
      <c r="A228" s="50" t="n"/>
      <c r="B228" s="47" t="n"/>
      <c r="C228" s="47" t="n"/>
      <c r="D228" s="50" t="n"/>
      <c r="E228" s="50" t="n"/>
      <c r="F228" s="48" t="n"/>
      <c r="G228" s="47" t="n"/>
      <c r="H228" s="47" t="n"/>
      <c r="I228" s="47" t="n"/>
      <c r="J228" s="47" t="n"/>
      <c r="K228" s="47" t="n"/>
      <c r="L228" s="47" t="n"/>
      <c r="M228" s="50" t="n"/>
      <c r="N228" s="50" t="n"/>
      <c r="O228" s="50" t="n"/>
      <c r="P228" s="48">
        <f>IF($F228="","",IF($J228="Yes",$F228+1,IF($G228="No",$F228+2,IF(N($I228)&gt;2,$F228+3,IF(N($I228)&gt;0,$F228+5,$F228+7)))))</f>
        <v/>
      </c>
      <c r="Q228" s="48">
        <f>IF($P228="","",IF($J228="Yes",$P228+3,IF($G228="No",$P228+5,IF(N($I228)&gt;0,$P228+7,$P228+14))))</f>
        <v/>
      </c>
      <c r="R228" s="48">
        <f>IF($Q228="","",IF($J228="Yes",$Q228+7,IF($G228="No",$Q228+14,$Q228+30)))</f>
        <v/>
      </c>
      <c r="S228" s="47" t="n"/>
      <c r="T228" s="50" t="n"/>
      <c r="U228" s="47">
        <f>IF($F228="","",MIN(24,MAX(1,ROUNDUP(($F228-DayPlan!$C$2+1)/7,0))))</f>
        <v/>
      </c>
      <c r="V228" s="47">
        <f>IF($A228=""," ",4*($J228="Yes")+3*($G228="No")+2*(N($I228)&gt;0)+1*(AND(ISNUMBER($H228),$H228&gt;45))+3*(AND(ISNUMBER($P228),$P228&lt;=TODAY()))-6*($S228="Yes")+(750-ROW())/100000)</f>
        <v/>
      </c>
      <c r="W228" s="47">
        <f>IF(OR($A228="",NOT(ISNUMBER($P228))),"",INT($P228-TODAY()))</f>
        <v/>
      </c>
      <c r="X228" s="47" t="n"/>
    </row>
    <row r="229">
      <c r="A229" s="50" t="n"/>
      <c r="B229" s="47" t="n"/>
      <c r="C229" s="47" t="n"/>
      <c r="D229" s="50" t="n"/>
      <c r="E229" s="50" t="n"/>
      <c r="F229" s="48" t="n"/>
      <c r="G229" s="47" t="n"/>
      <c r="H229" s="47" t="n"/>
      <c r="I229" s="47" t="n"/>
      <c r="J229" s="47" t="n"/>
      <c r="K229" s="47" t="n"/>
      <c r="L229" s="47" t="n"/>
      <c r="M229" s="50" t="n"/>
      <c r="N229" s="50" t="n"/>
      <c r="O229" s="50" t="n"/>
      <c r="P229" s="48">
        <f>IF($F229="","",IF($J229="Yes",$F229+1,IF($G229="No",$F229+2,IF(N($I229)&gt;2,$F229+3,IF(N($I229)&gt;0,$F229+5,$F229+7)))))</f>
        <v/>
      </c>
      <c r="Q229" s="48">
        <f>IF($P229="","",IF($J229="Yes",$P229+3,IF($G229="No",$P229+5,IF(N($I229)&gt;0,$P229+7,$P229+14))))</f>
        <v/>
      </c>
      <c r="R229" s="48">
        <f>IF($Q229="","",IF($J229="Yes",$Q229+7,IF($G229="No",$Q229+14,$Q229+30)))</f>
        <v/>
      </c>
      <c r="S229" s="47" t="n"/>
      <c r="T229" s="50" t="n"/>
      <c r="U229" s="47">
        <f>IF($F229="","",MIN(24,MAX(1,ROUNDUP(($F229-DayPlan!$C$2+1)/7,0))))</f>
        <v/>
      </c>
      <c r="V229" s="47">
        <f>IF($A229=""," ",4*($J229="Yes")+3*($G229="No")+2*(N($I229)&gt;0)+1*(AND(ISNUMBER($H229),$H229&gt;45))+3*(AND(ISNUMBER($P229),$P229&lt;=TODAY()))-6*($S229="Yes")+(750-ROW())/100000)</f>
        <v/>
      </c>
      <c r="W229" s="47">
        <f>IF(OR($A229="",NOT(ISNUMBER($P229))),"",INT($P229-TODAY()))</f>
        <v/>
      </c>
      <c r="X229" s="47" t="n"/>
    </row>
    <row r="230">
      <c r="A230" s="50" t="n"/>
      <c r="B230" s="47" t="n"/>
      <c r="C230" s="47" t="n"/>
      <c r="D230" s="50" t="n"/>
      <c r="E230" s="50" t="n"/>
      <c r="F230" s="48" t="n"/>
      <c r="G230" s="47" t="n"/>
      <c r="H230" s="47" t="n"/>
      <c r="I230" s="47" t="n"/>
      <c r="J230" s="47" t="n"/>
      <c r="K230" s="47" t="n"/>
      <c r="L230" s="47" t="n"/>
      <c r="M230" s="50" t="n"/>
      <c r="N230" s="50" t="n"/>
      <c r="O230" s="50" t="n"/>
      <c r="P230" s="48">
        <f>IF($F230="","",IF($J230="Yes",$F230+1,IF($G230="No",$F230+2,IF(N($I230)&gt;2,$F230+3,IF(N($I230)&gt;0,$F230+5,$F230+7)))))</f>
        <v/>
      </c>
      <c r="Q230" s="48">
        <f>IF($P230="","",IF($J230="Yes",$P230+3,IF($G230="No",$P230+5,IF(N($I230)&gt;0,$P230+7,$P230+14))))</f>
        <v/>
      </c>
      <c r="R230" s="48">
        <f>IF($Q230="","",IF($J230="Yes",$Q230+7,IF($G230="No",$Q230+14,$Q230+30)))</f>
        <v/>
      </c>
      <c r="S230" s="47" t="n"/>
      <c r="T230" s="50" t="n"/>
      <c r="U230" s="47">
        <f>IF($F230="","",MIN(24,MAX(1,ROUNDUP(($F230-DayPlan!$C$2+1)/7,0))))</f>
        <v/>
      </c>
      <c r="V230" s="47">
        <f>IF($A230=""," ",4*($J230="Yes")+3*($G230="No")+2*(N($I230)&gt;0)+1*(AND(ISNUMBER($H230),$H230&gt;45))+3*(AND(ISNUMBER($P230),$P230&lt;=TODAY()))-6*($S230="Yes")+(750-ROW())/100000)</f>
        <v/>
      </c>
      <c r="W230" s="47">
        <f>IF(OR($A230="",NOT(ISNUMBER($P230))),"",INT($P230-TODAY()))</f>
        <v/>
      </c>
      <c r="X230" s="47" t="n"/>
    </row>
    <row r="231">
      <c r="A231" s="50" t="n"/>
      <c r="B231" s="47" t="n"/>
      <c r="C231" s="47" t="n"/>
      <c r="D231" s="50" t="n"/>
      <c r="E231" s="50" t="n"/>
      <c r="F231" s="48" t="n"/>
      <c r="G231" s="47" t="n"/>
      <c r="H231" s="47" t="n"/>
      <c r="I231" s="47" t="n"/>
      <c r="J231" s="47" t="n"/>
      <c r="K231" s="47" t="n"/>
      <c r="L231" s="47" t="n"/>
      <c r="M231" s="50" t="n"/>
      <c r="N231" s="50" t="n"/>
      <c r="O231" s="50" t="n"/>
      <c r="P231" s="48">
        <f>IF($F231="","",IF($J231="Yes",$F231+1,IF($G231="No",$F231+2,IF(N($I231)&gt;2,$F231+3,IF(N($I231)&gt;0,$F231+5,$F231+7)))))</f>
        <v/>
      </c>
      <c r="Q231" s="48">
        <f>IF($P231="","",IF($J231="Yes",$P231+3,IF($G231="No",$P231+5,IF(N($I231)&gt;0,$P231+7,$P231+14))))</f>
        <v/>
      </c>
      <c r="R231" s="48">
        <f>IF($Q231="","",IF($J231="Yes",$Q231+7,IF($G231="No",$Q231+14,$Q231+30)))</f>
        <v/>
      </c>
      <c r="S231" s="47" t="n"/>
      <c r="T231" s="50" t="n"/>
      <c r="U231" s="47">
        <f>IF($F231="","",MIN(24,MAX(1,ROUNDUP(($F231-DayPlan!$C$2+1)/7,0))))</f>
        <v/>
      </c>
      <c r="V231" s="47">
        <f>IF($A231=""," ",4*($J231="Yes")+3*($G231="No")+2*(N($I231)&gt;0)+1*(AND(ISNUMBER($H231),$H231&gt;45))+3*(AND(ISNUMBER($P231),$P231&lt;=TODAY()))-6*($S231="Yes")+(750-ROW())/100000)</f>
        <v/>
      </c>
      <c r="W231" s="47">
        <f>IF(OR($A231="",NOT(ISNUMBER($P231))),"",INT($P231-TODAY()))</f>
        <v/>
      </c>
      <c r="X231" s="47" t="n"/>
    </row>
    <row r="232">
      <c r="A232" s="50" t="n"/>
      <c r="B232" s="47" t="n"/>
      <c r="C232" s="47" t="n"/>
      <c r="D232" s="50" t="n"/>
      <c r="E232" s="50" t="n"/>
      <c r="F232" s="48" t="n"/>
      <c r="G232" s="47" t="n"/>
      <c r="H232" s="47" t="n"/>
      <c r="I232" s="47" t="n"/>
      <c r="J232" s="47" t="n"/>
      <c r="K232" s="47" t="n"/>
      <c r="L232" s="47" t="n"/>
      <c r="M232" s="50" t="n"/>
      <c r="N232" s="50" t="n"/>
      <c r="O232" s="50" t="n"/>
      <c r="P232" s="48">
        <f>IF($F232="","",IF($J232="Yes",$F232+1,IF($G232="No",$F232+2,IF(N($I232)&gt;2,$F232+3,IF(N($I232)&gt;0,$F232+5,$F232+7)))))</f>
        <v/>
      </c>
      <c r="Q232" s="48">
        <f>IF($P232="","",IF($J232="Yes",$P232+3,IF($G232="No",$P232+5,IF(N($I232)&gt;0,$P232+7,$P232+14))))</f>
        <v/>
      </c>
      <c r="R232" s="48">
        <f>IF($Q232="","",IF($J232="Yes",$Q232+7,IF($G232="No",$Q232+14,$Q232+30)))</f>
        <v/>
      </c>
      <c r="S232" s="47" t="n"/>
      <c r="T232" s="50" t="n"/>
      <c r="U232" s="47">
        <f>IF($F232="","",MIN(24,MAX(1,ROUNDUP(($F232-DayPlan!$C$2+1)/7,0))))</f>
        <v/>
      </c>
      <c r="V232" s="47">
        <f>IF($A232=""," ",4*($J232="Yes")+3*($G232="No")+2*(N($I232)&gt;0)+1*(AND(ISNUMBER($H232),$H232&gt;45))+3*(AND(ISNUMBER($P232),$P232&lt;=TODAY()))-6*($S232="Yes")+(750-ROW())/100000)</f>
        <v/>
      </c>
      <c r="W232" s="47">
        <f>IF(OR($A232="",NOT(ISNUMBER($P232))),"",INT($P232-TODAY()))</f>
        <v/>
      </c>
      <c r="X232" s="47" t="n"/>
    </row>
    <row r="233">
      <c r="A233" s="50" t="n"/>
      <c r="B233" s="47" t="n"/>
      <c r="C233" s="47" t="n"/>
      <c r="D233" s="50" t="n"/>
      <c r="E233" s="50" t="n"/>
      <c r="F233" s="48" t="n"/>
      <c r="G233" s="47" t="n"/>
      <c r="H233" s="47" t="n"/>
      <c r="I233" s="47" t="n"/>
      <c r="J233" s="47" t="n"/>
      <c r="K233" s="47" t="n"/>
      <c r="L233" s="47" t="n"/>
      <c r="M233" s="50" t="n"/>
      <c r="N233" s="50" t="n"/>
      <c r="O233" s="50" t="n"/>
      <c r="P233" s="48">
        <f>IF($F233="","",IF($J233="Yes",$F233+1,IF($G233="No",$F233+2,IF(N($I233)&gt;2,$F233+3,IF(N($I233)&gt;0,$F233+5,$F233+7)))))</f>
        <v/>
      </c>
      <c r="Q233" s="48">
        <f>IF($P233="","",IF($J233="Yes",$P233+3,IF($G233="No",$P233+5,IF(N($I233)&gt;0,$P233+7,$P233+14))))</f>
        <v/>
      </c>
      <c r="R233" s="48">
        <f>IF($Q233="","",IF($J233="Yes",$Q233+7,IF($G233="No",$Q233+14,$Q233+30)))</f>
        <v/>
      </c>
      <c r="S233" s="47" t="n"/>
      <c r="T233" s="50" t="n"/>
      <c r="U233" s="47">
        <f>IF($F233="","",MIN(24,MAX(1,ROUNDUP(($F233-DayPlan!$C$2+1)/7,0))))</f>
        <v/>
      </c>
      <c r="V233" s="47">
        <f>IF($A233=""," ",4*($J233="Yes")+3*($G233="No")+2*(N($I233)&gt;0)+1*(AND(ISNUMBER($H233),$H233&gt;45))+3*(AND(ISNUMBER($P233),$P233&lt;=TODAY()))-6*($S233="Yes")+(750-ROW())/100000)</f>
        <v/>
      </c>
      <c r="W233" s="47">
        <f>IF(OR($A233="",NOT(ISNUMBER($P233))),"",INT($P233-TODAY()))</f>
        <v/>
      </c>
      <c r="X233" s="47" t="n"/>
    </row>
    <row r="234">
      <c r="A234" s="50" t="n"/>
      <c r="B234" s="47" t="n"/>
      <c r="C234" s="47" t="n"/>
      <c r="D234" s="50" t="n"/>
      <c r="E234" s="50" t="n"/>
      <c r="F234" s="48" t="n"/>
      <c r="G234" s="47" t="n"/>
      <c r="H234" s="47" t="n"/>
      <c r="I234" s="47" t="n"/>
      <c r="J234" s="47" t="n"/>
      <c r="K234" s="47" t="n"/>
      <c r="L234" s="47" t="n"/>
      <c r="M234" s="50" t="n"/>
      <c r="N234" s="50" t="n"/>
      <c r="O234" s="50" t="n"/>
      <c r="P234" s="48">
        <f>IF($F234="","",IF($J234="Yes",$F234+1,IF($G234="No",$F234+2,IF(N($I234)&gt;2,$F234+3,IF(N($I234)&gt;0,$F234+5,$F234+7)))))</f>
        <v/>
      </c>
      <c r="Q234" s="48">
        <f>IF($P234="","",IF($J234="Yes",$P234+3,IF($G234="No",$P234+5,IF(N($I234)&gt;0,$P234+7,$P234+14))))</f>
        <v/>
      </c>
      <c r="R234" s="48">
        <f>IF($Q234="","",IF($J234="Yes",$Q234+7,IF($G234="No",$Q234+14,$Q234+30)))</f>
        <v/>
      </c>
      <c r="S234" s="47" t="n"/>
      <c r="T234" s="50" t="n"/>
      <c r="U234" s="47">
        <f>IF($F234="","",MIN(24,MAX(1,ROUNDUP(($F234-DayPlan!$C$2+1)/7,0))))</f>
        <v/>
      </c>
      <c r="V234" s="47">
        <f>IF($A234=""," ",4*($J234="Yes")+3*($G234="No")+2*(N($I234)&gt;0)+1*(AND(ISNUMBER($H234),$H234&gt;45))+3*(AND(ISNUMBER($P234),$P234&lt;=TODAY()))-6*($S234="Yes")+(750-ROW())/100000)</f>
        <v/>
      </c>
      <c r="W234" s="47">
        <f>IF(OR($A234="",NOT(ISNUMBER($P234))),"",INT($P234-TODAY()))</f>
        <v/>
      </c>
      <c r="X234" s="47" t="n"/>
    </row>
    <row r="235">
      <c r="A235" s="50" t="n"/>
      <c r="B235" s="47" t="n"/>
      <c r="C235" s="47" t="n"/>
      <c r="D235" s="50" t="n"/>
      <c r="E235" s="50" t="n"/>
      <c r="F235" s="48" t="n"/>
      <c r="G235" s="47" t="n"/>
      <c r="H235" s="47" t="n"/>
      <c r="I235" s="47" t="n"/>
      <c r="J235" s="47" t="n"/>
      <c r="K235" s="47" t="n"/>
      <c r="L235" s="47" t="n"/>
      <c r="M235" s="50" t="n"/>
      <c r="N235" s="50" t="n"/>
      <c r="O235" s="50" t="n"/>
      <c r="P235" s="48">
        <f>IF($F235="","",IF($J235="Yes",$F235+1,IF($G235="No",$F235+2,IF(N($I235)&gt;2,$F235+3,IF(N($I235)&gt;0,$F235+5,$F235+7)))))</f>
        <v/>
      </c>
      <c r="Q235" s="48">
        <f>IF($P235="","",IF($J235="Yes",$P235+3,IF($G235="No",$P235+5,IF(N($I235)&gt;0,$P235+7,$P235+14))))</f>
        <v/>
      </c>
      <c r="R235" s="48">
        <f>IF($Q235="","",IF($J235="Yes",$Q235+7,IF($G235="No",$Q235+14,$Q235+30)))</f>
        <v/>
      </c>
      <c r="S235" s="47" t="n"/>
      <c r="T235" s="50" t="n"/>
      <c r="U235" s="47">
        <f>IF($F235="","",MIN(24,MAX(1,ROUNDUP(($F235-DayPlan!$C$2+1)/7,0))))</f>
        <v/>
      </c>
      <c r="V235" s="47">
        <f>IF($A235=""," ",4*($J235="Yes")+3*($G235="No")+2*(N($I235)&gt;0)+1*(AND(ISNUMBER($H235),$H235&gt;45))+3*(AND(ISNUMBER($P235),$P235&lt;=TODAY()))-6*($S235="Yes")+(750-ROW())/100000)</f>
        <v/>
      </c>
      <c r="W235" s="47">
        <f>IF(OR($A235="",NOT(ISNUMBER($P235))),"",INT($P235-TODAY()))</f>
        <v/>
      </c>
      <c r="X235" s="47" t="n"/>
    </row>
    <row r="236">
      <c r="A236" s="50" t="n"/>
      <c r="B236" s="47" t="n"/>
      <c r="C236" s="47" t="n"/>
      <c r="D236" s="50" t="n"/>
      <c r="E236" s="50" t="n"/>
      <c r="F236" s="48" t="n"/>
      <c r="G236" s="47" t="n"/>
      <c r="H236" s="47" t="n"/>
      <c r="I236" s="47" t="n"/>
      <c r="J236" s="47" t="n"/>
      <c r="K236" s="47" t="n"/>
      <c r="L236" s="47" t="n"/>
      <c r="M236" s="50" t="n"/>
      <c r="N236" s="50" t="n"/>
      <c r="O236" s="50" t="n"/>
      <c r="P236" s="48">
        <f>IF($F236="","",IF($J236="Yes",$F236+1,IF($G236="No",$F236+2,IF(N($I236)&gt;2,$F236+3,IF(N($I236)&gt;0,$F236+5,$F236+7)))))</f>
        <v/>
      </c>
      <c r="Q236" s="48">
        <f>IF($P236="","",IF($J236="Yes",$P236+3,IF($G236="No",$P236+5,IF(N($I236)&gt;0,$P236+7,$P236+14))))</f>
        <v/>
      </c>
      <c r="R236" s="48">
        <f>IF($Q236="","",IF($J236="Yes",$Q236+7,IF($G236="No",$Q236+14,$Q236+30)))</f>
        <v/>
      </c>
      <c r="S236" s="47" t="n"/>
      <c r="T236" s="50" t="n"/>
      <c r="U236" s="47">
        <f>IF($F236="","",MIN(24,MAX(1,ROUNDUP(($F236-DayPlan!$C$2+1)/7,0))))</f>
        <v/>
      </c>
      <c r="V236" s="47">
        <f>IF($A236=""," ",4*($J236="Yes")+3*($G236="No")+2*(N($I236)&gt;0)+1*(AND(ISNUMBER($H236),$H236&gt;45))+3*(AND(ISNUMBER($P236),$P236&lt;=TODAY()))-6*($S236="Yes")+(750-ROW())/100000)</f>
        <v/>
      </c>
      <c r="W236" s="47">
        <f>IF(OR($A236="",NOT(ISNUMBER($P236))),"",INT($P236-TODAY()))</f>
        <v/>
      </c>
      <c r="X236" s="47" t="n"/>
    </row>
    <row r="237">
      <c r="A237" s="50" t="n"/>
      <c r="B237" s="47" t="n"/>
      <c r="C237" s="47" t="n"/>
      <c r="D237" s="50" t="n"/>
      <c r="E237" s="50" t="n"/>
      <c r="F237" s="48" t="n"/>
      <c r="G237" s="47" t="n"/>
      <c r="H237" s="47" t="n"/>
      <c r="I237" s="47" t="n"/>
      <c r="J237" s="47" t="n"/>
      <c r="K237" s="47" t="n"/>
      <c r="L237" s="47" t="n"/>
      <c r="M237" s="50" t="n"/>
      <c r="N237" s="50" t="n"/>
      <c r="O237" s="50" t="n"/>
      <c r="P237" s="48">
        <f>IF($F237="","",IF($J237="Yes",$F237+1,IF($G237="No",$F237+2,IF(N($I237)&gt;2,$F237+3,IF(N($I237)&gt;0,$F237+5,$F237+7)))))</f>
        <v/>
      </c>
      <c r="Q237" s="48">
        <f>IF($P237="","",IF($J237="Yes",$P237+3,IF($G237="No",$P237+5,IF(N($I237)&gt;0,$P237+7,$P237+14))))</f>
        <v/>
      </c>
      <c r="R237" s="48">
        <f>IF($Q237="","",IF($J237="Yes",$Q237+7,IF($G237="No",$Q237+14,$Q237+30)))</f>
        <v/>
      </c>
      <c r="S237" s="47" t="n"/>
      <c r="T237" s="50" t="n"/>
      <c r="U237" s="47">
        <f>IF($F237="","",MIN(24,MAX(1,ROUNDUP(($F237-DayPlan!$C$2+1)/7,0))))</f>
        <v/>
      </c>
      <c r="V237" s="47">
        <f>IF($A237=""," ",4*($J237="Yes")+3*($G237="No")+2*(N($I237)&gt;0)+1*(AND(ISNUMBER($H237),$H237&gt;45))+3*(AND(ISNUMBER($P237),$P237&lt;=TODAY()))-6*($S237="Yes")+(750-ROW())/100000)</f>
        <v/>
      </c>
      <c r="W237" s="47">
        <f>IF(OR($A237="",NOT(ISNUMBER($P237))),"",INT($P237-TODAY()))</f>
        <v/>
      </c>
      <c r="X237" s="47" t="n"/>
    </row>
    <row r="238">
      <c r="A238" s="50" t="n"/>
      <c r="B238" s="47" t="n"/>
      <c r="C238" s="47" t="n"/>
      <c r="D238" s="50" t="n"/>
      <c r="E238" s="50" t="n"/>
      <c r="F238" s="48" t="n"/>
      <c r="G238" s="47" t="n"/>
      <c r="H238" s="47" t="n"/>
      <c r="I238" s="47" t="n"/>
      <c r="J238" s="47" t="n"/>
      <c r="K238" s="47" t="n"/>
      <c r="L238" s="47" t="n"/>
      <c r="M238" s="50" t="n"/>
      <c r="N238" s="50" t="n"/>
      <c r="O238" s="50" t="n"/>
      <c r="P238" s="48">
        <f>IF($F238="","",IF($J238="Yes",$F238+1,IF($G238="No",$F238+2,IF(N($I238)&gt;2,$F238+3,IF(N($I238)&gt;0,$F238+5,$F238+7)))))</f>
        <v/>
      </c>
      <c r="Q238" s="48">
        <f>IF($P238="","",IF($J238="Yes",$P238+3,IF($G238="No",$P238+5,IF(N($I238)&gt;0,$P238+7,$P238+14))))</f>
        <v/>
      </c>
      <c r="R238" s="48">
        <f>IF($Q238="","",IF($J238="Yes",$Q238+7,IF($G238="No",$Q238+14,$Q238+30)))</f>
        <v/>
      </c>
      <c r="S238" s="47" t="n"/>
      <c r="T238" s="50" t="n"/>
      <c r="U238" s="47">
        <f>IF($F238="","",MIN(24,MAX(1,ROUNDUP(($F238-DayPlan!$C$2+1)/7,0))))</f>
        <v/>
      </c>
      <c r="V238" s="47">
        <f>IF($A238=""," ",4*($J238="Yes")+3*($G238="No")+2*(N($I238)&gt;0)+1*(AND(ISNUMBER($H238),$H238&gt;45))+3*(AND(ISNUMBER($P238),$P238&lt;=TODAY()))-6*($S238="Yes")+(750-ROW())/100000)</f>
        <v/>
      </c>
      <c r="W238" s="47">
        <f>IF(OR($A238="",NOT(ISNUMBER($P238))),"",INT($P238-TODAY()))</f>
        <v/>
      </c>
      <c r="X238" s="47" t="n"/>
    </row>
    <row r="239">
      <c r="A239" s="50" t="n"/>
      <c r="B239" s="47" t="n"/>
      <c r="C239" s="47" t="n"/>
      <c r="D239" s="50" t="n"/>
      <c r="E239" s="50" t="n"/>
      <c r="F239" s="48" t="n"/>
      <c r="G239" s="47" t="n"/>
      <c r="H239" s="47" t="n"/>
      <c r="I239" s="47" t="n"/>
      <c r="J239" s="47" t="n"/>
      <c r="K239" s="47" t="n"/>
      <c r="L239" s="47" t="n"/>
      <c r="M239" s="50" t="n"/>
      <c r="N239" s="50" t="n"/>
      <c r="O239" s="50" t="n"/>
      <c r="P239" s="48">
        <f>IF($F239="","",IF($J239="Yes",$F239+1,IF($G239="No",$F239+2,IF(N($I239)&gt;2,$F239+3,IF(N($I239)&gt;0,$F239+5,$F239+7)))))</f>
        <v/>
      </c>
      <c r="Q239" s="48">
        <f>IF($P239="","",IF($J239="Yes",$P239+3,IF($G239="No",$P239+5,IF(N($I239)&gt;0,$P239+7,$P239+14))))</f>
        <v/>
      </c>
      <c r="R239" s="48">
        <f>IF($Q239="","",IF($J239="Yes",$Q239+7,IF($G239="No",$Q239+14,$Q239+30)))</f>
        <v/>
      </c>
      <c r="S239" s="47" t="n"/>
      <c r="T239" s="50" t="n"/>
      <c r="U239" s="47">
        <f>IF($F239="","",MIN(24,MAX(1,ROUNDUP(($F239-DayPlan!$C$2+1)/7,0))))</f>
        <v/>
      </c>
      <c r="V239" s="47">
        <f>IF($A239=""," ",4*($J239="Yes")+3*($G239="No")+2*(N($I239)&gt;0)+1*(AND(ISNUMBER($H239),$H239&gt;45))+3*(AND(ISNUMBER($P239),$P239&lt;=TODAY()))-6*($S239="Yes")+(750-ROW())/100000)</f>
        <v/>
      </c>
      <c r="W239" s="47">
        <f>IF(OR($A239="",NOT(ISNUMBER($P239))),"",INT($P239-TODAY()))</f>
        <v/>
      </c>
      <c r="X239" s="47" t="n"/>
    </row>
    <row r="240">
      <c r="A240" s="50" t="n"/>
      <c r="B240" s="47" t="n"/>
      <c r="C240" s="47" t="n"/>
      <c r="D240" s="50" t="n"/>
      <c r="E240" s="50" t="n"/>
      <c r="F240" s="48" t="n"/>
      <c r="G240" s="47" t="n"/>
      <c r="H240" s="47" t="n"/>
      <c r="I240" s="47" t="n"/>
      <c r="J240" s="47" t="n"/>
      <c r="K240" s="47" t="n"/>
      <c r="L240" s="47" t="n"/>
      <c r="M240" s="50" t="n"/>
      <c r="N240" s="50" t="n"/>
      <c r="O240" s="50" t="n"/>
      <c r="P240" s="48">
        <f>IF($F240="","",IF($J240="Yes",$F240+1,IF($G240="No",$F240+2,IF(N($I240)&gt;2,$F240+3,IF(N($I240)&gt;0,$F240+5,$F240+7)))))</f>
        <v/>
      </c>
      <c r="Q240" s="48">
        <f>IF($P240="","",IF($J240="Yes",$P240+3,IF($G240="No",$P240+5,IF(N($I240)&gt;0,$P240+7,$P240+14))))</f>
        <v/>
      </c>
      <c r="R240" s="48">
        <f>IF($Q240="","",IF($J240="Yes",$Q240+7,IF($G240="No",$Q240+14,$Q240+30)))</f>
        <v/>
      </c>
      <c r="S240" s="47" t="n"/>
      <c r="T240" s="50" t="n"/>
      <c r="U240" s="47">
        <f>IF($F240="","",MIN(24,MAX(1,ROUNDUP(($F240-DayPlan!$C$2+1)/7,0))))</f>
        <v/>
      </c>
      <c r="V240" s="47">
        <f>IF($A240=""," ",4*($J240="Yes")+3*($G240="No")+2*(N($I240)&gt;0)+1*(AND(ISNUMBER($H240),$H240&gt;45))+3*(AND(ISNUMBER($P240),$P240&lt;=TODAY()))-6*($S240="Yes")+(750-ROW())/100000)</f>
        <v/>
      </c>
      <c r="W240" s="47">
        <f>IF(OR($A240="",NOT(ISNUMBER($P240))),"",INT($P240-TODAY()))</f>
        <v/>
      </c>
      <c r="X240" s="47" t="n"/>
    </row>
    <row r="241">
      <c r="A241" s="50" t="n"/>
      <c r="B241" s="47" t="n"/>
      <c r="C241" s="47" t="n"/>
      <c r="D241" s="50" t="n"/>
      <c r="E241" s="50" t="n"/>
      <c r="F241" s="48" t="n"/>
      <c r="G241" s="47" t="n"/>
      <c r="H241" s="47" t="n"/>
      <c r="I241" s="47" t="n"/>
      <c r="J241" s="47" t="n"/>
      <c r="K241" s="47" t="n"/>
      <c r="L241" s="47" t="n"/>
      <c r="M241" s="50" t="n"/>
      <c r="N241" s="50" t="n"/>
      <c r="O241" s="50" t="n"/>
      <c r="P241" s="48">
        <f>IF($F241="","",IF($J241="Yes",$F241+1,IF($G241="No",$F241+2,IF(N($I241)&gt;2,$F241+3,IF(N($I241)&gt;0,$F241+5,$F241+7)))))</f>
        <v/>
      </c>
      <c r="Q241" s="48">
        <f>IF($P241="","",IF($J241="Yes",$P241+3,IF($G241="No",$P241+5,IF(N($I241)&gt;0,$P241+7,$P241+14))))</f>
        <v/>
      </c>
      <c r="R241" s="48">
        <f>IF($Q241="","",IF($J241="Yes",$Q241+7,IF($G241="No",$Q241+14,$Q241+30)))</f>
        <v/>
      </c>
      <c r="S241" s="47" t="n"/>
      <c r="T241" s="50" t="n"/>
      <c r="U241" s="47">
        <f>IF($F241="","",MIN(24,MAX(1,ROUNDUP(($F241-DayPlan!$C$2+1)/7,0))))</f>
        <v/>
      </c>
      <c r="V241" s="47">
        <f>IF($A241=""," ",4*($J241="Yes")+3*($G241="No")+2*(N($I241)&gt;0)+1*(AND(ISNUMBER($H241),$H241&gt;45))+3*(AND(ISNUMBER($P241),$P241&lt;=TODAY()))-6*($S241="Yes")+(750-ROW())/100000)</f>
        <v/>
      </c>
      <c r="W241" s="47">
        <f>IF(OR($A241="",NOT(ISNUMBER($P241))),"",INT($P241-TODAY()))</f>
        <v/>
      </c>
      <c r="X241" s="47" t="n"/>
    </row>
    <row r="242">
      <c r="A242" s="50" t="n"/>
      <c r="B242" s="47" t="n"/>
      <c r="C242" s="47" t="n"/>
      <c r="D242" s="50" t="n"/>
      <c r="E242" s="50" t="n"/>
      <c r="F242" s="48" t="n"/>
      <c r="G242" s="47" t="n"/>
      <c r="H242" s="47" t="n"/>
      <c r="I242" s="47" t="n"/>
      <c r="J242" s="47" t="n"/>
      <c r="K242" s="47" t="n"/>
      <c r="L242" s="47" t="n"/>
      <c r="M242" s="50" t="n"/>
      <c r="N242" s="50" t="n"/>
      <c r="O242" s="50" t="n"/>
      <c r="P242" s="48">
        <f>IF($F242="","",IF($J242="Yes",$F242+1,IF($G242="No",$F242+2,IF(N($I242)&gt;2,$F242+3,IF(N($I242)&gt;0,$F242+5,$F242+7)))))</f>
        <v/>
      </c>
      <c r="Q242" s="48">
        <f>IF($P242="","",IF($J242="Yes",$P242+3,IF($G242="No",$P242+5,IF(N($I242)&gt;0,$P242+7,$P242+14))))</f>
        <v/>
      </c>
      <c r="R242" s="48">
        <f>IF($Q242="","",IF($J242="Yes",$Q242+7,IF($G242="No",$Q242+14,$Q242+30)))</f>
        <v/>
      </c>
      <c r="S242" s="47" t="n"/>
      <c r="T242" s="50" t="n"/>
      <c r="U242" s="47">
        <f>IF($F242="","",MIN(24,MAX(1,ROUNDUP(($F242-DayPlan!$C$2+1)/7,0))))</f>
        <v/>
      </c>
      <c r="V242" s="47">
        <f>IF($A242=""," ",4*($J242="Yes")+3*($G242="No")+2*(N($I242)&gt;0)+1*(AND(ISNUMBER($H242),$H242&gt;45))+3*(AND(ISNUMBER($P242),$P242&lt;=TODAY()))-6*($S242="Yes")+(750-ROW())/100000)</f>
        <v/>
      </c>
      <c r="W242" s="47">
        <f>IF(OR($A242="",NOT(ISNUMBER($P242))),"",INT($P242-TODAY()))</f>
        <v/>
      </c>
      <c r="X242" s="47" t="n"/>
    </row>
    <row r="243">
      <c r="A243" s="50" t="n"/>
      <c r="B243" s="47" t="n"/>
      <c r="C243" s="47" t="n"/>
      <c r="D243" s="50" t="n"/>
      <c r="E243" s="50" t="n"/>
      <c r="F243" s="48" t="n"/>
      <c r="G243" s="47" t="n"/>
      <c r="H243" s="47" t="n"/>
      <c r="I243" s="47" t="n"/>
      <c r="J243" s="47" t="n"/>
      <c r="K243" s="47" t="n"/>
      <c r="L243" s="47" t="n"/>
      <c r="M243" s="50" t="n"/>
      <c r="N243" s="50" t="n"/>
      <c r="O243" s="50" t="n"/>
      <c r="P243" s="48">
        <f>IF($F243="","",IF($J243="Yes",$F243+1,IF($G243="No",$F243+2,IF(N($I243)&gt;2,$F243+3,IF(N($I243)&gt;0,$F243+5,$F243+7)))))</f>
        <v/>
      </c>
      <c r="Q243" s="48">
        <f>IF($P243="","",IF($J243="Yes",$P243+3,IF($G243="No",$P243+5,IF(N($I243)&gt;0,$P243+7,$P243+14))))</f>
        <v/>
      </c>
      <c r="R243" s="48">
        <f>IF($Q243="","",IF($J243="Yes",$Q243+7,IF($G243="No",$Q243+14,$Q243+30)))</f>
        <v/>
      </c>
      <c r="S243" s="47" t="n"/>
      <c r="T243" s="50" t="n"/>
      <c r="U243" s="47">
        <f>IF($F243="","",MIN(24,MAX(1,ROUNDUP(($F243-DayPlan!$C$2+1)/7,0))))</f>
        <v/>
      </c>
      <c r="V243" s="47">
        <f>IF($A243=""," ",4*($J243="Yes")+3*($G243="No")+2*(N($I243)&gt;0)+1*(AND(ISNUMBER($H243),$H243&gt;45))+3*(AND(ISNUMBER($P243),$P243&lt;=TODAY()))-6*($S243="Yes")+(750-ROW())/100000)</f>
        <v/>
      </c>
      <c r="W243" s="47">
        <f>IF(OR($A243="",NOT(ISNUMBER($P243))),"",INT($P243-TODAY()))</f>
        <v/>
      </c>
      <c r="X243" s="47" t="n"/>
    </row>
    <row r="244">
      <c r="A244" s="50" t="n"/>
      <c r="B244" s="47" t="n"/>
      <c r="C244" s="47" t="n"/>
      <c r="D244" s="50" t="n"/>
      <c r="E244" s="50" t="n"/>
      <c r="F244" s="48" t="n"/>
      <c r="G244" s="47" t="n"/>
      <c r="H244" s="47" t="n"/>
      <c r="I244" s="47" t="n"/>
      <c r="J244" s="47" t="n"/>
      <c r="K244" s="47" t="n"/>
      <c r="L244" s="47" t="n"/>
      <c r="M244" s="50" t="n"/>
      <c r="N244" s="50" t="n"/>
      <c r="O244" s="50" t="n"/>
      <c r="P244" s="48">
        <f>IF($F244="","",IF($J244="Yes",$F244+1,IF($G244="No",$F244+2,IF(N($I244)&gt;2,$F244+3,IF(N($I244)&gt;0,$F244+5,$F244+7)))))</f>
        <v/>
      </c>
      <c r="Q244" s="48">
        <f>IF($P244="","",IF($J244="Yes",$P244+3,IF($G244="No",$P244+5,IF(N($I244)&gt;0,$P244+7,$P244+14))))</f>
        <v/>
      </c>
      <c r="R244" s="48">
        <f>IF($Q244="","",IF($J244="Yes",$Q244+7,IF($G244="No",$Q244+14,$Q244+30)))</f>
        <v/>
      </c>
      <c r="S244" s="47" t="n"/>
      <c r="T244" s="50" t="n"/>
      <c r="U244" s="47">
        <f>IF($F244="","",MIN(24,MAX(1,ROUNDUP(($F244-DayPlan!$C$2+1)/7,0))))</f>
        <v/>
      </c>
      <c r="V244" s="47">
        <f>IF($A244=""," ",4*($J244="Yes")+3*($G244="No")+2*(N($I244)&gt;0)+1*(AND(ISNUMBER($H244),$H244&gt;45))+3*(AND(ISNUMBER($P244),$P244&lt;=TODAY()))-6*($S244="Yes")+(750-ROW())/100000)</f>
        <v/>
      </c>
      <c r="W244" s="47">
        <f>IF(OR($A244="",NOT(ISNUMBER($P244))),"",INT($P244-TODAY()))</f>
        <v/>
      </c>
      <c r="X244" s="47" t="n"/>
    </row>
    <row r="245">
      <c r="A245" s="50" t="n"/>
      <c r="B245" s="47" t="n"/>
      <c r="C245" s="47" t="n"/>
      <c r="D245" s="50" t="n"/>
      <c r="E245" s="50" t="n"/>
      <c r="F245" s="48" t="n"/>
      <c r="G245" s="47" t="n"/>
      <c r="H245" s="47" t="n"/>
      <c r="I245" s="47" t="n"/>
      <c r="J245" s="47" t="n"/>
      <c r="K245" s="47" t="n"/>
      <c r="L245" s="47" t="n"/>
      <c r="M245" s="50" t="n"/>
      <c r="N245" s="50" t="n"/>
      <c r="O245" s="50" t="n"/>
      <c r="P245" s="48">
        <f>IF($F245="","",IF($J245="Yes",$F245+1,IF($G245="No",$F245+2,IF(N($I245)&gt;2,$F245+3,IF(N($I245)&gt;0,$F245+5,$F245+7)))))</f>
        <v/>
      </c>
      <c r="Q245" s="48">
        <f>IF($P245="","",IF($J245="Yes",$P245+3,IF($G245="No",$P245+5,IF(N($I245)&gt;0,$P245+7,$P245+14))))</f>
        <v/>
      </c>
      <c r="R245" s="48">
        <f>IF($Q245="","",IF($J245="Yes",$Q245+7,IF($G245="No",$Q245+14,$Q245+30)))</f>
        <v/>
      </c>
      <c r="S245" s="47" t="n"/>
      <c r="T245" s="50" t="n"/>
      <c r="U245" s="47">
        <f>IF($F245="","",MIN(24,MAX(1,ROUNDUP(($F245-DayPlan!$C$2+1)/7,0))))</f>
        <v/>
      </c>
      <c r="V245" s="47">
        <f>IF($A245=""," ",4*($J245="Yes")+3*($G245="No")+2*(N($I245)&gt;0)+1*(AND(ISNUMBER($H245),$H245&gt;45))+3*(AND(ISNUMBER($P245),$P245&lt;=TODAY()))-6*($S245="Yes")+(750-ROW())/100000)</f>
        <v/>
      </c>
      <c r="W245" s="47">
        <f>IF(OR($A245="",NOT(ISNUMBER($P245))),"",INT($P245-TODAY()))</f>
        <v/>
      </c>
      <c r="X245" s="47" t="n"/>
    </row>
    <row r="246">
      <c r="A246" s="50" t="n"/>
      <c r="B246" s="47" t="n"/>
      <c r="C246" s="47" t="n"/>
      <c r="D246" s="50" t="n"/>
      <c r="E246" s="50" t="n"/>
      <c r="F246" s="48" t="n"/>
      <c r="G246" s="47" t="n"/>
      <c r="H246" s="47" t="n"/>
      <c r="I246" s="47" t="n"/>
      <c r="J246" s="47" t="n"/>
      <c r="K246" s="47" t="n"/>
      <c r="L246" s="47" t="n"/>
      <c r="M246" s="50" t="n"/>
      <c r="N246" s="50" t="n"/>
      <c r="O246" s="50" t="n"/>
      <c r="P246" s="48">
        <f>IF($F246="","",IF($J246="Yes",$F246+1,IF($G246="No",$F246+2,IF(N($I246)&gt;2,$F246+3,IF(N($I246)&gt;0,$F246+5,$F246+7)))))</f>
        <v/>
      </c>
      <c r="Q246" s="48">
        <f>IF($P246="","",IF($J246="Yes",$P246+3,IF($G246="No",$P246+5,IF(N($I246)&gt;0,$P246+7,$P246+14))))</f>
        <v/>
      </c>
      <c r="R246" s="48">
        <f>IF($Q246="","",IF($J246="Yes",$Q246+7,IF($G246="No",$Q246+14,$Q246+30)))</f>
        <v/>
      </c>
      <c r="S246" s="47" t="n"/>
      <c r="T246" s="50" t="n"/>
      <c r="U246" s="47">
        <f>IF($F246="","",MIN(24,MAX(1,ROUNDUP(($F246-DayPlan!$C$2+1)/7,0))))</f>
        <v/>
      </c>
      <c r="V246" s="47">
        <f>IF($A246=""," ",4*($J246="Yes")+3*($G246="No")+2*(N($I246)&gt;0)+1*(AND(ISNUMBER($H246),$H246&gt;45))+3*(AND(ISNUMBER($P246),$P246&lt;=TODAY()))-6*($S246="Yes")+(750-ROW())/100000)</f>
        <v/>
      </c>
      <c r="W246" s="47">
        <f>IF(OR($A246="",NOT(ISNUMBER($P246))),"",INT($P246-TODAY()))</f>
        <v/>
      </c>
      <c r="X246" s="47" t="n"/>
    </row>
    <row r="247">
      <c r="A247" s="50" t="n"/>
      <c r="B247" s="47" t="n"/>
      <c r="C247" s="47" t="n"/>
      <c r="D247" s="50" t="n"/>
      <c r="E247" s="50" t="n"/>
      <c r="F247" s="48" t="n"/>
      <c r="G247" s="47" t="n"/>
      <c r="H247" s="47" t="n"/>
      <c r="I247" s="47" t="n"/>
      <c r="J247" s="47" t="n"/>
      <c r="K247" s="47" t="n"/>
      <c r="L247" s="47" t="n"/>
      <c r="M247" s="50" t="n"/>
      <c r="N247" s="50" t="n"/>
      <c r="O247" s="50" t="n"/>
      <c r="P247" s="48">
        <f>IF($F247="","",IF($J247="Yes",$F247+1,IF($G247="No",$F247+2,IF(N($I247)&gt;2,$F247+3,IF(N($I247)&gt;0,$F247+5,$F247+7)))))</f>
        <v/>
      </c>
      <c r="Q247" s="48">
        <f>IF($P247="","",IF($J247="Yes",$P247+3,IF($G247="No",$P247+5,IF(N($I247)&gt;0,$P247+7,$P247+14))))</f>
        <v/>
      </c>
      <c r="R247" s="48">
        <f>IF($Q247="","",IF($J247="Yes",$Q247+7,IF($G247="No",$Q247+14,$Q247+30)))</f>
        <v/>
      </c>
      <c r="S247" s="47" t="n"/>
      <c r="T247" s="50" t="n"/>
      <c r="U247" s="47">
        <f>IF($F247="","",MIN(24,MAX(1,ROUNDUP(($F247-DayPlan!$C$2+1)/7,0))))</f>
        <v/>
      </c>
      <c r="V247" s="47">
        <f>IF($A247=""," ",4*($J247="Yes")+3*($G247="No")+2*(N($I247)&gt;0)+1*(AND(ISNUMBER($H247),$H247&gt;45))+3*(AND(ISNUMBER($P247),$P247&lt;=TODAY()))-6*($S247="Yes")+(750-ROW())/100000)</f>
        <v/>
      </c>
      <c r="W247" s="47">
        <f>IF(OR($A247="",NOT(ISNUMBER($P247))),"",INT($P247-TODAY()))</f>
        <v/>
      </c>
      <c r="X247" s="47" t="n"/>
    </row>
    <row r="248">
      <c r="A248" s="50" t="n"/>
      <c r="B248" s="47" t="n"/>
      <c r="C248" s="47" t="n"/>
      <c r="D248" s="50" t="n"/>
      <c r="E248" s="50" t="n"/>
      <c r="F248" s="48" t="n"/>
      <c r="G248" s="47" t="n"/>
      <c r="H248" s="47" t="n"/>
      <c r="I248" s="47" t="n"/>
      <c r="J248" s="47" t="n"/>
      <c r="K248" s="47" t="n"/>
      <c r="L248" s="47" t="n"/>
      <c r="M248" s="50" t="n"/>
      <c r="N248" s="50" t="n"/>
      <c r="O248" s="50" t="n"/>
      <c r="P248" s="48">
        <f>IF($F248="","",IF($J248="Yes",$F248+1,IF($G248="No",$F248+2,IF(N($I248)&gt;2,$F248+3,IF(N($I248)&gt;0,$F248+5,$F248+7)))))</f>
        <v/>
      </c>
      <c r="Q248" s="48">
        <f>IF($P248="","",IF($J248="Yes",$P248+3,IF($G248="No",$P248+5,IF(N($I248)&gt;0,$P248+7,$P248+14))))</f>
        <v/>
      </c>
      <c r="R248" s="48">
        <f>IF($Q248="","",IF($J248="Yes",$Q248+7,IF($G248="No",$Q248+14,$Q248+30)))</f>
        <v/>
      </c>
      <c r="S248" s="47" t="n"/>
      <c r="T248" s="50" t="n"/>
      <c r="U248" s="47">
        <f>IF($F248="","",MIN(24,MAX(1,ROUNDUP(($F248-DayPlan!$C$2+1)/7,0))))</f>
        <v/>
      </c>
      <c r="V248" s="47">
        <f>IF($A248=""," ",4*($J248="Yes")+3*($G248="No")+2*(N($I248)&gt;0)+1*(AND(ISNUMBER($H248),$H248&gt;45))+3*(AND(ISNUMBER($P248),$P248&lt;=TODAY()))-6*($S248="Yes")+(750-ROW())/100000)</f>
        <v/>
      </c>
      <c r="W248" s="47">
        <f>IF(OR($A248="",NOT(ISNUMBER($P248))),"",INT($P248-TODAY()))</f>
        <v/>
      </c>
      <c r="X248" s="47" t="n"/>
    </row>
    <row r="249">
      <c r="A249" s="50" t="n"/>
      <c r="B249" s="47" t="n"/>
      <c r="C249" s="47" t="n"/>
      <c r="D249" s="50" t="n"/>
      <c r="E249" s="50" t="n"/>
      <c r="F249" s="48" t="n"/>
      <c r="G249" s="47" t="n"/>
      <c r="H249" s="47" t="n"/>
      <c r="I249" s="47" t="n"/>
      <c r="J249" s="47" t="n"/>
      <c r="K249" s="47" t="n"/>
      <c r="L249" s="47" t="n"/>
      <c r="M249" s="50" t="n"/>
      <c r="N249" s="50" t="n"/>
      <c r="O249" s="50" t="n"/>
      <c r="P249" s="48">
        <f>IF($F249="","",IF($J249="Yes",$F249+1,IF($G249="No",$F249+2,IF(N($I249)&gt;2,$F249+3,IF(N($I249)&gt;0,$F249+5,$F249+7)))))</f>
        <v/>
      </c>
      <c r="Q249" s="48">
        <f>IF($P249="","",IF($J249="Yes",$P249+3,IF($G249="No",$P249+5,IF(N($I249)&gt;0,$P249+7,$P249+14))))</f>
        <v/>
      </c>
      <c r="R249" s="48">
        <f>IF($Q249="","",IF($J249="Yes",$Q249+7,IF($G249="No",$Q249+14,$Q249+30)))</f>
        <v/>
      </c>
      <c r="S249" s="47" t="n"/>
      <c r="T249" s="50" t="n"/>
      <c r="U249" s="47">
        <f>IF($F249="","",MIN(24,MAX(1,ROUNDUP(($F249-DayPlan!$C$2+1)/7,0))))</f>
        <v/>
      </c>
      <c r="V249" s="47">
        <f>IF($A249=""," ",4*($J249="Yes")+3*($G249="No")+2*(N($I249)&gt;0)+1*(AND(ISNUMBER($H249),$H249&gt;45))+3*(AND(ISNUMBER($P249),$P249&lt;=TODAY()))-6*($S249="Yes")+(750-ROW())/100000)</f>
        <v/>
      </c>
      <c r="W249" s="47">
        <f>IF(OR($A249="",NOT(ISNUMBER($P249))),"",INT($P249-TODAY()))</f>
        <v/>
      </c>
      <c r="X249" s="47" t="n"/>
    </row>
    <row r="250">
      <c r="A250" s="50" t="n"/>
      <c r="B250" s="47" t="n"/>
      <c r="C250" s="47" t="n"/>
      <c r="D250" s="50" t="n"/>
      <c r="E250" s="50" t="n"/>
      <c r="F250" s="48" t="n"/>
      <c r="G250" s="47" t="n"/>
      <c r="H250" s="47" t="n"/>
      <c r="I250" s="47" t="n"/>
      <c r="J250" s="47" t="n"/>
      <c r="K250" s="47" t="n"/>
      <c r="L250" s="47" t="n"/>
      <c r="M250" s="50" t="n"/>
      <c r="N250" s="50" t="n"/>
      <c r="O250" s="50" t="n"/>
      <c r="P250" s="48">
        <f>IF($F250="","",IF($J250="Yes",$F250+1,IF($G250="No",$F250+2,IF(N($I250)&gt;2,$F250+3,IF(N($I250)&gt;0,$F250+5,$F250+7)))))</f>
        <v/>
      </c>
      <c r="Q250" s="48">
        <f>IF($P250="","",IF($J250="Yes",$P250+3,IF($G250="No",$P250+5,IF(N($I250)&gt;0,$P250+7,$P250+14))))</f>
        <v/>
      </c>
      <c r="R250" s="48">
        <f>IF($Q250="","",IF($J250="Yes",$Q250+7,IF($G250="No",$Q250+14,$Q250+30)))</f>
        <v/>
      </c>
      <c r="S250" s="47" t="n"/>
      <c r="T250" s="50" t="n"/>
      <c r="U250" s="47">
        <f>IF($F250="","",MIN(24,MAX(1,ROUNDUP(($F250-DayPlan!$C$2+1)/7,0))))</f>
        <v/>
      </c>
      <c r="V250" s="47">
        <f>IF($A250=""," ",4*($J250="Yes")+3*($G250="No")+2*(N($I250)&gt;0)+1*(AND(ISNUMBER($H250),$H250&gt;45))+3*(AND(ISNUMBER($P250),$P250&lt;=TODAY()))-6*($S250="Yes")+(750-ROW())/100000)</f>
        <v/>
      </c>
      <c r="W250" s="47">
        <f>IF(OR($A250="",NOT(ISNUMBER($P250))),"",INT($P250-TODAY()))</f>
        <v/>
      </c>
      <c r="X250" s="47" t="n"/>
    </row>
    <row r="251">
      <c r="A251" s="50" t="n"/>
      <c r="B251" s="47" t="n"/>
      <c r="C251" s="47" t="n"/>
      <c r="D251" s="50" t="n"/>
      <c r="E251" s="50" t="n"/>
      <c r="F251" s="48" t="n"/>
      <c r="G251" s="47" t="n"/>
      <c r="H251" s="47" t="n"/>
      <c r="I251" s="47" t="n"/>
      <c r="J251" s="47" t="n"/>
      <c r="K251" s="47" t="n"/>
      <c r="L251" s="47" t="n"/>
      <c r="M251" s="50" t="n"/>
      <c r="N251" s="50" t="n"/>
      <c r="O251" s="50" t="n"/>
      <c r="P251" s="48">
        <f>IF($F251="","",IF($J251="Yes",$F251+1,IF($G251="No",$F251+2,IF(N($I251)&gt;2,$F251+3,IF(N($I251)&gt;0,$F251+5,$F251+7)))))</f>
        <v/>
      </c>
      <c r="Q251" s="48">
        <f>IF($P251="","",IF($J251="Yes",$P251+3,IF($G251="No",$P251+5,IF(N($I251)&gt;0,$P251+7,$P251+14))))</f>
        <v/>
      </c>
      <c r="R251" s="48">
        <f>IF($Q251="","",IF($J251="Yes",$Q251+7,IF($G251="No",$Q251+14,$Q251+30)))</f>
        <v/>
      </c>
      <c r="S251" s="47" t="n"/>
      <c r="T251" s="50" t="n"/>
      <c r="U251" s="47">
        <f>IF($F251="","",MIN(24,MAX(1,ROUNDUP(($F251-DayPlan!$C$2+1)/7,0))))</f>
        <v/>
      </c>
      <c r="V251" s="47">
        <f>IF($A251=""," ",4*($J251="Yes")+3*($G251="No")+2*(N($I251)&gt;0)+1*(AND(ISNUMBER($H251),$H251&gt;45))+3*(AND(ISNUMBER($P251),$P251&lt;=TODAY()))-6*($S251="Yes")+(750-ROW())/100000)</f>
        <v/>
      </c>
      <c r="W251" s="47">
        <f>IF(OR($A251="",NOT(ISNUMBER($P251))),"",INT($P251-TODAY()))</f>
        <v/>
      </c>
      <c r="X251" s="47" t="n"/>
    </row>
    <row r="252">
      <c r="A252" s="50" t="n"/>
      <c r="B252" s="47" t="n"/>
      <c r="C252" s="47" t="n"/>
      <c r="D252" s="50" t="n"/>
      <c r="E252" s="50" t="n"/>
      <c r="F252" s="48" t="n"/>
      <c r="G252" s="47" t="n"/>
      <c r="H252" s="47" t="n"/>
      <c r="I252" s="47" t="n"/>
      <c r="J252" s="47" t="n"/>
      <c r="K252" s="47" t="n"/>
      <c r="L252" s="47" t="n"/>
      <c r="M252" s="50" t="n"/>
      <c r="N252" s="50" t="n"/>
      <c r="O252" s="50" t="n"/>
      <c r="P252" s="48">
        <f>IF($F252="","",IF($J252="Yes",$F252+1,IF($G252="No",$F252+2,IF(N($I252)&gt;2,$F252+3,IF(N($I252)&gt;0,$F252+5,$F252+7)))))</f>
        <v/>
      </c>
      <c r="Q252" s="48">
        <f>IF($P252="","",IF($J252="Yes",$P252+3,IF($G252="No",$P252+5,IF(N($I252)&gt;0,$P252+7,$P252+14))))</f>
        <v/>
      </c>
      <c r="R252" s="48">
        <f>IF($Q252="","",IF($J252="Yes",$Q252+7,IF($G252="No",$Q252+14,$Q252+30)))</f>
        <v/>
      </c>
      <c r="S252" s="47" t="n"/>
      <c r="T252" s="50" t="n"/>
      <c r="U252" s="47">
        <f>IF($F252="","",MIN(24,MAX(1,ROUNDUP(($F252-DayPlan!$C$2+1)/7,0))))</f>
        <v/>
      </c>
      <c r="V252" s="47">
        <f>IF($A252=""," ",4*($J252="Yes")+3*($G252="No")+2*(N($I252)&gt;0)+1*(AND(ISNUMBER($H252),$H252&gt;45))+3*(AND(ISNUMBER($P252),$P252&lt;=TODAY()))-6*($S252="Yes")+(750-ROW())/100000)</f>
        <v/>
      </c>
      <c r="W252" s="47">
        <f>IF(OR($A252="",NOT(ISNUMBER($P252))),"",INT($P252-TODAY()))</f>
        <v/>
      </c>
      <c r="X252" s="47" t="n"/>
    </row>
    <row r="253">
      <c r="A253" s="50" t="n"/>
      <c r="B253" s="47" t="n"/>
      <c r="C253" s="47" t="n"/>
      <c r="D253" s="50" t="n"/>
      <c r="E253" s="50" t="n"/>
      <c r="F253" s="48" t="n"/>
      <c r="G253" s="47" t="n"/>
      <c r="H253" s="47" t="n"/>
      <c r="I253" s="47" t="n"/>
      <c r="J253" s="47" t="n"/>
      <c r="K253" s="47" t="n"/>
      <c r="L253" s="47" t="n"/>
      <c r="M253" s="50" t="n"/>
      <c r="N253" s="50" t="n"/>
      <c r="O253" s="50" t="n"/>
      <c r="P253" s="48">
        <f>IF($F253="","",IF($J253="Yes",$F253+1,IF($G253="No",$F253+2,IF(N($I253)&gt;2,$F253+3,IF(N($I253)&gt;0,$F253+5,$F253+7)))))</f>
        <v/>
      </c>
      <c r="Q253" s="48">
        <f>IF($P253="","",IF($J253="Yes",$P253+3,IF($G253="No",$P253+5,IF(N($I253)&gt;0,$P253+7,$P253+14))))</f>
        <v/>
      </c>
      <c r="R253" s="48">
        <f>IF($Q253="","",IF($J253="Yes",$Q253+7,IF($G253="No",$Q253+14,$Q253+30)))</f>
        <v/>
      </c>
      <c r="S253" s="47" t="n"/>
      <c r="T253" s="50" t="n"/>
      <c r="U253" s="47">
        <f>IF($F253="","",MIN(24,MAX(1,ROUNDUP(($F253-DayPlan!$C$2+1)/7,0))))</f>
        <v/>
      </c>
      <c r="V253" s="47">
        <f>IF($A253=""," ",4*($J253="Yes")+3*($G253="No")+2*(N($I253)&gt;0)+1*(AND(ISNUMBER($H253),$H253&gt;45))+3*(AND(ISNUMBER($P253),$P253&lt;=TODAY()))-6*($S253="Yes")+(750-ROW())/100000)</f>
        <v/>
      </c>
      <c r="W253" s="47">
        <f>IF(OR($A253="",NOT(ISNUMBER($P253))),"",INT($P253-TODAY()))</f>
        <v/>
      </c>
      <c r="X253" s="47" t="n"/>
    </row>
    <row r="254">
      <c r="A254" s="50" t="n"/>
      <c r="B254" s="47" t="n"/>
      <c r="C254" s="47" t="n"/>
      <c r="D254" s="50" t="n"/>
      <c r="E254" s="50" t="n"/>
      <c r="F254" s="48" t="n"/>
      <c r="G254" s="47" t="n"/>
      <c r="H254" s="47" t="n"/>
      <c r="I254" s="47" t="n"/>
      <c r="J254" s="47" t="n"/>
      <c r="K254" s="47" t="n"/>
      <c r="L254" s="47" t="n"/>
      <c r="M254" s="50" t="n"/>
      <c r="N254" s="50" t="n"/>
      <c r="O254" s="50" t="n"/>
      <c r="P254" s="48">
        <f>IF($F254="","",IF($J254="Yes",$F254+1,IF($G254="No",$F254+2,IF(N($I254)&gt;2,$F254+3,IF(N($I254)&gt;0,$F254+5,$F254+7)))))</f>
        <v/>
      </c>
      <c r="Q254" s="48">
        <f>IF($P254="","",IF($J254="Yes",$P254+3,IF($G254="No",$P254+5,IF(N($I254)&gt;0,$P254+7,$P254+14))))</f>
        <v/>
      </c>
      <c r="R254" s="48">
        <f>IF($Q254="","",IF($J254="Yes",$Q254+7,IF($G254="No",$Q254+14,$Q254+30)))</f>
        <v/>
      </c>
      <c r="S254" s="47" t="n"/>
      <c r="T254" s="50" t="n"/>
      <c r="U254" s="47">
        <f>IF($F254="","",MIN(24,MAX(1,ROUNDUP(($F254-DayPlan!$C$2+1)/7,0))))</f>
        <v/>
      </c>
      <c r="V254" s="47">
        <f>IF($A254=""," ",4*($J254="Yes")+3*($G254="No")+2*(N($I254)&gt;0)+1*(AND(ISNUMBER($H254),$H254&gt;45))+3*(AND(ISNUMBER($P254),$P254&lt;=TODAY()))-6*($S254="Yes")+(750-ROW())/100000)</f>
        <v/>
      </c>
      <c r="W254" s="47">
        <f>IF(OR($A254="",NOT(ISNUMBER($P254))),"",INT($P254-TODAY()))</f>
        <v/>
      </c>
      <c r="X254" s="47" t="n"/>
    </row>
    <row r="255">
      <c r="A255" s="50" t="n"/>
      <c r="B255" s="47" t="n"/>
      <c r="C255" s="47" t="n"/>
      <c r="D255" s="50" t="n"/>
      <c r="E255" s="50" t="n"/>
      <c r="F255" s="48" t="n"/>
      <c r="G255" s="47" t="n"/>
      <c r="H255" s="47" t="n"/>
      <c r="I255" s="47" t="n"/>
      <c r="J255" s="47" t="n"/>
      <c r="K255" s="47" t="n"/>
      <c r="L255" s="47" t="n"/>
      <c r="M255" s="50" t="n"/>
      <c r="N255" s="50" t="n"/>
      <c r="O255" s="50" t="n"/>
      <c r="P255" s="48">
        <f>IF($F255="","",IF($J255="Yes",$F255+1,IF($G255="No",$F255+2,IF(N($I255)&gt;2,$F255+3,IF(N($I255)&gt;0,$F255+5,$F255+7)))))</f>
        <v/>
      </c>
      <c r="Q255" s="48">
        <f>IF($P255="","",IF($J255="Yes",$P255+3,IF($G255="No",$P255+5,IF(N($I255)&gt;0,$P255+7,$P255+14))))</f>
        <v/>
      </c>
      <c r="R255" s="48">
        <f>IF($Q255="","",IF($J255="Yes",$Q255+7,IF($G255="No",$Q255+14,$Q255+30)))</f>
        <v/>
      </c>
      <c r="S255" s="47" t="n"/>
      <c r="T255" s="50" t="n"/>
      <c r="U255" s="47">
        <f>IF($F255="","",MIN(24,MAX(1,ROUNDUP(($F255-DayPlan!$C$2+1)/7,0))))</f>
        <v/>
      </c>
      <c r="V255" s="47">
        <f>IF($A255=""," ",4*($J255="Yes")+3*($G255="No")+2*(N($I255)&gt;0)+1*(AND(ISNUMBER($H255),$H255&gt;45))+3*(AND(ISNUMBER($P255),$P255&lt;=TODAY()))-6*($S255="Yes")+(750-ROW())/100000)</f>
        <v/>
      </c>
      <c r="W255" s="47">
        <f>IF(OR($A255="",NOT(ISNUMBER($P255))),"",INT($P255-TODAY()))</f>
        <v/>
      </c>
      <c r="X255" s="47" t="n"/>
    </row>
    <row r="256">
      <c r="A256" s="50" t="n"/>
      <c r="B256" s="47" t="n"/>
      <c r="C256" s="47" t="n"/>
      <c r="D256" s="50" t="n"/>
      <c r="E256" s="50" t="n"/>
      <c r="F256" s="48" t="n"/>
      <c r="G256" s="47" t="n"/>
      <c r="H256" s="47" t="n"/>
      <c r="I256" s="47" t="n"/>
      <c r="J256" s="47" t="n"/>
      <c r="K256" s="47" t="n"/>
      <c r="L256" s="47" t="n"/>
      <c r="M256" s="50" t="n"/>
      <c r="N256" s="50" t="n"/>
      <c r="O256" s="50" t="n"/>
      <c r="P256" s="48">
        <f>IF($F256="","",IF($J256="Yes",$F256+1,IF($G256="No",$F256+2,IF(N($I256)&gt;2,$F256+3,IF(N($I256)&gt;0,$F256+5,$F256+7)))))</f>
        <v/>
      </c>
      <c r="Q256" s="48">
        <f>IF($P256="","",IF($J256="Yes",$P256+3,IF($G256="No",$P256+5,IF(N($I256)&gt;0,$P256+7,$P256+14))))</f>
        <v/>
      </c>
      <c r="R256" s="48">
        <f>IF($Q256="","",IF($J256="Yes",$Q256+7,IF($G256="No",$Q256+14,$Q256+30)))</f>
        <v/>
      </c>
      <c r="S256" s="47" t="n"/>
      <c r="T256" s="50" t="n"/>
      <c r="U256" s="47">
        <f>IF($F256="","",MIN(24,MAX(1,ROUNDUP(($F256-DayPlan!$C$2+1)/7,0))))</f>
        <v/>
      </c>
      <c r="V256" s="47">
        <f>IF($A256=""," ",4*($J256="Yes")+3*($G256="No")+2*(N($I256)&gt;0)+1*(AND(ISNUMBER($H256),$H256&gt;45))+3*(AND(ISNUMBER($P256),$P256&lt;=TODAY()))-6*($S256="Yes")+(750-ROW())/100000)</f>
        <v/>
      </c>
      <c r="W256" s="47">
        <f>IF(OR($A256="",NOT(ISNUMBER($P256))),"",INT($P256-TODAY()))</f>
        <v/>
      </c>
      <c r="X256" s="47" t="n"/>
    </row>
    <row r="257">
      <c r="A257" s="50" t="n"/>
      <c r="B257" s="47" t="n"/>
      <c r="C257" s="47" t="n"/>
      <c r="D257" s="50" t="n"/>
      <c r="E257" s="50" t="n"/>
      <c r="F257" s="48" t="n"/>
      <c r="G257" s="47" t="n"/>
      <c r="H257" s="47" t="n"/>
      <c r="I257" s="47" t="n"/>
      <c r="J257" s="47" t="n"/>
      <c r="K257" s="47" t="n"/>
      <c r="L257" s="47" t="n"/>
      <c r="M257" s="50" t="n"/>
      <c r="N257" s="50" t="n"/>
      <c r="O257" s="50" t="n"/>
      <c r="P257" s="48">
        <f>IF($F257="","",IF($J257="Yes",$F257+1,IF($G257="No",$F257+2,IF(N($I257)&gt;2,$F257+3,IF(N($I257)&gt;0,$F257+5,$F257+7)))))</f>
        <v/>
      </c>
      <c r="Q257" s="48">
        <f>IF($P257="","",IF($J257="Yes",$P257+3,IF($G257="No",$P257+5,IF(N($I257)&gt;0,$P257+7,$P257+14))))</f>
        <v/>
      </c>
      <c r="R257" s="48">
        <f>IF($Q257="","",IF($J257="Yes",$Q257+7,IF($G257="No",$Q257+14,$Q257+30)))</f>
        <v/>
      </c>
      <c r="S257" s="47" t="n"/>
      <c r="T257" s="50" t="n"/>
      <c r="U257" s="47">
        <f>IF($F257="","",MIN(24,MAX(1,ROUNDUP(($F257-DayPlan!$C$2+1)/7,0))))</f>
        <v/>
      </c>
      <c r="V257" s="47">
        <f>IF($A257=""," ",4*($J257="Yes")+3*($G257="No")+2*(N($I257)&gt;0)+1*(AND(ISNUMBER($H257),$H257&gt;45))+3*(AND(ISNUMBER($P257),$P257&lt;=TODAY()))-6*($S257="Yes")+(750-ROW())/100000)</f>
        <v/>
      </c>
      <c r="W257" s="47">
        <f>IF(OR($A257="",NOT(ISNUMBER($P257))),"",INT($P257-TODAY()))</f>
        <v/>
      </c>
      <c r="X257" s="47" t="n"/>
    </row>
    <row r="258">
      <c r="A258" s="50" t="n"/>
      <c r="B258" s="47" t="n"/>
      <c r="C258" s="47" t="n"/>
      <c r="D258" s="50" t="n"/>
      <c r="E258" s="50" t="n"/>
      <c r="F258" s="48" t="n"/>
      <c r="G258" s="47" t="n"/>
      <c r="H258" s="47" t="n"/>
      <c r="I258" s="47" t="n"/>
      <c r="J258" s="47" t="n"/>
      <c r="K258" s="47" t="n"/>
      <c r="L258" s="47" t="n"/>
      <c r="M258" s="50" t="n"/>
      <c r="N258" s="50" t="n"/>
      <c r="O258" s="50" t="n"/>
      <c r="P258" s="48">
        <f>IF($F258="","",IF($J258="Yes",$F258+1,IF($G258="No",$F258+2,IF(N($I258)&gt;2,$F258+3,IF(N($I258)&gt;0,$F258+5,$F258+7)))))</f>
        <v/>
      </c>
      <c r="Q258" s="48">
        <f>IF($P258="","",IF($J258="Yes",$P258+3,IF($G258="No",$P258+5,IF(N($I258)&gt;0,$P258+7,$P258+14))))</f>
        <v/>
      </c>
      <c r="R258" s="48">
        <f>IF($Q258="","",IF($J258="Yes",$Q258+7,IF($G258="No",$Q258+14,$Q258+30)))</f>
        <v/>
      </c>
      <c r="S258" s="47" t="n"/>
      <c r="T258" s="50" t="n"/>
      <c r="U258" s="47">
        <f>IF($F258="","",MIN(24,MAX(1,ROUNDUP(($F258-DayPlan!$C$2+1)/7,0))))</f>
        <v/>
      </c>
      <c r="V258" s="47">
        <f>IF($A258=""," ",4*($J258="Yes")+3*($G258="No")+2*(N($I258)&gt;0)+1*(AND(ISNUMBER($H258),$H258&gt;45))+3*(AND(ISNUMBER($P258),$P258&lt;=TODAY()))-6*($S258="Yes")+(750-ROW())/100000)</f>
        <v/>
      </c>
      <c r="W258" s="47">
        <f>IF(OR($A258="",NOT(ISNUMBER($P258))),"",INT($P258-TODAY()))</f>
        <v/>
      </c>
      <c r="X258" s="47" t="n"/>
    </row>
    <row r="259">
      <c r="A259" s="50" t="n"/>
      <c r="B259" s="47" t="n"/>
      <c r="C259" s="47" t="n"/>
      <c r="D259" s="50" t="n"/>
      <c r="E259" s="50" t="n"/>
      <c r="F259" s="48" t="n"/>
      <c r="G259" s="47" t="n"/>
      <c r="H259" s="47" t="n"/>
      <c r="I259" s="47" t="n"/>
      <c r="J259" s="47" t="n"/>
      <c r="K259" s="47" t="n"/>
      <c r="L259" s="47" t="n"/>
      <c r="M259" s="50" t="n"/>
      <c r="N259" s="50" t="n"/>
      <c r="O259" s="50" t="n"/>
      <c r="P259" s="48">
        <f>IF($F259="","",IF($J259="Yes",$F259+1,IF($G259="No",$F259+2,IF(N($I259)&gt;2,$F259+3,IF(N($I259)&gt;0,$F259+5,$F259+7)))))</f>
        <v/>
      </c>
      <c r="Q259" s="48">
        <f>IF($P259="","",IF($J259="Yes",$P259+3,IF($G259="No",$P259+5,IF(N($I259)&gt;0,$P259+7,$P259+14))))</f>
        <v/>
      </c>
      <c r="R259" s="48">
        <f>IF($Q259="","",IF($J259="Yes",$Q259+7,IF($G259="No",$Q259+14,$Q259+30)))</f>
        <v/>
      </c>
      <c r="S259" s="47" t="n"/>
      <c r="T259" s="50" t="n"/>
      <c r="U259" s="47">
        <f>IF($F259="","",MIN(24,MAX(1,ROUNDUP(($F259-DayPlan!$C$2+1)/7,0))))</f>
        <v/>
      </c>
      <c r="V259" s="47">
        <f>IF($A259=""," ",4*($J259="Yes")+3*($G259="No")+2*(N($I259)&gt;0)+1*(AND(ISNUMBER($H259),$H259&gt;45))+3*(AND(ISNUMBER($P259),$P259&lt;=TODAY()))-6*($S259="Yes")+(750-ROW())/100000)</f>
        <v/>
      </c>
      <c r="W259" s="47">
        <f>IF(OR($A259="",NOT(ISNUMBER($P259))),"",INT($P259-TODAY()))</f>
        <v/>
      </c>
      <c r="X259" s="47" t="n"/>
    </row>
    <row r="260">
      <c r="A260" s="50" t="n"/>
      <c r="B260" s="47" t="n"/>
      <c r="C260" s="47" t="n"/>
      <c r="D260" s="50" t="n"/>
      <c r="E260" s="50" t="n"/>
      <c r="F260" s="48" t="n"/>
      <c r="G260" s="47" t="n"/>
      <c r="H260" s="47" t="n"/>
      <c r="I260" s="47" t="n"/>
      <c r="J260" s="47" t="n"/>
      <c r="K260" s="47" t="n"/>
      <c r="L260" s="47" t="n"/>
      <c r="M260" s="50" t="n"/>
      <c r="N260" s="50" t="n"/>
      <c r="O260" s="50" t="n"/>
      <c r="P260" s="48">
        <f>IF($F260="","",IF($J260="Yes",$F260+1,IF($G260="No",$F260+2,IF(N($I260)&gt;2,$F260+3,IF(N($I260)&gt;0,$F260+5,$F260+7)))))</f>
        <v/>
      </c>
      <c r="Q260" s="48">
        <f>IF($P260="","",IF($J260="Yes",$P260+3,IF($G260="No",$P260+5,IF(N($I260)&gt;0,$P260+7,$P260+14))))</f>
        <v/>
      </c>
      <c r="R260" s="48">
        <f>IF($Q260="","",IF($J260="Yes",$Q260+7,IF($G260="No",$Q260+14,$Q260+30)))</f>
        <v/>
      </c>
      <c r="S260" s="47" t="n"/>
      <c r="T260" s="50" t="n"/>
      <c r="U260" s="47">
        <f>IF($F260="","",MIN(24,MAX(1,ROUNDUP(($F260-DayPlan!$C$2+1)/7,0))))</f>
        <v/>
      </c>
      <c r="V260" s="47">
        <f>IF($A260=""," ",4*($J260="Yes")+3*($G260="No")+2*(N($I260)&gt;0)+1*(AND(ISNUMBER($H260),$H260&gt;45))+3*(AND(ISNUMBER($P260),$P260&lt;=TODAY()))-6*($S260="Yes")+(750-ROW())/100000)</f>
        <v/>
      </c>
      <c r="W260" s="47">
        <f>IF(OR($A260="",NOT(ISNUMBER($P260))),"",INT($P260-TODAY()))</f>
        <v/>
      </c>
      <c r="X260" s="47" t="n"/>
    </row>
    <row r="261">
      <c r="A261" s="50" t="n"/>
      <c r="B261" s="47" t="n"/>
      <c r="C261" s="47" t="n"/>
      <c r="D261" s="50" t="n"/>
      <c r="E261" s="50" t="n"/>
      <c r="F261" s="48" t="n"/>
      <c r="G261" s="47" t="n"/>
      <c r="H261" s="47" t="n"/>
      <c r="I261" s="47" t="n"/>
      <c r="J261" s="47" t="n"/>
      <c r="K261" s="47" t="n"/>
      <c r="L261" s="47" t="n"/>
      <c r="M261" s="50" t="n"/>
      <c r="N261" s="50" t="n"/>
      <c r="O261" s="50" t="n"/>
      <c r="P261" s="48">
        <f>IF($F261="","",IF($J261="Yes",$F261+1,IF($G261="No",$F261+2,IF(N($I261)&gt;2,$F261+3,IF(N($I261)&gt;0,$F261+5,$F261+7)))))</f>
        <v/>
      </c>
      <c r="Q261" s="48">
        <f>IF($P261="","",IF($J261="Yes",$P261+3,IF($G261="No",$P261+5,IF(N($I261)&gt;0,$P261+7,$P261+14))))</f>
        <v/>
      </c>
      <c r="R261" s="48">
        <f>IF($Q261="","",IF($J261="Yes",$Q261+7,IF($G261="No",$Q261+14,$Q261+30)))</f>
        <v/>
      </c>
      <c r="S261" s="47" t="n"/>
      <c r="T261" s="50" t="n"/>
      <c r="U261" s="47">
        <f>IF($F261="","",MIN(24,MAX(1,ROUNDUP(($F261-DayPlan!$C$2+1)/7,0))))</f>
        <v/>
      </c>
      <c r="V261" s="47">
        <f>IF($A261=""," ",4*($J261="Yes")+3*($G261="No")+2*(N($I261)&gt;0)+1*(AND(ISNUMBER($H261),$H261&gt;45))+3*(AND(ISNUMBER($P261),$P261&lt;=TODAY()))-6*($S261="Yes")+(750-ROW())/100000)</f>
        <v/>
      </c>
      <c r="W261" s="47">
        <f>IF(OR($A261="",NOT(ISNUMBER($P261))),"",INT($P261-TODAY()))</f>
        <v/>
      </c>
      <c r="X261" s="47" t="n"/>
    </row>
    <row r="262">
      <c r="A262" s="50" t="n"/>
      <c r="B262" s="47" t="n"/>
      <c r="C262" s="47" t="n"/>
      <c r="D262" s="50" t="n"/>
      <c r="E262" s="50" t="n"/>
      <c r="F262" s="48" t="n"/>
      <c r="G262" s="47" t="n"/>
      <c r="H262" s="47" t="n"/>
      <c r="I262" s="47" t="n"/>
      <c r="J262" s="47" t="n"/>
      <c r="K262" s="47" t="n"/>
      <c r="L262" s="47" t="n"/>
      <c r="M262" s="50" t="n"/>
      <c r="N262" s="50" t="n"/>
      <c r="O262" s="50" t="n"/>
      <c r="P262" s="48">
        <f>IF($F262="","",IF($J262="Yes",$F262+1,IF($G262="No",$F262+2,IF(N($I262)&gt;2,$F262+3,IF(N($I262)&gt;0,$F262+5,$F262+7)))))</f>
        <v/>
      </c>
      <c r="Q262" s="48">
        <f>IF($P262="","",IF($J262="Yes",$P262+3,IF($G262="No",$P262+5,IF(N($I262)&gt;0,$P262+7,$P262+14))))</f>
        <v/>
      </c>
      <c r="R262" s="48">
        <f>IF($Q262="","",IF($J262="Yes",$Q262+7,IF($G262="No",$Q262+14,$Q262+30)))</f>
        <v/>
      </c>
      <c r="S262" s="47" t="n"/>
      <c r="T262" s="50" t="n"/>
      <c r="U262" s="47">
        <f>IF($F262="","",MIN(24,MAX(1,ROUNDUP(($F262-DayPlan!$C$2+1)/7,0))))</f>
        <v/>
      </c>
      <c r="V262" s="47">
        <f>IF($A262=""," ",4*($J262="Yes")+3*($G262="No")+2*(N($I262)&gt;0)+1*(AND(ISNUMBER($H262),$H262&gt;45))+3*(AND(ISNUMBER($P262),$P262&lt;=TODAY()))-6*($S262="Yes")+(750-ROW())/100000)</f>
        <v/>
      </c>
      <c r="W262" s="47">
        <f>IF(OR($A262="",NOT(ISNUMBER($P262))),"",INT($P262-TODAY()))</f>
        <v/>
      </c>
      <c r="X262" s="47" t="n"/>
    </row>
    <row r="263">
      <c r="A263" s="50" t="n"/>
      <c r="B263" s="47" t="n"/>
      <c r="C263" s="47" t="n"/>
      <c r="D263" s="50" t="n"/>
      <c r="E263" s="50" t="n"/>
      <c r="F263" s="48" t="n"/>
      <c r="G263" s="47" t="n"/>
      <c r="H263" s="47" t="n"/>
      <c r="I263" s="47" t="n"/>
      <c r="J263" s="47" t="n"/>
      <c r="K263" s="47" t="n"/>
      <c r="L263" s="47" t="n"/>
      <c r="M263" s="50" t="n"/>
      <c r="N263" s="50" t="n"/>
      <c r="O263" s="50" t="n"/>
      <c r="P263" s="48">
        <f>IF($F263="","",IF($J263="Yes",$F263+1,IF($G263="No",$F263+2,IF(N($I263)&gt;2,$F263+3,IF(N($I263)&gt;0,$F263+5,$F263+7)))))</f>
        <v/>
      </c>
      <c r="Q263" s="48">
        <f>IF($P263="","",IF($J263="Yes",$P263+3,IF($G263="No",$P263+5,IF(N($I263)&gt;0,$P263+7,$P263+14))))</f>
        <v/>
      </c>
      <c r="R263" s="48">
        <f>IF($Q263="","",IF($J263="Yes",$Q263+7,IF($G263="No",$Q263+14,$Q263+30)))</f>
        <v/>
      </c>
      <c r="S263" s="47" t="n"/>
      <c r="T263" s="50" t="n"/>
      <c r="U263" s="47">
        <f>IF($F263="","",MIN(24,MAX(1,ROUNDUP(($F263-DayPlan!$C$2+1)/7,0))))</f>
        <v/>
      </c>
      <c r="V263" s="47">
        <f>IF($A263=""," ",4*($J263="Yes")+3*($G263="No")+2*(N($I263)&gt;0)+1*(AND(ISNUMBER($H263),$H263&gt;45))+3*(AND(ISNUMBER($P263),$P263&lt;=TODAY()))-6*($S263="Yes")+(750-ROW())/100000)</f>
        <v/>
      </c>
      <c r="W263" s="47">
        <f>IF(OR($A263="",NOT(ISNUMBER($P263))),"",INT($P263-TODAY()))</f>
        <v/>
      </c>
      <c r="X263" s="47" t="n"/>
    </row>
    <row r="264">
      <c r="A264" s="50" t="n"/>
      <c r="B264" s="47" t="n"/>
      <c r="C264" s="47" t="n"/>
      <c r="D264" s="50" t="n"/>
      <c r="E264" s="50" t="n"/>
      <c r="F264" s="48" t="n"/>
      <c r="G264" s="47" t="n"/>
      <c r="H264" s="47" t="n"/>
      <c r="I264" s="47" t="n"/>
      <c r="J264" s="47" t="n"/>
      <c r="K264" s="47" t="n"/>
      <c r="L264" s="47" t="n"/>
      <c r="M264" s="50" t="n"/>
      <c r="N264" s="50" t="n"/>
      <c r="O264" s="50" t="n"/>
      <c r="P264" s="48">
        <f>IF($F264="","",IF($J264="Yes",$F264+1,IF($G264="No",$F264+2,IF(N($I264)&gt;2,$F264+3,IF(N($I264)&gt;0,$F264+5,$F264+7)))))</f>
        <v/>
      </c>
      <c r="Q264" s="48">
        <f>IF($P264="","",IF($J264="Yes",$P264+3,IF($G264="No",$P264+5,IF(N($I264)&gt;0,$P264+7,$P264+14))))</f>
        <v/>
      </c>
      <c r="R264" s="48">
        <f>IF($Q264="","",IF($J264="Yes",$Q264+7,IF($G264="No",$Q264+14,$Q264+30)))</f>
        <v/>
      </c>
      <c r="S264" s="47" t="n"/>
      <c r="T264" s="50" t="n"/>
      <c r="U264" s="47">
        <f>IF($F264="","",MIN(24,MAX(1,ROUNDUP(($F264-DayPlan!$C$2+1)/7,0))))</f>
        <v/>
      </c>
      <c r="V264" s="47">
        <f>IF($A264=""," ",4*($J264="Yes")+3*($G264="No")+2*(N($I264)&gt;0)+1*(AND(ISNUMBER($H264),$H264&gt;45))+3*(AND(ISNUMBER($P264),$P264&lt;=TODAY()))-6*($S264="Yes")+(750-ROW())/100000)</f>
        <v/>
      </c>
      <c r="W264" s="47">
        <f>IF(OR($A264="",NOT(ISNUMBER($P264))),"",INT($P264-TODAY()))</f>
        <v/>
      </c>
      <c r="X264" s="47" t="n"/>
    </row>
    <row r="265">
      <c r="A265" s="50" t="n"/>
      <c r="B265" s="47" t="n"/>
      <c r="C265" s="47" t="n"/>
      <c r="D265" s="50" t="n"/>
      <c r="E265" s="50" t="n"/>
      <c r="F265" s="48" t="n"/>
      <c r="G265" s="47" t="n"/>
      <c r="H265" s="47" t="n"/>
      <c r="I265" s="47" t="n"/>
      <c r="J265" s="47" t="n"/>
      <c r="K265" s="47" t="n"/>
      <c r="L265" s="47" t="n"/>
      <c r="M265" s="50" t="n"/>
      <c r="N265" s="50" t="n"/>
      <c r="O265" s="50" t="n"/>
      <c r="P265" s="48">
        <f>IF($F265="","",IF($J265="Yes",$F265+1,IF($G265="No",$F265+2,IF(N($I265)&gt;2,$F265+3,IF(N($I265)&gt;0,$F265+5,$F265+7)))))</f>
        <v/>
      </c>
      <c r="Q265" s="48">
        <f>IF($P265="","",IF($J265="Yes",$P265+3,IF($G265="No",$P265+5,IF(N($I265)&gt;0,$P265+7,$P265+14))))</f>
        <v/>
      </c>
      <c r="R265" s="48">
        <f>IF($Q265="","",IF($J265="Yes",$Q265+7,IF($G265="No",$Q265+14,$Q265+30)))</f>
        <v/>
      </c>
      <c r="S265" s="47" t="n"/>
      <c r="T265" s="50" t="n"/>
      <c r="U265" s="47">
        <f>IF($F265="","",MIN(24,MAX(1,ROUNDUP(($F265-DayPlan!$C$2+1)/7,0))))</f>
        <v/>
      </c>
      <c r="V265" s="47">
        <f>IF($A265=""," ",4*($J265="Yes")+3*($G265="No")+2*(N($I265)&gt;0)+1*(AND(ISNUMBER($H265),$H265&gt;45))+3*(AND(ISNUMBER($P265),$P265&lt;=TODAY()))-6*($S265="Yes")+(750-ROW())/100000)</f>
        <v/>
      </c>
      <c r="W265" s="47">
        <f>IF(OR($A265="",NOT(ISNUMBER($P265))),"",INT($P265-TODAY()))</f>
        <v/>
      </c>
      <c r="X265" s="47" t="n"/>
    </row>
    <row r="266">
      <c r="A266" s="50" t="n"/>
      <c r="B266" s="47" t="n"/>
      <c r="C266" s="47" t="n"/>
      <c r="D266" s="50" t="n"/>
      <c r="E266" s="50" t="n"/>
      <c r="F266" s="48" t="n"/>
      <c r="G266" s="47" t="n"/>
      <c r="H266" s="47" t="n"/>
      <c r="I266" s="47" t="n"/>
      <c r="J266" s="47" t="n"/>
      <c r="K266" s="47" t="n"/>
      <c r="L266" s="47" t="n"/>
      <c r="M266" s="50" t="n"/>
      <c r="N266" s="50" t="n"/>
      <c r="O266" s="50" t="n"/>
      <c r="P266" s="48">
        <f>IF($F266="","",IF($J266="Yes",$F266+1,IF($G266="No",$F266+2,IF(N($I266)&gt;2,$F266+3,IF(N($I266)&gt;0,$F266+5,$F266+7)))))</f>
        <v/>
      </c>
      <c r="Q266" s="48">
        <f>IF($P266="","",IF($J266="Yes",$P266+3,IF($G266="No",$P266+5,IF(N($I266)&gt;0,$P266+7,$P266+14))))</f>
        <v/>
      </c>
      <c r="R266" s="48">
        <f>IF($Q266="","",IF($J266="Yes",$Q266+7,IF($G266="No",$Q266+14,$Q266+30)))</f>
        <v/>
      </c>
      <c r="S266" s="47" t="n"/>
      <c r="T266" s="50" t="n"/>
      <c r="U266" s="47">
        <f>IF($F266="","",MIN(24,MAX(1,ROUNDUP(($F266-DayPlan!$C$2+1)/7,0))))</f>
        <v/>
      </c>
      <c r="V266" s="47">
        <f>IF($A266=""," ",4*($J266="Yes")+3*($G266="No")+2*(N($I266)&gt;0)+1*(AND(ISNUMBER($H266),$H266&gt;45))+3*(AND(ISNUMBER($P266),$P266&lt;=TODAY()))-6*($S266="Yes")+(750-ROW())/100000)</f>
        <v/>
      </c>
      <c r="W266" s="47">
        <f>IF(OR($A266="",NOT(ISNUMBER($P266))),"",INT($P266-TODAY()))</f>
        <v/>
      </c>
      <c r="X266" s="47" t="n"/>
    </row>
    <row r="267">
      <c r="A267" s="50" t="n"/>
      <c r="B267" s="47" t="n"/>
      <c r="C267" s="47" t="n"/>
      <c r="D267" s="50" t="n"/>
      <c r="E267" s="50" t="n"/>
      <c r="F267" s="48" t="n"/>
      <c r="G267" s="47" t="n"/>
      <c r="H267" s="47" t="n"/>
      <c r="I267" s="47" t="n"/>
      <c r="J267" s="47" t="n"/>
      <c r="K267" s="47" t="n"/>
      <c r="L267" s="47" t="n"/>
      <c r="M267" s="50" t="n"/>
      <c r="N267" s="50" t="n"/>
      <c r="O267" s="50" t="n"/>
      <c r="P267" s="48">
        <f>IF($F267="","",IF($J267="Yes",$F267+1,IF($G267="No",$F267+2,IF(N($I267)&gt;2,$F267+3,IF(N($I267)&gt;0,$F267+5,$F267+7)))))</f>
        <v/>
      </c>
      <c r="Q267" s="48">
        <f>IF($P267="","",IF($J267="Yes",$P267+3,IF($G267="No",$P267+5,IF(N($I267)&gt;0,$P267+7,$P267+14))))</f>
        <v/>
      </c>
      <c r="R267" s="48">
        <f>IF($Q267="","",IF($J267="Yes",$Q267+7,IF($G267="No",$Q267+14,$Q267+30)))</f>
        <v/>
      </c>
      <c r="S267" s="47" t="n"/>
      <c r="T267" s="50" t="n"/>
      <c r="U267" s="47">
        <f>IF($F267="","",MIN(24,MAX(1,ROUNDUP(($F267-DayPlan!$C$2+1)/7,0))))</f>
        <v/>
      </c>
      <c r="V267" s="47">
        <f>IF($A267=""," ",4*($J267="Yes")+3*($G267="No")+2*(N($I267)&gt;0)+1*(AND(ISNUMBER($H267),$H267&gt;45))+3*(AND(ISNUMBER($P267),$P267&lt;=TODAY()))-6*($S267="Yes")+(750-ROW())/100000)</f>
        <v/>
      </c>
      <c r="W267" s="47">
        <f>IF(OR($A267="",NOT(ISNUMBER($P267))),"",INT($P267-TODAY()))</f>
        <v/>
      </c>
      <c r="X267" s="47" t="n"/>
    </row>
    <row r="268">
      <c r="A268" s="50" t="n"/>
      <c r="B268" s="47" t="n"/>
      <c r="C268" s="47" t="n"/>
      <c r="D268" s="50" t="n"/>
      <c r="E268" s="50" t="n"/>
      <c r="F268" s="48" t="n"/>
      <c r="G268" s="47" t="n"/>
      <c r="H268" s="47" t="n"/>
      <c r="I268" s="47" t="n"/>
      <c r="J268" s="47" t="n"/>
      <c r="K268" s="47" t="n"/>
      <c r="L268" s="47" t="n"/>
      <c r="M268" s="50" t="n"/>
      <c r="N268" s="50" t="n"/>
      <c r="O268" s="50" t="n"/>
      <c r="P268" s="48">
        <f>IF($F268="","",IF($J268="Yes",$F268+1,IF($G268="No",$F268+2,IF(N($I268)&gt;2,$F268+3,IF(N($I268)&gt;0,$F268+5,$F268+7)))))</f>
        <v/>
      </c>
      <c r="Q268" s="48">
        <f>IF($P268="","",IF($J268="Yes",$P268+3,IF($G268="No",$P268+5,IF(N($I268)&gt;0,$P268+7,$P268+14))))</f>
        <v/>
      </c>
      <c r="R268" s="48">
        <f>IF($Q268="","",IF($J268="Yes",$Q268+7,IF($G268="No",$Q268+14,$Q268+30)))</f>
        <v/>
      </c>
      <c r="S268" s="47" t="n"/>
      <c r="T268" s="50" t="n"/>
      <c r="U268" s="47">
        <f>IF($F268="","",MIN(24,MAX(1,ROUNDUP(($F268-DayPlan!$C$2+1)/7,0))))</f>
        <v/>
      </c>
      <c r="V268" s="47">
        <f>IF($A268=""," ",4*($J268="Yes")+3*($G268="No")+2*(N($I268)&gt;0)+1*(AND(ISNUMBER($H268),$H268&gt;45))+3*(AND(ISNUMBER($P268),$P268&lt;=TODAY()))-6*($S268="Yes")+(750-ROW())/100000)</f>
        <v/>
      </c>
      <c r="W268" s="47">
        <f>IF(OR($A268="",NOT(ISNUMBER($P268))),"",INT($P268-TODAY()))</f>
        <v/>
      </c>
      <c r="X268" s="47" t="n"/>
    </row>
    <row r="269">
      <c r="A269" s="50" t="n"/>
      <c r="B269" s="47" t="n"/>
      <c r="C269" s="47" t="n"/>
      <c r="D269" s="50" t="n"/>
      <c r="E269" s="50" t="n"/>
      <c r="F269" s="48" t="n"/>
      <c r="G269" s="47" t="n"/>
      <c r="H269" s="47" t="n"/>
      <c r="I269" s="47" t="n"/>
      <c r="J269" s="47" t="n"/>
      <c r="K269" s="47" t="n"/>
      <c r="L269" s="47" t="n"/>
      <c r="M269" s="50" t="n"/>
      <c r="N269" s="50" t="n"/>
      <c r="O269" s="50" t="n"/>
      <c r="P269" s="48">
        <f>IF($F269="","",IF($J269="Yes",$F269+1,IF($G269="No",$F269+2,IF(N($I269)&gt;2,$F269+3,IF(N($I269)&gt;0,$F269+5,$F269+7)))))</f>
        <v/>
      </c>
      <c r="Q269" s="48">
        <f>IF($P269="","",IF($J269="Yes",$P269+3,IF($G269="No",$P269+5,IF(N($I269)&gt;0,$P269+7,$P269+14))))</f>
        <v/>
      </c>
      <c r="R269" s="48">
        <f>IF($Q269="","",IF($J269="Yes",$Q269+7,IF($G269="No",$Q269+14,$Q269+30)))</f>
        <v/>
      </c>
      <c r="S269" s="47" t="n"/>
      <c r="T269" s="50" t="n"/>
      <c r="U269" s="47">
        <f>IF($F269="","",MIN(24,MAX(1,ROUNDUP(($F269-DayPlan!$C$2+1)/7,0))))</f>
        <v/>
      </c>
      <c r="V269" s="47">
        <f>IF($A269=""," ",4*($J269="Yes")+3*($G269="No")+2*(N($I269)&gt;0)+1*(AND(ISNUMBER($H269),$H269&gt;45))+3*(AND(ISNUMBER($P269),$P269&lt;=TODAY()))-6*($S269="Yes")+(750-ROW())/100000)</f>
        <v/>
      </c>
      <c r="W269" s="47">
        <f>IF(OR($A269="",NOT(ISNUMBER($P269))),"",INT($P269-TODAY()))</f>
        <v/>
      </c>
      <c r="X269" s="47" t="n"/>
    </row>
    <row r="270">
      <c r="A270" s="50" t="n"/>
      <c r="B270" s="47" t="n"/>
      <c r="C270" s="47" t="n"/>
      <c r="D270" s="50" t="n"/>
      <c r="E270" s="50" t="n"/>
      <c r="F270" s="48" t="n"/>
      <c r="G270" s="47" t="n"/>
      <c r="H270" s="47" t="n"/>
      <c r="I270" s="47" t="n"/>
      <c r="J270" s="47" t="n"/>
      <c r="K270" s="47" t="n"/>
      <c r="L270" s="47" t="n"/>
      <c r="M270" s="50" t="n"/>
      <c r="N270" s="50" t="n"/>
      <c r="O270" s="50" t="n"/>
      <c r="P270" s="48">
        <f>IF($F270="","",IF($J270="Yes",$F270+1,IF($G270="No",$F270+2,IF(N($I270)&gt;2,$F270+3,IF(N($I270)&gt;0,$F270+5,$F270+7)))))</f>
        <v/>
      </c>
      <c r="Q270" s="48">
        <f>IF($P270="","",IF($J270="Yes",$P270+3,IF($G270="No",$P270+5,IF(N($I270)&gt;0,$P270+7,$P270+14))))</f>
        <v/>
      </c>
      <c r="R270" s="48">
        <f>IF($Q270="","",IF($J270="Yes",$Q270+7,IF($G270="No",$Q270+14,$Q270+30)))</f>
        <v/>
      </c>
      <c r="S270" s="47" t="n"/>
      <c r="T270" s="50" t="n"/>
      <c r="U270" s="47">
        <f>IF($F270="","",MIN(24,MAX(1,ROUNDUP(($F270-DayPlan!$C$2+1)/7,0))))</f>
        <v/>
      </c>
      <c r="V270" s="47">
        <f>IF($A270=""," ",4*($J270="Yes")+3*($G270="No")+2*(N($I270)&gt;0)+1*(AND(ISNUMBER($H270),$H270&gt;45))+3*(AND(ISNUMBER($P270),$P270&lt;=TODAY()))-6*($S270="Yes")+(750-ROW())/100000)</f>
        <v/>
      </c>
      <c r="W270" s="47">
        <f>IF(OR($A270="",NOT(ISNUMBER($P270))),"",INT($P270-TODAY()))</f>
        <v/>
      </c>
      <c r="X270" s="47" t="n"/>
    </row>
    <row r="271">
      <c r="A271" s="50" t="n"/>
      <c r="B271" s="47" t="n"/>
      <c r="C271" s="47" t="n"/>
      <c r="D271" s="50" t="n"/>
      <c r="E271" s="50" t="n"/>
      <c r="F271" s="48" t="n"/>
      <c r="G271" s="47" t="n"/>
      <c r="H271" s="47" t="n"/>
      <c r="I271" s="47" t="n"/>
      <c r="J271" s="47" t="n"/>
      <c r="K271" s="47" t="n"/>
      <c r="L271" s="47" t="n"/>
      <c r="M271" s="50" t="n"/>
      <c r="N271" s="50" t="n"/>
      <c r="O271" s="50" t="n"/>
      <c r="P271" s="48">
        <f>IF($F271="","",IF($J271="Yes",$F271+1,IF($G271="No",$F271+2,IF(N($I271)&gt;2,$F271+3,IF(N($I271)&gt;0,$F271+5,$F271+7)))))</f>
        <v/>
      </c>
      <c r="Q271" s="48">
        <f>IF($P271="","",IF($J271="Yes",$P271+3,IF($G271="No",$P271+5,IF(N($I271)&gt;0,$P271+7,$P271+14))))</f>
        <v/>
      </c>
      <c r="R271" s="48">
        <f>IF($Q271="","",IF($J271="Yes",$Q271+7,IF($G271="No",$Q271+14,$Q271+30)))</f>
        <v/>
      </c>
      <c r="S271" s="47" t="n"/>
      <c r="T271" s="50" t="n"/>
      <c r="U271" s="47">
        <f>IF($F271="","",MIN(24,MAX(1,ROUNDUP(($F271-DayPlan!$C$2+1)/7,0))))</f>
        <v/>
      </c>
      <c r="V271" s="47">
        <f>IF($A271=""," ",4*($J271="Yes")+3*($G271="No")+2*(N($I271)&gt;0)+1*(AND(ISNUMBER($H271),$H271&gt;45))+3*(AND(ISNUMBER($P271),$P271&lt;=TODAY()))-6*($S271="Yes")+(750-ROW())/100000)</f>
        <v/>
      </c>
      <c r="W271" s="47">
        <f>IF(OR($A271="",NOT(ISNUMBER($P271))),"",INT($P271-TODAY()))</f>
        <v/>
      </c>
      <c r="X271" s="47" t="n"/>
    </row>
    <row r="272">
      <c r="A272" s="50" t="n"/>
      <c r="B272" s="47" t="n"/>
      <c r="C272" s="47" t="n"/>
      <c r="D272" s="50" t="n"/>
      <c r="E272" s="50" t="n"/>
      <c r="F272" s="48" t="n"/>
      <c r="G272" s="47" t="n"/>
      <c r="H272" s="47" t="n"/>
      <c r="I272" s="47" t="n"/>
      <c r="J272" s="47" t="n"/>
      <c r="K272" s="47" t="n"/>
      <c r="L272" s="47" t="n"/>
      <c r="M272" s="50" t="n"/>
      <c r="N272" s="50" t="n"/>
      <c r="O272" s="50" t="n"/>
      <c r="P272" s="48">
        <f>IF($F272="","",IF($J272="Yes",$F272+1,IF($G272="No",$F272+2,IF(N($I272)&gt;2,$F272+3,IF(N($I272)&gt;0,$F272+5,$F272+7)))))</f>
        <v/>
      </c>
      <c r="Q272" s="48">
        <f>IF($P272="","",IF($J272="Yes",$P272+3,IF($G272="No",$P272+5,IF(N($I272)&gt;0,$P272+7,$P272+14))))</f>
        <v/>
      </c>
      <c r="R272" s="48">
        <f>IF($Q272="","",IF($J272="Yes",$Q272+7,IF($G272="No",$Q272+14,$Q272+30)))</f>
        <v/>
      </c>
      <c r="S272" s="47" t="n"/>
      <c r="T272" s="50" t="n"/>
      <c r="U272" s="47">
        <f>IF($F272="","",MIN(24,MAX(1,ROUNDUP(($F272-DayPlan!$C$2+1)/7,0))))</f>
        <v/>
      </c>
      <c r="V272" s="47">
        <f>IF($A272=""," ",4*($J272="Yes")+3*($G272="No")+2*(N($I272)&gt;0)+1*(AND(ISNUMBER($H272),$H272&gt;45))+3*(AND(ISNUMBER($P272),$P272&lt;=TODAY()))-6*($S272="Yes")+(750-ROW())/100000)</f>
        <v/>
      </c>
      <c r="W272" s="47">
        <f>IF(OR($A272="",NOT(ISNUMBER($P272))),"",INT($P272-TODAY()))</f>
        <v/>
      </c>
      <c r="X272" s="47" t="n"/>
    </row>
    <row r="273">
      <c r="A273" s="50" t="n"/>
      <c r="B273" s="47" t="n"/>
      <c r="C273" s="47" t="n"/>
      <c r="D273" s="50" t="n"/>
      <c r="E273" s="50" t="n"/>
      <c r="F273" s="48" t="n"/>
      <c r="G273" s="47" t="n"/>
      <c r="H273" s="47" t="n"/>
      <c r="I273" s="47" t="n"/>
      <c r="J273" s="47" t="n"/>
      <c r="K273" s="47" t="n"/>
      <c r="L273" s="47" t="n"/>
      <c r="M273" s="50" t="n"/>
      <c r="N273" s="50" t="n"/>
      <c r="O273" s="50" t="n"/>
      <c r="P273" s="48">
        <f>IF($F273="","",IF($J273="Yes",$F273+1,IF($G273="No",$F273+2,IF(N($I273)&gt;2,$F273+3,IF(N($I273)&gt;0,$F273+5,$F273+7)))))</f>
        <v/>
      </c>
      <c r="Q273" s="48">
        <f>IF($P273="","",IF($J273="Yes",$P273+3,IF($G273="No",$P273+5,IF(N($I273)&gt;0,$P273+7,$P273+14))))</f>
        <v/>
      </c>
      <c r="R273" s="48">
        <f>IF($Q273="","",IF($J273="Yes",$Q273+7,IF($G273="No",$Q273+14,$Q273+30)))</f>
        <v/>
      </c>
      <c r="S273" s="47" t="n"/>
      <c r="T273" s="50" t="n"/>
      <c r="U273" s="47">
        <f>IF($F273="","",MIN(24,MAX(1,ROUNDUP(($F273-DayPlan!$C$2+1)/7,0))))</f>
        <v/>
      </c>
      <c r="V273" s="47">
        <f>IF($A273=""," ",4*($J273="Yes")+3*($G273="No")+2*(N($I273)&gt;0)+1*(AND(ISNUMBER($H273),$H273&gt;45))+3*(AND(ISNUMBER($P273),$P273&lt;=TODAY()))-6*($S273="Yes")+(750-ROW())/100000)</f>
        <v/>
      </c>
      <c r="W273" s="47">
        <f>IF(OR($A273="",NOT(ISNUMBER($P273))),"",INT($P273-TODAY()))</f>
        <v/>
      </c>
      <c r="X273" s="47" t="n"/>
    </row>
    <row r="274">
      <c r="A274" s="50" t="n"/>
      <c r="B274" s="47" t="n"/>
      <c r="C274" s="47" t="n"/>
      <c r="D274" s="50" t="n"/>
      <c r="E274" s="50" t="n"/>
      <c r="F274" s="48" t="n"/>
      <c r="G274" s="47" t="n"/>
      <c r="H274" s="47" t="n"/>
      <c r="I274" s="47" t="n"/>
      <c r="J274" s="47" t="n"/>
      <c r="K274" s="47" t="n"/>
      <c r="L274" s="47" t="n"/>
      <c r="M274" s="50" t="n"/>
      <c r="N274" s="50" t="n"/>
      <c r="O274" s="50" t="n"/>
      <c r="P274" s="48">
        <f>IF($F274="","",IF($J274="Yes",$F274+1,IF($G274="No",$F274+2,IF(N($I274)&gt;2,$F274+3,IF(N($I274)&gt;0,$F274+5,$F274+7)))))</f>
        <v/>
      </c>
      <c r="Q274" s="48">
        <f>IF($P274="","",IF($J274="Yes",$P274+3,IF($G274="No",$P274+5,IF(N($I274)&gt;0,$P274+7,$P274+14))))</f>
        <v/>
      </c>
      <c r="R274" s="48">
        <f>IF($Q274="","",IF($J274="Yes",$Q274+7,IF($G274="No",$Q274+14,$Q274+30)))</f>
        <v/>
      </c>
      <c r="S274" s="47" t="n"/>
      <c r="T274" s="50" t="n"/>
      <c r="U274" s="47">
        <f>IF($F274="","",MIN(24,MAX(1,ROUNDUP(($F274-DayPlan!$C$2+1)/7,0))))</f>
        <v/>
      </c>
      <c r="V274" s="47">
        <f>IF($A274=""," ",4*($J274="Yes")+3*($G274="No")+2*(N($I274)&gt;0)+1*(AND(ISNUMBER($H274),$H274&gt;45))+3*(AND(ISNUMBER($P274),$P274&lt;=TODAY()))-6*($S274="Yes")+(750-ROW())/100000)</f>
        <v/>
      </c>
      <c r="W274" s="47">
        <f>IF(OR($A274="",NOT(ISNUMBER($P274))),"",INT($P274-TODAY()))</f>
        <v/>
      </c>
      <c r="X274" s="47" t="n"/>
    </row>
    <row r="275">
      <c r="A275" s="50" t="n"/>
      <c r="B275" s="47" t="n"/>
      <c r="C275" s="47" t="n"/>
      <c r="D275" s="50" t="n"/>
      <c r="E275" s="50" t="n"/>
      <c r="F275" s="48" t="n"/>
      <c r="G275" s="47" t="n"/>
      <c r="H275" s="47" t="n"/>
      <c r="I275" s="47" t="n"/>
      <c r="J275" s="47" t="n"/>
      <c r="K275" s="47" t="n"/>
      <c r="L275" s="47" t="n"/>
      <c r="M275" s="50" t="n"/>
      <c r="N275" s="50" t="n"/>
      <c r="O275" s="50" t="n"/>
      <c r="P275" s="48">
        <f>IF($F275="","",IF($J275="Yes",$F275+1,IF($G275="No",$F275+2,IF(N($I275)&gt;2,$F275+3,IF(N($I275)&gt;0,$F275+5,$F275+7)))))</f>
        <v/>
      </c>
      <c r="Q275" s="48">
        <f>IF($P275="","",IF($J275="Yes",$P275+3,IF($G275="No",$P275+5,IF(N($I275)&gt;0,$P275+7,$P275+14))))</f>
        <v/>
      </c>
      <c r="R275" s="48">
        <f>IF($Q275="","",IF($J275="Yes",$Q275+7,IF($G275="No",$Q275+14,$Q275+30)))</f>
        <v/>
      </c>
      <c r="S275" s="47" t="n"/>
      <c r="T275" s="50" t="n"/>
      <c r="U275" s="47">
        <f>IF($F275="","",MIN(24,MAX(1,ROUNDUP(($F275-DayPlan!$C$2+1)/7,0))))</f>
        <v/>
      </c>
      <c r="V275" s="47">
        <f>IF($A275=""," ",4*($J275="Yes")+3*($G275="No")+2*(N($I275)&gt;0)+1*(AND(ISNUMBER($H275),$H275&gt;45))+3*(AND(ISNUMBER($P275),$P275&lt;=TODAY()))-6*($S275="Yes")+(750-ROW())/100000)</f>
        <v/>
      </c>
      <c r="W275" s="47">
        <f>IF(OR($A275="",NOT(ISNUMBER($P275))),"",INT($P275-TODAY()))</f>
        <v/>
      </c>
      <c r="X275" s="47" t="n"/>
    </row>
    <row r="276">
      <c r="A276" s="50" t="n"/>
      <c r="B276" s="47" t="n"/>
      <c r="C276" s="47" t="n"/>
      <c r="D276" s="50" t="n"/>
      <c r="E276" s="50" t="n"/>
      <c r="F276" s="48" t="n"/>
      <c r="G276" s="47" t="n"/>
      <c r="H276" s="47" t="n"/>
      <c r="I276" s="47" t="n"/>
      <c r="J276" s="47" t="n"/>
      <c r="K276" s="47" t="n"/>
      <c r="L276" s="47" t="n"/>
      <c r="M276" s="50" t="n"/>
      <c r="N276" s="50" t="n"/>
      <c r="O276" s="50" t="n"/>
      <c r="P276" s="48">
        <f>IF($F276="","",IF($J276="Yes",$F276+1,IF($G276="No",$F276+2,IF(N($I276)&gt;2,$F276+3,IF(N($I276)&gt;0,$F276+5,$F276+7)))))</f>
        <v/>
      </c>
      <c r="Q276" s="48">
        <f>IF($P276="","",IF($J276="Yes",$P276+3,IF($G276="No",$P276+5,IF(N($I276)&gt;0,$P276+7,$P276+14))))</f>
        <v/>
      </c>
      <c r="R276" s="48">
        <f>IF($Q276="","",IF($J276="Yes",$Q276+7,IF($G276="No",$Q276+14,$Q276+30)))</f>
        <v/>
      </c>
      <c r="S276" s="47" t="n"/>
      <c r="T276" s="50" t="n"/>
      <c r="U276" s="47">
        <f>IF($F276="","",MIN(24,MAX(1,ROUNDUP(($F276-DayPlan!$C$2+1)/7,0))))</f>
        <v/>
      </c>
      <c r="V276" s="47">
        <f>IF($A276=""," ",4*($J276="Yes")+3*($G276="No")+2*(N($I276)&gt;0)+1*(AND(ISNUMBER($H276),$H276&gt;45))+3*(AND(ISNUMBER($P276),$P276&lt;=TODAY()))-6*($S276="Yes")+(750-ROW())/100000)</f>
        <v/>
      </c>
      <c r="W276" s="47">
        <f>IF(OR($A276="",NOT(ISNUMBER($P276))),"",INT($P276-TODAY()))</f>
        <v/>
      </c>
      <c r="X276" s="47" t="n"/>
    </row>
    <row r="277">
      <c r="A277" s="50" t="n"/>
      <c r="B277" s="47" t="n"/>
      <c r="C277" s="47" t="n"/>
      <c r="D277" s="50" t="n"/>
      <c r="E277" s="50" t="n"/>
      <c r="F277" s="48" t="n"/>
      <c r="G277" s="47" t="n"/>
      <c r="H277" s="47" t="n"/>
      <c r="I277" s="47" t="n"/>
      <c r="J277" s="47" t="n"/>
      <c r="K277" s="47" t="n"/>
      <c r="L277" s="47" t="n"/>
      <c r="M277" s="50" t="n"/>
      <c r="N277" s="50" t="n"/>
      <c r="O277" s="50" t="n"/>
      <c r="P277" s="48">
        <f>IF($F277="","",IF($J277="Yes",$F277+1,IF($G277="No",$F277+2,IF(N($I277)&gt;2,$F277+3,IF(N($I277)&gt;0,$F277+5,$F277+7)))))</f>
        <v/>
      </c>
      <c r="Q277" s="48">
        <f>IF($P277="","",IF($J277="Yes",$P277+3,IF($G277="No",$P277+5,IF(N($I277)&gt;0,$P277+7,$P277+14))))</f>
        <v/>
      </c>
      <c r="R277" s="48">
        <f>IF($Q277="","",IF($J277="Yes",$Q277+7,IF($G277="No",$Q277+14,$Q277+30)))</f>
        <v/>
      </c>
      <c r="S277" s="47" t="n"/>
      <c r="T277" s="50" t="n"/>
      <c r="U277" s="47">
        <f>IF($F277="","",MIN(24,MAX(1,ROUNDUP(($F277-DayPlan!$C$2+1)/7,0))))</f>
        <v/>
      </c>
      <c r="V277" s="47">
        <f>IF($A277=""," ",4*($J277="Yes")+3*($G277="No")+2*(N($I277)&gt;0)+1*(AND(ISNUMBER($H277),$H277&gt;45))+3*(AND(ISNUMBER($P277),$P277&lt;=TODAY()))-6*($S277="Yes")+(750-ROW())/100000)</f>
        <v/>
      </c>
      <c r="W277" s="47">
        <f>IF(OR($A277="",NOT(ISNUMBER($P277))),"",INT($P277-TODAY()))</f>
        <v/>
      </c>
      <c r="X277" s="47" t="n"/>
    </row>
    <row r="278">
      <c r="A278" s="50" t="n"/>
      <c r="B278" s="47" t="n"/>
      <c r="C278" s="47" t="n"/>
      <c r="D278" s="50" t="n"/>
      <c r="E278" s="50" t="n"/>
      <c r="F278" s="48" t="n"/>
      <c r="G278" s="47" t="n"/>
      <c r="H278" s="47" t="n"/>
      <c r="I278" s="47" t="n"/>
      <c r="J278" s="47" t="n"/>
      <c r="K278" s="47" t="n"/>
      <c r="L278" s="47" t="n"/>
      <c r="M278" s="50" t="n"/>
      <c r="N278" s="50" t="n"/>
      <c r="O278" s="50" t="n"/>
      <c r="P278" s="48">
        <f>IF($F278="","",IF($J278="Yes",$F278+1,IF($G278="No",$F278+2,IF(N($I278)&gt;2,$F278+3,IF(N($I278)&gt;0,$F278+5,$F278+7)))))</f>
        <v/>
      </c>
      <c r="Q278" s="48">
        <f>IF($P278="","",IF($J278="Yes",$P278+3,IF($G278="No",$P278+5,IF(N($I278)&gt;0,$P278+7,$P278+14))))</f>
        <v/>
      </c>
      <c r="R278" s="48">
        <f>IF($Q278="","",IF($J278="Yes",$Q278+7,IF($G278="No",$Q278+14,$Q278+30)))</f>
        <v/>
      </c>
      <c r="S278" s="47" t="n"/>
      <c r="T278" s="50" t="n"/>
      <c r="U278" s="47">
        <f>IF($F278="","",MIN(24,MAX(1,ROUNDUP(($F278-DayPlan!$C$2+1)/7,0))))</f>
        <v/>
      </c>
      <c r="V278" s="47">
        <f>IF($A278=""," ",4*($J278="Yes")+3*($G278="No")+2*(N($I278)&gt;0)+1*(AND(ISNUMBER($H278),$H278&gt;45))+3*(AND(ISNUMBER($P278),$P278&lt;=TODAY()))-6*($S278="Yes")+(750-ROW())/100000)</f>
        <v/>
      </c>
      <c r="W278" s="47">
        <f>IF(OR($A278="",NOT(ISNUMBER($P278))),"",INT($P278-TODAY()))</f>
        <v/>
      </c>
      <c r="X278" s="47" t="n"/>
    </row>
    <row r="279">
      <c r="A279" s="50" t="n"/>
      <c r="B279" s="47" t="n"/>
      <c r="C279" s="47" t="n"/>
      <c r="D279" s="50" t="n"/>
      <c r="E279" s="50" t="n"/>
      <c r="F279" s="48" t="n"/>
      <c r="G279" s="47" t="n"/>
      <c r="H279" s="47" t="n"/>
      <c r="I279" s="47" t="n"/>
      <c r="J279" s="47" t="n"/>
      <c r="K279" s="47" t="n"/>
      <c r="L279" s="47" t="n"/>
      <c r="M279" s="50" t="n"/>
      <c r="N279" s="50" t="n"/>
      <c r="O279" s="50" t="n"/>
      <c r="P279" s="48">
        <f>IF($F279="","",IF($J279="Yes",$F279+1,IF($G279="No",$F279+2,IF(N($I279)&gt;2,$F279+3,IF(N($I279)&gt;0,$F279+5,$F279+7)))))</f>
        <v/>
      </c>
      <c r="Q279" s="48">
        <f>IF($P279="","",IF($J279="Yes",$P279+3,IF($G279="No",$P279+5,IF(N($I279)&gt;0,$P279+7,$P279+14))))</f>
        <v/>
      </c>
      <c r="R279" s="48">
        <f>IF($Q279="","",IF($J279="Yes",$Q279+7,IF($G279="No",$Q279+14,$Q279+30)))</f>
        <v/>
      </c>
      <c r="S279" s="47" t="n"/>
      <c r="T279" s="50" t="n"/>
      <c r="U279" s="47">
        <f>IF($F279="","",MIN(24,MAX(1,ROUNDUP(($F279-DayPlan!$C$2+1)/7,0))))</f>
        <v/>
      </c>
      <c r="V279" s="47">
        <f>IF($A279=""," ",4*($J279="Yes")+3*($G279="No")+2*(N($I279)&gt;0)+1*(AND(ISNUMBER($H279),$H279&gt;45))+3*(AND(ISNUMBER($P279),$P279&lt;=TODAY()))-6*($S279="Yes")+(750-ROW())/100000)</f>
        <v/>
      </c>
      <c r="W279" s="47">
        <f>IF(OR($A279="",NOT(ISNUMBER($P279))),"",INT($P279-TODAY()))</f>
        <v/>
      </c>
      <c r="X279" s="47" t="n"/>
    </row>
    <row r="280">
      <c r="A280" s="50" t="n"/>
      <c r="B280" s="47" t="n"/>
      <c r="C280" s="47" t="n"/>
      <c r="D280" s="50" t="n"/>
      <c r="E280" s="50" t="n"/>
      <c r="F280" s="48" t="n"/>
      <c r="G280" s="47" t="n"/>
      <c r="H280" s="47" t="n"/>
      <c r="I280" s="47" t="n"/>
      <c r="J280" s="47" t="n"/>
      <c r="K280" s="47" t="n"/>
      <c r="L280" s="47" t="n"/>
      <c r="M280" s="50" t="n"/>
      <c r="N280" s="50" t="n"/>
      <c r="O280" s="50" t="n"/>
      <c r="P280" s="48">
        <f>IF($F280="","",IF($J280="Yes",$F280+1,IF($G280="No",$F280+2,IF(N($I280)&gt;2,$F280+3,IF(N($I280)&gt;0,$F280+5,$F280+7)))))</f>
        <v/>
      </c>
      <c r="Q280" s="48">
        <f>IF($P280="","",IF($J280="Yes",$P280+3,IF($G280="No",$P280+5,IF(N($I280)&gt;0,$P280+7,$P280+14))))</f>
        <v/>
      </c>
      <c r="R280" s="48">
        <f>IF($Q280="","",IF($J280="Yes",$Q280+7,IF($G280="No",$Q280+14,$Q280+30)))</f>
        <v/>
      </c>
      <c r="S280" s="47" t="n"/>
      <c r="T280" s="50" t="n"/>
      <c r="U280" s="47">
        <f>IF($F280="","",MIN(24,MAX(1,ROUNDUP(($F280-DayPlan!$C$2+1)/7,0))))</f>
        <v/>
      </c>
      <c r="V280" s="47">
        <f>IF($A280=""," ",4*($J280="Yes")+3*($G280="No")+2*(N($I280)&gt;0)+1*(AND(ISNUMBER($H280),$H280&gt;45))+3*(AND(ISNUMBER($P280),$P280&lt;=TODAY()))-6*($S280="Yes")+(750-ROW())/100000)</f>
        <v/>
      </c>
      <c r="W280" s="47">
        <f>IF(OR($A280="",NOT(ISNUMBER($P280))),"",INT($P280-TODAY()))</f>
        <v/>
      </c>
      <c r="X280" s="47" t="n"/>
    </row>
    <row r="281">
      <c r="A281" s="50" t="n"/>
      <c r="B281" s="47" t="n"/>
      <c r="C281" s="47" t="n"/>
      <c r="D281" s="50" t="n"/>
      <c r="E281" s="50" t="n"/>
      <c r="F281" s="48" t="n"/>
      <c r="G281" s="47" t="n"/>
      <c r="H281" s="47" t="n"/>
      <c r="I281" s="47" t="n"/>
      <c r="J281" s="47" t="n"/>
      <c r="K281" s="47" t="n"/>
      <c r="L281" s="47" t="n"/>
      <c r="M281" s="50" t="n"/>
      <c r="N281" s="50" t="n"/>
      <c r="O281" s="50" t="n"/>
      <c r="P281" s="48">
        <f>IF($F281="","",IF($J281="Yes",$F281+1,IF($G281="No",$F281+2,IF(N($I281)&gt;2,$F281+3,IF(N($I281)&gt;0,$F281+5,$F281+7)))))</f>
        <v/>
      </c>
      <c r="Q281" s="48">
        <f>IF($P281="","",IF($J281="Yes",$P281+3,IF($G281="No",$P281+5,IF(N($I281)&gt;0,$P281+7,$P281+14))))</f>
        <v/>
      </c>
      <c r="R281" s="48">
        <f>IF($Q281="","",IF($J281="Yes",$Q281+7,IF($G281="No",$Q281+14,$Q281+30)))</f>
        <v/>
      </c>
      <c r="S281" s="47" t="n"/>
      <c r="T281" s="50" t="n"/>
      <c r="U281" s="47">
        <f>IF($F281="","",MIN(24,MAX(1,ROUNDUP(($F281-DayPlan!$C$2+1)/7,0))))</f>
        <v/>
      </c>
      <c r="V281" s="47">
        <f>IF($A281=""," ",4*($J281="Yes")+3*($G281="No")+2*(N($I281)&gt;0)+1*(AND(ISNUMBER($H281),$H281&gt;45))+3*(AND(ISNUMBER($P281),$P281&lt;=TODAY()))-6*($S281="Yes")+(750-ROW())/100000)</f>
        <v/>
      </c>
      <c r="W281" s="47">
        <f>IF(OR($A281="",NOT(ISNUMBER($P281))),"",INT($P281-TODAY()))</f>
        <v/>
      </c>
      <c r="X281" s="47" t="n"/>
    </row>
    <row r="282">
      <c r="A282" s="50" t="n"/>
      <c r="B282" s="47" t="n"/>
      <c r="C282" s="47" t="n"/>
      <c r="D282" s="50" t="n"/>
      <c r="E282" s="50" t="n"/>
      <c r="F282" s="48" t="n"/>
      <c r="G282" s="47" t="n"/>
      <c r="H282" s="47" t="n"/>
      <c r="I282" s="47" t="n"/>
      <c r="J282" s="47" t="n"/>
      <c r="K282" s="47" t="n"/>
      <c r="L282" s="47" t="n"/>
      <c r="M282" s="50" t="n"/>
      <c r="N282" s="50" t="n"/>
      <c r="O282" s="50" t="n"/>
      <c r="P282" s="48">
        <f>IF($F282="","",IF($J282="Yes",$F282+1,IF($G282="No",$F282+2,IF(N($I282)&gt;2,$F282+3,IF(N($I282)&gt;0,$F282+5,$F282+7)))))</f>
        <v/>
      </c>
      <c r="Q282" s="48">
        <f>IF($P282="","",IF($J282="Yes",$P282+3,IF($G282="No",$P282+5,IF(N($I282)&gt;0,$P282+7,$P282+14))))</f>
        <v/>
      </c>
      <c r="R282" s="48">
        <f>IF($Q282="","",IF($J282="Yes",$Q282+7,IF($G282="No",$Q282+14,$Q282+30)))</f>
        <v/>
      </c>
      <c r="S282" s="47" t="n"/>
      <c r="T282" s="50" t="n"/>
      <c r="U282" s="47">
        <f>IF($F282="","",MIN(24,MAX(1,ROUNDUP(($F282-DayPlan!$C$2+1)/7,0))))</f>
        <v/>
      </c>
      <c r="V282" s="47">
        <f>IF($A282=""," ",4*($J282="Yes")+3*($G282="No")+2*(N($I282)&gt;0)+1*(AND(ISNUMBER($H282),$H282&gt;45))+3*(AND(ISNUMBER($P282),$P282&lt;=TODAY()))-6*($S282="Yes")+(750-ROW())/100000)</f>
        <v/>
      </c>
      <c r="W282" s="47">
        <f>IF(OR($A282="",NOT(ISNUMBER($P282))),"",INT($P282-TODAY()))</f>
        <v/>
      </c>
      <c r="X282" s="47" t="n"/>
    </row>
    <row r="283">
      <c r="A283" s="50" t="n"/>
      <c r="B283" s="47" t="n"/>
      <c r="C283" s="47" t="n"/>
      <c r="D283" s="50" t="n"/>
      <c r="E283" s="50" t="n"/>
      <c r="F283" s="48" t="n"/>
      <c r="G283" s="47" t="n"/>
      <c r="H283" s="47" t="n"/>
      <c r="I283" s="47" t="n"/>
      <c r="J283" s="47" t="n"/>
      <c r="K283" s="47" t="n"/>
      <c r="L283" s="47" t="n"/>
      <c r="M283" s="50" t="n"/>
      <c r="N283" s="50" t="n"/>
      <c r="O283" s="50" t="n"/>
      <c r="P283" s="48">
        <f>IF($F283="","",IF($J283="Yes",$F283+1,IF($G283="No",$F283+2,IF(N($I283)&gt;2,$F283+3,IF(N($I283)&gt;0,$F283+5,$F283+7)))))</f>
        <v/>
      </c>
      <c r="Q283" s="48">
        <f>IF($P283="","",IF($J283="Yes",$P283+3,IF($G283="No",$P283+5,IF(N($I283)&gt;0,$P283+7,$P283+14))))</f>
        <v/>
      </c>
      <c r="R283" s="48">
        <f>IF($Q283="","",IF($J283="Yes",$Q283+7,IF($G283="No",$Q283+14,$Q283+30)))</f>
        <v/>
      </c>
      <c r="S283" s="47" t="n"/>
      <c r="T283" s="50" t="n"/>
      <c r="U283" s="47">
        <f>IF($F283="","",MIN(24,MAX(1,ROUNDUP(($F283-DayPlan!$C$2+1)/7,0))))</f>
        <v/>
      </c>
      <c r="V283" s="47">
        <f>IF($A283=""," ",4*($J283="Yes")+3*($G283="No")+2*(N($I283)&gt;0)+1*(AND(ISNUMBER($H283),$H283&gt;45))+3*(AND(ISNUMBER($P283),$P283&lt;=TODAY()))-6*($S283="Yes")+(750-ROW())/100000)</f>
        <v/>
      </c>
      <c r="W283" s="47">
        <f>IF(OR($A283="",NOT(ISNUMBER($P283))),"",INT($P283-TODAY()))</f>
        <v/>
      </c>
      <c r="X283" s="47" t="n"/>
    </row>
    <row r="284">
      <c r="A284" s="50" t="n"/>
      <c r="B284" s="47" t="n"/>
      <c r="C284" s="47" t="n"/>
      <c r="D284" s="50" t="n"/>
      <c r="E284" s="50" t="n"/>
      <c r="F284" s="48" t="n"/>
      <c r="G284" s="47" t="n"/>
      <c r="H284" s="47" t="n"/>
      <c r="I284" s="47" t="n"/>
      <c r="J284" s="47" t="n"/>
      <c r="K284" s="47" t="n"/>
      <c r="L284" s="47" t="n"/>
      <c r="M284" s="50" t="n"/>
      <c r="N284" s="50" t="n"/>
      <c r="O284" s="50" t="n"/>
      <c r="P284" s="48">
        <f>IF($F284="","",IF($J284="Yes",$F284+1,IF($G284="No",$F284+2,IF(N($I284)&gt;2,$F284+3,IF(N($I284)&gt;0,$F284+5,$F284+7)))))</f>
        <v/>
      </c>
      <c r="Q284" s="48">
        <f>IF($P284="","",IF($J284="Yes",$P284+3,IF($G284="No",$P284+5,IF(N($I284)&gt;0,$P284+7,$P284+14))))</f>
        <v/>
      </c>
      <c r="R284" s="48">
        <f>IF($Q284="","",IF($J284="Yes",$Q284+7,IF($G284="No",$Q284+14,$Q284+30)))</f>
        <v/>
      </c>
      <c r="S284" s="47" t="n"/>
      <c r="T284" s="50" t="n"/>
      <c r="U284" s="47">
        <f>IF($F284="","",MIN(24,MAX(1,ROUNDUP(($F284-DayPlan!$C$2+1)/7,0))))</f>
        <v/>
      </c>
      <c r="V284" s="47">
        <f>IF($A284=""," ",4*($J284="Yes")+3*($G284="No")+2*(N($I284)&gt;0)+1*(AND(ISNUMBER($H284),$H284&gt;45))+3*(AND(ISNUMBER($P284),$P284&lt;=TODAY()))-6*($S284="Yes")+(750-ROW())/100000)</f>
        <v/>
      </c>
      <c r="W284" s="47">
        <f>IF(OR($A284="",NOT(ISNUMBER($P284))),"",INT($P284-TODAY()))</f>
        <v/>
      </c>
      <c r="X284" s="47" t="n"/>
    </row>
    <row r="285">
      <c r="A285" s="50" t="n"/>
      <c r="B285" s="47" t="n"/>
      <c r="C285" s="47" t="n"/>
      <c r="D285" s="50" t="n"/>
      <c r="E285" s="50" t="n"/>
      <c r="F285" s="48" t="n"/>
      <c r="G285" s="47" t="n"/>
      <c r="H285" s="47" t="n"/>
      <c r="I285" s="47" t="n"/>
      <c r="J285" s="47" t="n"/>
      <c r="K285" s="47" t="n"/>
      <c r="L285" s="47" t="n"/>
      <c r="M285" s="50" t="n"/>
      <c r="N285" s="50" t="n"/>
      <c r="O285" s="50" t="n"/>
      <c r="P285" s="48">
        <f>IF($F285="","",IF($J285="Yes",$F285+1,IF($G285="No",$F285+2,IF(N($I285)&gt;2,$F285+3,IF(N($I285)&gt;0,$F285+5,$F285+7)))))</f>
        <v/>
      </c>
      <c r="Q285" s="48">
        <f>IF($P285="","",IF($J285="Yes",$P285+3,IF($G285="No",$P285+5,IF(N($I285)&gt;0,$P285+7,$P285+14))))</f>
        <v/>
      </c>
      <c r="R285" s="48">
        <f>IF($Q285="","",IF($J285="Yes",$Q285+7,IF($G285="No",$Q285+14,$Q285+30)))</f>
        <v/>
      </c>
      <c r="S285" s="47" t="n"/>
      <c r="T285" s="50" t="n"/>
      <c r="U285" s="47">
        <f>IF($F285="","",MIN(24,MAX(1,ROUNDUP(($F285-DayPlan!$C$2+1)/7,0))))</f>
        <v/>
      </c>
      <c r="V285" s="47">
        <f>IF($A285=""," ",4*($J285="Yes")+3*($G285="No")+2*(N($I285)&gt;0)+1*(AND(ISNUMBER($H285),$H285&gt;45))+3*(AND(ISNUMBER($P285),$P285&lt;=TODAY()))-6*($S285="Yes")+(750-ROW())/100000)</f>
        <v/>
      </c>
      <c r="W285" s="47">
        <f>IF(OR($A285="",NOT(ISNUMBER($P285))),"",INT($P285-TODAY()))</f>
        <v/>
      </c>
      <c r="X285" s="47" t="n"/>
    </row>
    <row r="286">
      <c r="A286" s="50" t="n"/>
      <c r="B286" s="47" t="n"/>
      <c r="C286" s="47" t="n"/>
      <c r="D286" s="50" t="n"/>
      <c r="E286" s="50" t="n"/>
      <c r="F286" s="48" t="n"/>
      <c r="G286" s="47" t="n"/>
      <c r="H286" s="47" t="n"/>
      <c r="I286" s="47" t="n"/>
      <c r="J286" s="47" t="n"/>
      <c r="K286" s="47" t="n"/>
      <c r="L286" s="47" t="n"/>
      <c r="M286" s="50" t="n"/>
      <c r="N286" s="50" t="n"/>
      <c r="O286" s="50" t="n"/>
      <c r="P286" s="48">
        <f>IF($F286="","",IF($J286="Yes",$F286+1,IF($G286="No",$F286+2,IF(N($I286)&gt;2,$F286+3,IF(N($I286)&gt;0,$F286+5,$F286+7)))))</f>
        <v/>
      </c>
      <c r="Q286" s="48">
        <f>IF($P286="","",IF($J286="Yes",$P286+3,IF($G286="No",$P286+5,IF(N($I286)&gt;0,$P286+7,$P286+14))))</f>
        <v/>
      </c>
      <c r="R286" s="48">
        <f>IF($Q286="","",IF($J286="Yes",$Q286+7,IF($G286="No",$Q286+14,$Q286+30)))</f>
        <v/>
      </c>
      <c r="S286" s="47" t="n"/>
      <c r="T286" s="50" t="n"/>
      <c r="U286" s="47">
        <f>IF($F286="","",MIN(24,MAX(1,ROUNDUP(($F286-DayPlan!$C$2+1)/7,0))))</f>
        <v/>
      </c>
      <c r="V286" s="47">
        <f>IF($A286=""," ",4*($J286="Yes")+3*($G286="No")+2*(N($I286)&gt;0)+1*(AND(ISNUMBER($H286),$H286&gt;45))+3*(AND(ISNUMBER($P286),$P286&lt;=TODAY()))-6*($S286="Yes")+(750-ROW())/100000)</f>
        <v/>
      </c>
      <c r="W286" s="47">
        <f>IF(OR($A286="",NOT(ISNUMBER($P286))),"",INT($P286-TODAY()))</f>
        <v/>
      </c>
      <c r="X286" s="47" t="n"/>
    </row>
    <row r="287">
      <c r="A287" s="50" t="n"/>
      <c r="B287" s="47" t="n"/>
      <c r="C287" s="47" t="n"/>
      <c r="D287" s="50" t="n"/>
      <c r="E287" s="50" t="n"/>
      <c r="F287" s="48" t="n"/>
      <c r="G287" s="47" t="n"/>
      <c r="H287" s="47" t="n"/>
      <c r="I287" s="47" t="n"/>
      <c r="J287" s="47" t="n"/>
      <c r="K287" s="47" t="n"/>
      <c r="L287" s="47" t="n"/>
      <c r="M287" s="50" t="n"/>
      <c r="N287" s="50" t="n"/>
      <c r="O287" s="50" t="n"/>
      <c r="P287" s="48">
        <f>IF($F287="","",IF($J287="Yes",$F287+1,IF($G287="No",$F287+2,IF(N($I287)&gt;2,$F287+3,IF(N($I287)&gt;0,$F287+5,$F287+7)))))</f>
        <v/>
      </c>
      <c r="Q287" s="48">
        <f>IF($P287="","",IF($J287="Yes",$P287+3,IF($G287="No",$P287+5,IF(N($I287)&gt;0,$P287+7,$P287+14))))</f>
        <v/>
      </c>
      <c r="R287" s="48">
        <f>IF($Q287="","",IF($J287="Yes",$Q287+7,IF($G287="No",$Q287+14,$Q287+30)))</f>
        <v/>
      </c>
      <c r="S287" s="47" t="n"/>
      <c r="T287" s="50" t="n"/>
      <c r="U287" s="47">
        <f>IF($F287="","",MIN(24,MAX(1,ROUNDUP(($F287-DayPlan!$C$2+1)/7,0))))</f>
        <v/>
      </c>
      <c r="V287" s="47">
        <f>IF($A287=""," ",4*($J287="Yes")+3*($G287="No")+2*(N($I287)&gt;0)+1*(AND(ISNUMBER($H287),$H287&gt;45))+3*(AND(ISNUMBER($P287),$P287&lt;=TODAY()))-6*($S287="Yes")+(750-ROW())/100000)</f>
        <v/>
      </c>
      <c r="W287" s="47">
        <f>IF(OR($A287="",NOT(ISNUMBER($P287))),"",INT($P287-TODAY()))</f>
        <v/>
      </c>
      <c r="X287" s="47" t="n"/>
    </row>
    <row r="288">
      <c r="A288" s="50" t="n"/>
      <c r="B288" s="47" t="n"/>
      <c r="C288" s="47" t="n"/>
      <c r="D288" s="50" t="n"/>
      <c r="E288" s="50" t="n"/>
      <c r="F288" s="48" t="n"/>
      <c r="G288" s="47" t="n"/>
      <c r="H288" s="47" t="n"/>
      <c r="I288" s="47" t="n"/>
      <c r="J288" s="47" t="n"/>
      <c r="K288" s="47" t="n"/>
      <c r="L288" s="47" t="n"/>
      <c r="M288" s="50" t="n"/>
      <c r="N288" s="50" t="n"/>
      <c r="O288" s="50" t="n"/>
      <c r="P288" s="48">
        <f>IF($F288="","",IF($J288="Yes",$F288+1,IF($G288="No",$F288+2,IF(N($I288)&gt;2,$F288+3,IF(N($I288)&gt;0,$F288+5,$F288+7)))))</f>
        <v/>
      </c>
      <c r="Q288" s="48">
        <f>IF($P288="","",IF($J288="Yes",$P288+3,IF($G288="No",$P288+5,IF(N($I288)&gt;0,$P288+7,$P288+14))))</f>
        <v/>
      </c>
      <c r="R288" s="48">
        <f>IF($Q288="","",IF($J288="Yes",$Q288+7,IF($G288="No",$Q288+14,$Q288+30)))</f>
        <v/>
      </c>
      <c r="S288" s="47" t="n"/>
      <c r="T288" s="50" t="n"/>
      <c r="U288" s="47">
        <f>IF($F288="","",MIN(24,MAX(1,ROUNDUP(($F288-DayPlan!$C$2+1)/7,0))))</f>
        <v/>
      </c>
      <c r="V288" s="47">
        <f>IF($A288=""," ",4*($J288="Yes")+3*($G288="No")+2*(N($I288)&gt;0)+1*(AND(ISNUMBER($H288),$H288&gt;45))+3*(AND(ISNUMBER($P288),$P288&lt;=TODAY()))-6*($S288="Yes")+(750-ROW())/100000)</f>
        <v/>
      </c>
      <c r="W288" s="47">
        <f>IF(OR($A288="",NOT(ISNUMBER($P288))),"",INT($P288-TODAY()))</f>
        <v/>
      </c>
      <c r="X288" s="47" t="n"/>
    </row>
    <row r="289">
      <c r="A289" s="50" t="n"/>
      <c r="B289" s="47" t="n"/>
      <c r="C289" s="47" t="n"/>
      <c r="D289" s="50" t="n"/>
      <c r="E289" s="50" t="n"/>
      <c r="F289" s="48" t="n"/>
      <c r="G289" s="47" t="n"/>
      <c r="H289" s="47" t="n"/>
      <c r="I289" s="47" t="n"/>
      <c r="J289" s="47" t="n"/>
      <c r="K289" s="47" t="n"/>
      <c r="L289" s="47" t="n"/>
      <c r="M289" s="50" t="n"/>
      <c r="N289" s="50" t="n"/>
      <c r="O289" s="50" t="n"/>
      <c r="P289" s="48">
        <f>IF($F289="","",IF($J289="Yes",$F289+1,IF($G289="No",$F289+2,IF(N($I289)&gt;2,$F289+3,IF(N($I289)&gt;0,$F289+5,$F289+7)))))</f>
        <v/>
      </c>
      <c r="Q289" s="48">
        <f>IF($P289="","",IF($J289="Yes",$P289+3,IF($G289="No",$P289+5,IF(N($I289)&gt;0,$P289+7,$P289+14))))</f>
        <v/>
      </c>
      <c r="R289" s="48">
        <f>IF($Q289="","",IF($J289="Yes",$Q289+7,IF($G289="No",$Q289+14,$Q289+30)))</f>
        <v/>
      </c>
      <c r="S289" s="47" t="n"/>
      <c r="T289" s="50" t="n"/>
      <c r="U289" s="47">
        <f>IF($F289="","",MIN(24,MAX(1,ROUNDUP(($F289-DayPlan!$C$2+1)/7,0))))</f>
        <v/>
      </c>
      <c r="V289" s="47">
        <f>IF($A289=""," ",4*($J289="Yes")+3*($G289="No")+2*(N($I289)&gt;0)+1*(AND(ISNUMBER($H289),$H289&gt;45))+3*(AND(ISNUMBER($P289),$P289&lt;=TODAY()))-6*($S289="Yes")+(750-ROW())/100000)</f>
        <v/>
      </c>
      <c r="W289" s="47">
        <f>IF(OR($A289="",NOT(ISNUMBER($P289))),"",INT($P289-TODAY()))</f>
        <v/>
      </c>
      <c r="X289" s="47" t="n"/>
    </row>
    <row r="290">
      <c r="A290" s="50" t="n"/>
      <c r="B290" s="47" t="n"/>
      <c r="C290" s="47" t="n"/>
      <c r="D290" s="50" t="n"/>
      <c r="E290" s="50" t="n"/>
      <c r="F290" s="48" t="n"/>
      <c r="G290" s="47" t="n"/>
      <c r="H290" s="47" t="n"/>
      <c r="I290" s="47" t="n"/>
      <c r="J290" s="47" t="n"/>
      <c r="K290" s="47" t="n"/>
      <c r="L290" s="47" t="n"/>
      <c r="M290" s="50" t="n"/>
      <c r="N290" s="50" t="n"/>
      <c r="O290" s="50" t="n"/>
      <c r="P290" s="48">
        <f>IF($F290="","",IF($J290="Yes",$F290+1,IF($G290="No",$F290+2,IF(N($I290)&gt;2,$F290+3,IF(N($I290)&gt;0,$F290+5,$F290+7)))))</f>
        <v/>
      </c>
      <c r="Q290" s="48">
        <f>IF($P290="","",IF($J290="Yes",$P290+3,IF($G290="No",$P290+5,IF(N($I290)&gt;0,$P290+7,$P290+14))))</f>
        <v/>
      </c>
      <c r="R290" s="48">
        <f>IF($Q290="","",IF($J290="Yes",$Q290+7,IF($G290="No",$Q290+14,$Q290+30)))</f>
        <v/>
      </c>
      <c r="S290" s="47" t="n"/>
      <c r="T290" s="50" t="n"/>
      <c r="U290" s="47">
        <f>IF($F290="","",MIN(24,MAX(1,ROUNDUP(($F290-DayPlan!$C$2+1)/7,0))))</f>
        <v/>
      </c>
      <c r="V290" s="47">
        <f>IF($A290=""," ",4*($J290="Yes")+3*($G290="No")+2*(N($I290)&gt;0)+1*(AND(ISNUMBER($H290),$H290&gt;45))+3*(AND(ISNUMBER($P290),$P290&lt;=TODAY()))-6*($S290="Yes")+(750-ROW())/100000)</f>
        <v/>
      </c>
      <c r="W290" s="47">
        <f>IF(OR($A290="",NOT(ISNUMBER($P290))),"",INT($P290-TODAY()))</f>
        <v/>
      </c>
      <c r="X290" s="47" t="n"/>
    </row>
    <row r="291">
      <c r="A291" s="50" t="n"/>
      <c r="B291" s="47" t="n"/>
      <c r="C291" s="47" t="n"/>
      <c r="D291" s="50" t="n"/>
      <c r="E291" s="50" t="n"/>
      <c r="F291" s="48" t="n"/>
      <c r="G291" s="47" t="n"/>
      <c r="H291" s="47" t="n"/>
      <c r="I291" s="47" t="n"/>
      <c r="J291" s="47" t="n"/>
      <c r="K291" s="47" t="n"/>
      <c r="L291" s="47" t="n"/>
      <c r="M291" s="50" t="n"/>
      <c r="N291" s="50" t="n"/>
      <c r="O291" s="50" t="n"/>
      <c r="P291" s="48">
        <f>IF($F291="","",IF($J291="Yes",$F291+1,IF($G291="No",$F291+2,IF(N($I291)&gt;2,$F291+3,IF(N($I291)&gt;0,$F291+5,$F291+7)))))</f>
        <v/>
      </c>
      <c r="Q291" s="48">
        <f>IF($P291="","",IF($J291="Yes",$P291+3,IF($G291="No",$P291+5,IF(N($I291)&gt;0,$P291+7,$P291+14))))</f>
        <v/>
      </c>
      <c r="R291" s="48">
        <f>IF($Q291="","",IF($J291="Yes",$Q291+7,IF($G291="No",$Q291+14,$Q291+30)))</f>
        <v/>
      </c>
      <c r="S291" s="47" t="n"/>
      <c r="T291" s="50" t="n"/>
      <c r="U291" s="47">
        <f>IF($F291="","",MIN(24,MAX(1,ROUNDUP(($F291-DayPlan!$C$2+1)/7,0))))</f>
        <v/>
      </c>
      <c r="V291" s="47">
        <f>IF($A291=""," ",4*($J291="Yes")+3*($G291="No")+2*(N($I291)&gt;0)+1*(AND(ISNUMBER($H291),$H291&gt;45))+3*(AND(ISNUMBER($P291),$P291&lt;=TODAY()))-6*($S291="Yes")+(750-ROW())/100000)</f>
        <v/>
      </c>
      <c r="W291" s="47">
        <f>IF(OR($A291="",NOT(ISNUMBER($P291))),"",INT($P291-TODAY()))</f>
        <v/>
      </c>
      <c r="X291" s="47" t="n"/>
    </row>
    <row r="292">
      <c r="A292" s="50" t="n"/>
      <c r="B292" s="47" t="n"/>
      <c r="C292" s="47" t="n"/>
      <c r="D292" s="50" t="n"/>
      <c r="E292" s="50" t="n"/>
      <c r="F292" s="48" t="n"/>
      <c r="G292" s="47" t="n"/>
      <c r="H292" s="47" t="n"/>
      <c r="I292" s="47" t="n"/>
      <c r="J292" s="47" t="n"/>
      <c r="K292" s="47" t="n"/>
      <c r="L292" s="47" t="n"/>
      <c r="M292" s="50" t="n"/>
      <c r="N292" s="50" t="n"/>
      <c r="O292" s="50" t="n"/>
      <c r="P292" s="48">
        <f>IF($F292="","",IF($J292="Yes",$F292+1,IF($G292="No",$F292+2,IF(N($I292)&gt;2,$F292+3,IF(N($I292)&gt;0,$F292+5,$F292+7)))))</f>
        <v/>
      </c>
      <c r="Q292" s="48">
        <f>IF($P292="","",IF($J292="Yes",$P292+3,IF($G292="No",$P292+5,IF(N($I292)&gt;0,$P292+7,$P292+14))))</f>
        <v/>
      </c>
      <c r="R292" s="48">
        <f>IF($Q292="","",IF($J292="Yes",$Q292+7,IF($G292="No",$Q292+14,$Q292+30)))</f>
        <v/>
      </c>
      <c r="S292" s="47" t="n"/>
      <c r="T292" s="50" t="n"/>
      <c r="U292" s="47">
        <f>IF($F292="","",MIN(24,MAX(1,ROUNDUP(($F292-DayPlan!$C$2+1)/7,0))))</f>
        <v/>
      </c>
      <c r="V292" s="47">
        <f>IF($A292=""," ",4*($J292="Yes")+3*($G292="No")+2*(N($I292)&gt;0)+1*(AND(ISNUMBER($H292),$H292&gt;45))+3*(AND(ISNUMBER($P292),$P292&lt;=TODAY()))-6*($S292="Yes")+(750-ROW())/100000)</f>
        <v/>
      </c>
      <c r="W292" s="47">
        <f>IF(OR($A292="",NOT(ISNUMBER($P292))),"",INT($P292-TODAY()))</f>
        <v/>
      </c>
      <c r="X292" s="47" t="n"/>
    </row>
    <row r="293">
      <c r="A293" s="50" t="n"/>
      <c r="B293" s="47" t="n"/>
      <c r="C293" s="47" t="n"/>
      <c r="D293" s="50" t="n"/>
      <c r="E293" s="50" t="n"/>
      <c r="F293" s="48" t="n"/>
      <c r="G293" s="47" t="n"/>
      <c r="H293" s="47" t="n"/>
      <c r="I293" s="47" t="n"/>
      <c r="J293" s="47" t="n"/>
      <c r="K293" s="47" t="n"/>
      <c r="L293" s="47" t="n"/>
      <c r="M293" s="50" t="n"/>
      <c r="N293" s="50" t="n"/>
      <c r="O293" s="50" t="n"/>
      <c r="P293" s="48">
        <f>IF($F293="","",IF($J293="Yes",$F293+1,IF($G293="No",$F293+2,IF(N($I293)&gt;2,$F293+3,IF(N($I293)&gt;0,$F293+5,$F293+7)))))</f>
        <v/>
      </c>
      <c r="Q293" s="48">
        <f>IF($P293="","",IF($J293="Yes",$P293+3,IF($G293="No",$P293+5,IF(N($I293)&gt;0,$P293+7,$P293+14))))</f>
        <v/>
      </c>
      <c r="R293" s="48">
        <f>IF($Q293="","",IF($J293="Yes",$Q293+7,IF($G293="No",$Q293+14,$Q293+30)))</f>
        <v/>
      </c>
      <c r="S293" s="47" t="n"/>
      <c r="T293" s="50" t="n"/>
      <c r="U293" s="47">
        <f>IF($F293="","",MIN(24,MAX(1,ROUNDUP(($F293-DayPlan!$C$2+1)/7,0))))</f>
        <v/>
      </c>
      <c r="V293" s="47">
        <f>IF($A293=""," ",4*($J293="Yes")+3*($G293="No")+2*(N($I293)&gt;0)+1*(AND(ISNUMBER($H293),$H293&gt;45))+3*(AND(ISNUMBER($P293),$P293&lt;=TODAY()))-6*($S293="Yes")+(750-ROW())/100000)</f>
        <v/>
      </c>
      <c r="W293" s="47">
        <f>IF(OR($A293="",NOT(ISNUMBER($P293))),"",INT($P293-TODAY()))</f>
        <v/>
      </c>
      <c r="X293" s="47" t="n"/>
    </row>
    <row r="294">
      <c r="A294" s="50" t="n"/>
      <c r="B294" s="47" t="n"/>
      <c r="C294" s="47" t="n"/>
      <c r="D294" s="50" t="n"/>
      <c r="E294" s="50" t="n"/>
      <c r="F294" s="48" t="n"/>
      <c r="G294" s="47" t="n"/>
      <c r="H294" s="47" t="n"/>
      <c r="I294" s="47" t="n"/>
      <c r="J294" s="47" t="n"/>
      <c r="K294" s="47" t="n"/>
      <c r="L294" s="47" t="n"/>
      <c r="M294" s="50" t="n"/>
      <c r="N294" s="50" t="n"/>
      <c r="O294" s="50" t="n"/>
      <c r="P294" s="48">
        <f>IF($F294="","",IF($J294="Yes",$F294+1,IF($G294="No",$F294+2,IF(N($I294)&gt;2,$F294+3,IF(N($I294)&gt;0,$F294+5,$F294+7)))))</f>
        <v/>
      </c>
      <c r="Q294" s="48">
        <f>IF($P294="","",IF($J294="Yes",$P294+3,IF($G294="No",$P294+5,IF(N($I294)&gt;0,$P294+7,$P294+14))))</f>
        <v/>
      </c>
      <c r="R294" s="48">
        <f>IF($Q294="","",IF($J294="Yes",$Q294+7,IF($G294="No",$Q294+14,$Q294+30)))</f>
        <v/>
      </c>
      <c r="S294" s="47" t="n"/>
      <c r="T294" s="50" t="n"/>
      <c r="U294" s="47">
        <f>IF($F294="","",MIN(24,MAX(1,ROUNDUP(($F294-DayPlan!$C$2+1)/7,0))))</f>
        <v/>
      </c>
      <c r="V294" s="47">
        <f>IF($A294=""," ",4*($J294="Yes")+3*($G294="No")+2*(N($I294)&gt;0)+1*(AND(ISNUMBER($H294),$H294&gt;45))+3*(AND(ISNUMBER($P294),$P294&lt;=TODAY()))-6*($S294="Yes")+(750-ROW())/100000)</f>
        <v/>
      </c>
      <c r="W294" s="47">
        <f>IF(OR($A294="",NOT(ISNUMBER($P294))),"",INT($P294-TODAY()))</f>
        <v/>
      </c>
      <c r="X294" s="47" t="n"/>
    </row>
    <row r="295">
      <c r="A295" s="50" t="n"/>
      <c r="B295" s="47" t="n"/>
      <c r="C295" s="47" t="n"/>
      <c r="D295" s="50" t="n"/>
      <c r="E295" s="50" t="n"/>
      <c r="F295" s="48" t="n"/>
      <c r="G295" s="47" t="n"/>
      <c r="H295" s="47" t="n"/>
      <c r="I295" s="47" t="n"/>
      <c r="J295" s="47" t="n"/>
      <c r="K295" s="47" t="n"/>
      <c r="L295" s="47" t="n"/>
      <c r="M295" s="50" t="n"/>
      <c r="N295" s="50" t="n"/>
      <c r="O295" s="50" t="n"/>
      <c r="P295" s="48">
        <f>IF($F295="","",IF($J295="Yes",$F295+1,IF($G295="No",$F295+2,IF(N($I295)&gt;2,$F295+3,IF(N($I295)&gt;0,$F295+5,$F295+7)))))</f>
        <v/>
      </c>
      <c r="Q295" s="48">
        <f>IF($P295="","",IF($J295="Yes",$P295+3,IF($G295="No",$P295+5,IF(N($I295)&gt;0,$P295+7,$P295+14))))</f>
        <v/>
      </c>
      <c r="R295" s="48">
        <f>IF($Q295="","",IF($J295="Yes",$Q295+7,IF($G295="No",$Q295+14,$Q295+30)))</f>
        <v/>
      </c>
      <c r="S295" s="47" t="n"/>
      <c r="T295" s="50" t="n"/>
      <c r="U295" s="47">
        <f>IF($F295="","",MIN(24,MAX(1,ROUNDUP(($F295-DayPlan!$C$2+1)/7,0))))</f>
        <v/>
      </c>
      <c r="V295" s="47">
        <f>IF($A295=""," ",4*($J295="Yes")+3*($G295="No")+2*(N($I295)&gt;0)+1*(AND(ISNUMBER($H295),$H295&gt;45))+3*(AND(ISNUMBER($P295),$P295&lt;=TODAY()))-6*($S295="Yes")+(750-ROW())/100000)</f>
        <v/>
      </c>
      <c r="W295" s="47">
        <f>IF(OR($A295="",NOT(ISNUMBER($P295))),"",INT($P295-TODAY()))</f>
        <v/>
      </c>
      <c r="X295" s="47" t="n"/>
    </row>
    <row r="296">
      <c r="A296" s="50" t="n"/>
      <c r="B296" s="47" t="n"/>
      <c r="C296" s="47" t="n"/>
      <c r="D296" s="50" t="n"/>
      <c r="E296" s="50" t="n"/>
      <c r="F296" s="48" t="n"/>
      <c r="G296" s="47" t="n"/>
      <c r="H296" s="47" t="n"/>
      <c r="I296" s="47" t="n"/>
      <c r="J296" s="47" t="n"/>
      <c r="K296" s="47" t="n"/>
      <c r="L296" s="47" t="n"/>
      <c r="M296" s="50" t="n"/>
      <c r="N296" s="50" t="n"/>
      <c r="O296" s="50" t="n"/>
      <c r="P296" s="48">
        <f>IF($F296="","",IF($J296="Yes",$F296+1,IF($G296="No",$F296+2,IF(N($I296)&gt;2,$F296+3,IF(N($I296)&gt;0,$F296+5,$F296+7)))))</f>
        <v/>
      </c>
      <c r="Q296" s="48">
        <f>IF($P296="","",IF($J296="Yes",$P296+3,IF($G296="No",$P296+5,IF(N($I296)&gt;0,$P296+7,$P296+14))))</f>
        <v/>
      </c>
      <c r="R296" s="48">
        <f>IF($Q296="","",IF($J296="Yes",$Q296+7,IF($G296="No",$Q296+14,$Q296+30)))</f>
        <v/>
      </c>
      <c r="S296" s="47" t="n"/>
      <c r="T296" s="50" t="n"/>
      <c r="U296" s="47">
        <f>IF($F296="","",MIN(24,MAX(1,ROUNDUP(($F296-DayPlan!$C$2+1)/7,0))))</f>
        <v/>
      </c>
      <c r="V296" s="47">
        <f>IF($A296=""," ",4*($J296="Yes")+3*($G296="No")+2*(N($I296)&gt;0)+1*(AND(ISNUMBER($H296),$H296&gt;45))+3*(AND(ISNUMBER($P296),$P296&lt;=TODAY()))-6*($S296="Yes")+(750-ROW())/100000)</f>
        <v/>
      </c>
      <c r="W296" s="47">
        <f>IF(OR($A296="",NOT(ISNUMBER($P296))),"",INT($P296-TODAY()))</f>
        <v/>
      </c>
      <c r="X296" s="47" t="n"/>
    </row>
    <row r="297">
      <c r="A297" s="50" t="n"/>
      <c r="B297" s="47" t="n"/>
      <c r="C297" s="47" t="n"/>
      <c r="D297" s="50" t="n"/>
      <c r="E297" s="50" t="n"/>
      <c r="F297" s="48" t="n"/>
      <c r="G297" s="47" t="n"/>
      <c r="H297" s="47" t="n"/>
      <c r="I297" s="47" t="n"/>
      <c r="J297" s="47" t="n"/>
      <c r="K297" s="47" t="n"/>
      <c r="L297" s="47" t="n"/>
      <c r="M297" s="50" t="n"/>
      <c r="N297" s="50" t="n"/>
      <c r="O297" s="50" t="n"/>
      <c r="P297" s="48">
        <f>IF($F297="","",IF($J297="Yes",$F297+1,IF($G297="No",$F297+2,IF(N($I297)&gt;2,$F297+3,IF(N($I297)&gt;0,$F297+5,$F297+7)))))</f>
        <v/>
      </c>
      <c r="Q297" s="48">
        <f>IF($P297="","",IF($J297="Yes",$P297+3,IF($G297="No",$P297+5,IF(N($I297)&gt;0,$P297+7,$P297+14))))</f>
        <v/>
      </c>
      <c r="R297" s="48">
        <f>IF($Q297="","",IF($J297="Yes",$Q297+7,IF($G297="No",$Q297+14,$Q297+30)))</f>
        <v/>
      </c>
      <c r="S297" s="47" t="n"/>
      <c r="T297" s="50" t="n"/>
      <c r="U297" s="47">
        <f>IF($F297="","",MIN(24,MAX(1,ROUNDUP(($F297-DayPlan!$C$2+1)/7,0))))</f>
        <v/>
      </c>
      <c r="V297" s="47">
        <f>IF($A297=""," ",4*($J297="Yes")+3*($G297="No")+2*(N($I297)&gt;0)+1*(AND(ISNUMBER($H297),$H297&gt;45))+3*(AND(ISNUMBER($P297),$P297&lt;=TODAY()))-6*($S297="Yes")+(750-ROW())/100000)</f>
        <v/>
      </c>
      <c r="W297" s="47">
        <f>IF(OR($A297="",NOT(ISNUMBER($P297))),"",INT($P297-TODAY()))</f>
        <v/>
      </c>
      <c r="X297" s="47" t="n"/>
    </row>
    <row r="298">
      <c r="A298" s="50" t="n"/>
      <c r="B298" s="47" t="n"/>
      <c r="C298" s="47" t="n"/>
      <c r="D298" s="50" t="n"/>
      <c r="E298" s="50" t="n"/>
      <c r="F298" s="48" t="n"/>
      <c r="G298" s="47" t="n"/>
      <c r="H298" s="47" t="n"/>
      <c r="I298" s="47" t="n"/>
      <c r="J298" s="47" t="n"/>
      <c r="K298" s="47" t="n"/>
      <c r="L298" s="47" t="n"/>
      <c r="M298" s="50" t="n"/>
      <c r="N298" s="50" t="n"/>
      <c r="O298" s="50" t="n"/>
      <c r="P298" s="48">
        <f>IF($F298="","",IF($J298="Yes",$F298+1,IF($G298="No",$F298+2,IF(N($I298)&gt;2,$F298+3,IF(N($I298)&gt;0,$F298+5,$F298+7)))))</f>
        <v/>
      </c>
      <c r="Q298" s="48">
        <f>IF($P298="","",IF($J298="Yes",$P298+3,IF($G298="No",$P298+5,IF(N($I298)&gt;0,$P298+7,$P298+14))))</f>
        <v/>
      </c>
      <c r="R298" s="48">
        <f>IF($Q298="","",IF($J298="Yes",$Q298+7,IF($G298="No",$Q298+14,$Q298+30)))</f>
        <v/>
      </c>
      <c r="S298" s="47" t="n"/>
      <c r="T298" s="50" t="n"/>
      <c r="U298" s="47">
        <f>IF($F298="","",MIN(24,MAX(1,ROUNDUP(($F298-DayPlan!$C$2+1)/7,0))))</f>
        <v/>
      </c>
      <c r="V298" s="47">
        <f>IF($A298=""," ",4*($J298="Yes")+3*($G298="No")+2*(N($I298)&gt;0)+1*(AND(ISNUMBER($H298),$H298&gt;45))+3*(AND(ISNUMBER($P298),$P298&lt;=TODAY()))-6*($S298="Yes")+(750-ROW())/100000)</f>
        <v/>
      </c>
      <c r="W298" s="47">
        <f>IF(OR($A298="",NOT(ISNUMBER($P298))),"",INT($P298-TODAY()))</f>
        <v/>
      </c>
      <c r="X298" s="47" t="n"/>
    </row>
    <row r="299">
      <c r="A299" s="50" t="n"/>
      <c r="B299" s="47" t="n"/>
      <c r="C299" s="47" t="n"/>
      <c r="D299" s="50" t="n"/>
      <c r="E299" s="50" t="n"/>
      <c r="F299" s="48" t="n"/>
      <c r="G299" s="47" t="n"/>
      <c r="H299" s="47" t="n"/>
      <c r="I299" s="47" t="n"/>
      <c r="J299" s="47" t="n"/>
      <c r="K299" s="47" t="n"/>
      <c r="L299" s="47" t="n"/>
      <c r="M299" s="50" t="n"/>
      <c r="N299" s="50" t="n"/>
      <c r="O299" s="50" t="n"/>
      <c r="P299" s="48">
        <f>IF($F299="","",IF($J299="Yes",$F299+1,IF($G299="No",$F299+2,IF(N($I299)&gt;2,$F299+3,IF(N($I299)&gt;0,$F299+5,$F299+7)))))</f>
        <v/>
      </c>
      <c r="Q299" s="48">
        <f>IF($P299="","",IF($J299="Yes",$P299+3,IF($G299="No",$P299+5,IF(N($I299)&gt;0,$P299+7,$P299+14))))</f>
        <v/>
      </c>
      <c r="R299" s="48">
        <f>IF($Q299="","",IF($J299="Yes",$Q299+7,IF($G299="No",$Q299+14,$Q299+30)))</f>
        <v/>
      </c>
      <c r="S299" s="47" t="n"/>
      <c r="T299" s="50" t="n"/>
      <c r="U299" s="47">
        <f>IF($F299="","",MIN(24,MAX(1,ROUNDUP(($F299-DayPlan!$C$2+1)/7,0))))</f>
        <v/>
      </c>
      <c r="V299" s="47">
        <f>IF($A299=""," ",4*($J299="Yes")+3*($G299="No")+2*(N($I299)&gt;0)+1*(AND(ISNUMBER($H299),$H299&gt;45))+3*(AND(ISNUMBER($P299),$P299&lt;=TODAY()))-6*($S299="Yes")+(750-ROW())/100000)</f>
        <v/>
      </c>
      <c r="W299" s="47">
        <f>IF(OR($A299="",NOT(ISNUMBER($P299))),"",INT($P299-TODAY()))</f>
        <v/>
      </c>
      <c r="X299" s="47" t="n"/>
    </row>
    <row r="300">
      <c r="A300" s="50" t="n"/>
      <c r="B300" s="47" t="n"/>
      <c r="C300" s="47" t="n"/>
      <c r="D300" s="50" t="n"/>
      <c r="E300" s="50" t="n"/>
      <c r="F300" s="48" t="n"/>
      <c r="G300" s="47" t="n"/>
      <c r="H300" s="47" t="n"/>
      <c r="I300" s="47" t="n"/>
      <c r="J300" s="47" t="n"/>
      <c r="K300" s="47" t="n"/>
      <c r="L300" s="47" t="n"/>
      <c r="M300" s="50" t="n"/>
      <c r="N300" s="50" t="n"/>
      <c r="O300" s="50" t="n"/>
      <c r="P300" s="48">
        <f>IF($F300="","",IF($J300="Yes",$F300+1,IF($G300="No",$F300+2,IF(N($I300)&gt;2,$F300+3,IF(N($I300)&gt;0,$F300+5,$F300+7)))))</f>
        <v/>
      </c>
      <c r="Q300" s="48">
        <f>IF($P300="","",IF($J300="Yes",$P300+3,IF($G300="No",$P300+5,IF(N($I300)&gt;0,$P300+7,$P300+14))))</f>
        <v/>
      </c>
      <c r="R300" s="48">
        <f>IF($Q300="","",IF($J300="Yes",$Q300+7,IF($G300="No",$Q300+14,$Q300+30)))</f>
        <v/>
      </c>
      <c r="S300" s="47" t="n"/>
      <c r="T300" s="50" t="n"/>
      <c r="U300" s="47">
        <f>IF($F300="","",MIN(24,MAX(1,ROUNDUP(($F300-DayPlan!$C$2+1)/7,0))))</f>
        <v/>
      </c>
      <c r="V300" s="47">
        <f>IF($A300=""," ",4*($J300="Yes")+3*($G300="No")+2*(N($I300)&gt;0)+1*(AND(ISNUMBER($H300),$H300&gt;45))+3*(AND(ISNUMBER($P300),$P300&lt;=TODAY()))-6*($S300="Yes")+(750-ROW())/100000)</f>
        <v/>
      </c>
      <c r="W300" s="47">
        <f>IF(OR($A300="",NOT(ISNUMBER($P300))),"",INT($P300-TODAY()))</f>
        <v/>
      </c>
      <c r="X300" s="47" t="n"/>
    </row>
    <row r="301">
      <c r="A301" s="50" t="n"/>
      <c r="B301" s="47" t="n"/>
      <c r="C301" s="47" t="n"/>
      <c r="D301" s="50" t="n"/>
      <c r="E301" s="50" t="n"/>
      <c r="F301" s="48" t="n"/>
      <c r="G301" s="47" t="n"/>
      <c r="H301" s="47" t="n"/>
      <c r="I301" s="47" t="n"/>
      <c r="J301" s="47" t="n"/>
      <c r="K301" s="47" t="n"/>
      <c r="L301" s="47" t="n"/>
      <c r="M301" s="50" t="n"/>
      <c r="N301" s="50" t="n"/>
      <c r="O301" s="50" t="n"/>
      <c r="P301" s="48">
        <f>IF($F301="","",IF($J301="Yes",$F301+1,IF($G301="No",$F301+2,IF(N($I301)&gt;2,$F301+3,IF(N($I301)&gt;0,$F301+5,$F301+7)))))</f>
        <v/>
      </c>
      <c r="Q301" s="48">
        <f>IF($P301="","",IF($J301="Yes",$P301+3,IF($G301="No",$P301+5,IF(N($I301)&gt;0,$P301+7,$P301+14))))</f>
        <v/>
      </c>
      <c r="R301" s="48">
        <f>IF($Q301="","",IF($J301="Yes",$Q301+7,IF($G301="No",$Q301+14,$Q301+30)))</f>
        <v/>
      </c>
      <c r="S301" s="47" t="n"/>
      <c r="T301" s="50" t="n"/>
      <c r="U301" s="47">
        <f>IF($F301="","",MIN(24,MAX(1,ROUNDUP(($F301-DayPlan!$C$2+1)/7,0))))</f>
        <v/>
      </c>
      <c r="V301" s="47">
        <f>IF($A301=""," ",4*($J301="Yes")+3*($G301="No")+2*(N($I301)&gt;0)+1*(AND(ISNUMBER($H301),$H301&gt;45))+3*(AND(ISNUMBER($P301),$P301&lt;=TODAY()))-6*($S301="Yes")+(750-ROW())/100000)</f>
        <v/>
      </c>
      <c r="W301" s="47">
        <f>IF(OR($A301="",NOT(ISNUMBER($P301))),"",INT($P301-TODAY()))</f>
        <v/>
      </c>
      <c r="X301" s="47" t="n"/>
    </row>
    <row r="302">
      <c r="A302" s="50" t="n"/>
      <c r="B302" s="47" t="n"/>
      <c r="C302" s="47" t="n"/>
      <c r="D302" s="50" t="n"/>
      <c r="E302" s="50" t="n"/>
      <c r="F302" s="48" t="n"/>
      <c r="G302" s="47" t="n"/>
      <c r="H302" s="47" t="n"/>
      <c r="I302" s="47" t="n"/>
      <c r="J302" s="47" t="n"/>
      <c r="K302" s="47" t="n"/>
      <c r="L302" s="47" t="n"/>
      <c r="M302" s="50" t="n"/>
      <c r="N302" s="50" t="n"/>
      <c r="O302" s="50" t="n"/>
      <c r="P302" s="48">
        <f>IF($F302="","",IF($J302="Yes",$F302+1,IF($G302="No",$F302+2,IF(N($I302)&gt;2,$F302+3,IF(N($I302)&gt;0,$F302+5,$F302+7)))))</f>
        <v/>
      </c>
      <c r="Q302" s="48">
        <f>IF($P302="","",IF($J302="Yes",$P302+3,IF($G302="No",$P302+5,IF(N($I302)&gt;0,$P302+7,$P302+14))))</f>
        <v/>
      </c>
      <c r="R302" s="48">
        <f>IF($Q302="","",IF($J302="Yes",$Q302+7,IF($G302="No",$Q302+14,$Q302+30)))</f>
        <v/>
      </c>
      <c r="S302" s="47" t="n"/>
      <c r="T302" s="50" t="n"/>
      <c r="U302" s="47">
        <f>IF($F302="","",MIN(24,MAX(1,ROUNDUP(($F302-DayPlan!$C$2+1)/7,0))))</f>
        <v/>
      </c>
      <c r="V302" s="47">
        <f>IF($A302=""," ",4*($J302="Yes")+3*($G302="No")+2*(N($I302)&gt;0)+1*(AND(ISNUMBER($H302),$H302&gt;45))+3*(AND(ISNUMBER($P302),$P302&lt;=TODAY()))-6*($S302="Yes")+(750-ROW())/100000)</f>
        <v/>
      </c>
      <c r="W302" s="47">
        <f>IF(OR($A302="",NOT(ISNUMBER($P302))),"",INT($P302-TODAY()))</f>
        <v/>
      </c>
      <c r="X302" s="47" t="n"/>
    </row>
    <row r="303">
      <c r="A303" s="50" t="n"/>
      <c r="B303" s="47" t="n"/>
      <c r="C303" s="47" t="n"/>
      <c r="D303" s="50" t="n"/>
      <c r="E303" s="50" t="n"/>
      <c r="F303" s="48" t="n"/>
      <c r="G303" s="47" t="n"/>
      <c r="H303" s="47" t="n"/>
      <c r="I303" s="47" t="n"/>
      <c r="J303" s="47" t="n"/>
      <c r="K303" s="47" t="n"/>
      <c r="L303" s="47" t="n"/>
      <c r="M303" s="50" t="n"/>
      <c r="N303" s="50" t="n"/>
      <c r="O303" s="50" t="n"/>
      <c r="P303" s="48">
        <f>IF($F303="","",IF($J303="Yes",$F303+1,IF($G303="No",$F303+2,IF(N($I303)&gt;2,$F303+3,IF(N($I303)&gt;0,$F303+5,$F303+7)))))</f>
        <v/>
      </c>
      <c r="Q303" s="48">
        <f>IF($P303="","",IF($J303="Yes",$P303+3,IF($G303="No",$P303+5,IF(N($I303)&gt;0,$P303+7,$P303+14))))</f>
        <v/>
      </c>
      <c r="R303" s="48">
        <f>IF($Q303="","",IF($J303="Yes",$Q303+7,IF($G303="No",$Q303+14,$Q303+30)))</f>
        <v/>
      </c>
      <c r="S303" s="47" t="n"/>
      <c r="T303" s="50" t="n"/>
      <c r="U303" s="47">
        <f>IF($F303="","",MIN(24,MAX(1,ROUNDUP(($F303-DayPlan!$C$2+1)/7,0))))</f>
        <v/>
      </c>
      <c r="V303" s="47">
        <f>IF($A303=""," ",4*($J303="Yes")+3*($G303="No")+2*(N($I303)&gt;0)+1*(AND(ISNUMBER($H303),$H303&gt;45))+3*(AND(ISNUMBER($P303),$P303&lt;=TODAY()))-6*($S303="Yes")+(750-ROW())/100000)</f>
        <v/>
      </c>
      <c r="W303" s="47">
        <f>IF(OR($A303="",NOT(ISNUMBER($P303))),"",INT($P303-TODAY()))</f>
        <v/>
      </c>
      <c r="X303" s="47" t="n"/>
    </row>
    <row r="304">
      <c r="A304" s="50" t="n"/>
      <c r="B304" s="47" t="n"/>
      <c r="C304" s="47" t="n"/>
      <c r="D304" s="50" t="n"/>
      <c r="E304" s="50" t="n"/>
      <c r="F304" s="48" t="n"/>
      <c r="G304" s="47" t="n"/>
      <c r="H304" s="47" t="n"/>
      <c r="I304" s="47" t="n"/>
      <c r="J304" s="47" t="n"/>
      <c r="K304" s="47" t="n"/>
      <c r="L304" s="47" t="n"/>
      <c r="M304" s="50" t="n"/>
      <c r="N304" s="50" t="n"/>
      <c r="O304" s="50" t="n"/>
      <c r="P304" s="48">
        <f>IF($F304="","",IF($J304="Yes",$F304+1,IF($G304="No",$F304+2,IF(N($I304)&gt;2,$F304+3,IF(N($I304)&gt;0,$F304+5,$F304+7)))))</f>
        <v/>
      </c>
      <c r="Q304" s="48">
        <f>IF($P304="","",IF($J304="Yes",$P304+3,IF($G304="No",$P304+5,IF(N($I304)&gt;0,$P304+7,$P304+14))))</f>
        <v/>
      </c>
      <c r="R304" s="48">
        <f>IF($Q304="","",IF($J304="Yes",$Q304+7,IF($G304="No",$Q304+14,$Q304+30)))</f>
        <v/>
      </c>
      <c r="S304" s="47" t="n"/>
      <c r="T304" s="50" t="n"/>
      <c r="U304" s="47">
        <f>IF($F304="","",MIN(24,MAX(1,ROUNDUP(($F304-DayPlan!$C$2+1)/7,0))))</f>
        <v/>
      </c>
      <c r="V304" s="47">
        <f>IF($A304=""," ",4*($J304="Yes")+3*($G304="No")+2*(N($I304)&gt;0)+1*(AND(ISNUMBER($H304),$H304&gt;45))+3*(AND(ISNUMBER($P304),$P304&lt;=TODAY()))-6*($S304="Yes")+(750-ROW())/100000)</f>
        <v/>
      </c>
      <c r="W304" s="47">
        <f>IF(OR($A304="",NOT(ISNUMBER($P304))),"",INT($P304-TODAY()))</f>
        <v/>
      </c>
      <c r="X304" s="47" t="n"/>
    </row>
    <row r="305">
      <c r="A305" s="50" t="n"/>
      <c r="B305" s="47" t="n"/>
      <c r="C305" s="47" t="n"/>
      <c r="D305" s="50" t="n"/>
      <c r="E305" s="50" t="n"/>
      <c r="F305" s="48" t="n"/>
      <c r="G305" s="47" t="n"/>
      <c r="H305" s="47" t="n"/>
      <c r="I305" s="47" t="n"/>
      <c r="J305" s="47" t="n"/>
      <c r="K305" s="47" t="n"/>
      <c r="L305" s="47" t="n"/>
      <c r="M305" s="50" t="n"/>
      <c r="N305" s="50" t="n"/>
      <c r="O305" s="50" t="n"/>
      <c r="P305" s="48">
        <f>IF($F305="","",IF($J305="Yes",$F305+1,IF($G305="No",$F305+2,IF(N($I305)&gt;2,$F305+3,IF(N($I305)&gt;0,$F305+5,$F305+7)))))</f>
        <v/>
      </c>
      <c r="Q305" s="48">
        <f>IF($P305="","",IF($J305="Yes",$P305+3,IF($G305="No",$P305+5,IF(N($I305)&gt;0,$P305+7,$P305+14))))</f>
        <v/>
      </c>
      <c r="R305" s="48">
        <f>IF($Q305="","",IF($J305="Yes",$Q305+7,IF($G305="No",$Q305+14,$Q305+30)))</f>
        <v/>
      </c>
      <c r="S305" s="47" t="n"/>
      <c r="T305" s="50" t="n"/>
      <c r="U305" s="47">
        <f>IF($F305="","",MIN(24,MAX(1,ROUNDUP(($F305-DayPlan!$C$2+1)/7,0))))</f>
        <v/>
      </c>
      <c r="V305" s="47">
        <f>IF($A305=""," ",4*($J305="Yes")+3*($G305="No")+2*(N($I305)&gt;0)+1*(AND(ISNUMBER($H305),$H305&gt;45))+3*(AND(ISNUMBER($P305),$P305&lt;=TODAY()))-6*($S305="Yes")+(750-ROW())/100000)</f>
        <v/>
      </c>
      <c r="W305" s="47">
        <f>IF(OR($A305="",NOT(ISNUMBER($P305))),"",INT($P305-TODAY()))</f>
        <v/>
      </c>
      <c r="X305" s="47" t="n"/>
    </row>
    <row r="306">
      <c r="A306" s="50" t="n"/>
      <c r="B306" s="47" t="n"/>
      <c r="C306" s="47" t="n"/>
      <c r="D306" s="50" t="n"/>
      <c r="E306" s="50" t="n"/>
      <c r="F306" s="48" t="n"/>
      <c r="G306" s="47" t="n"/>
      <c r="H306" s="47" t="n"/>
      <c r="I306" s="47" t="n"/>
      <c r="J306" s="47" t="n"/>
      <c r="K306" s="47" t="n"/>
      <c r="L306" s="47" t="n"/>
      <c r="M306" s="50" t="n"/>
      <c r="N306" s="50" t="n"/>
      <c r="O306" s="50" t="n"/>
      <c r="P306" s="48">
        <f>IF($F306="","",IF($J306="Yes",$F306+1,IF($G306="No",$F306+2,IF(N($I306)&gt;2,$F306+3,IF(N($I306)&gt;0,$F306+5,$F306+7)))))</f>
        <v/>
      </c>
      <c r="Q306" s="48">
        <f>IF($P306="","",IF($J306="Yes",$P306+3,IF($G306="No",$P306+5,IF(N($I306)&gt;0,$P306+7,$P306+14))))</f>
        <v/>
      </c>
      <c r="R306" s="48">
        <f>IF($Q306="","",IF($J306="Yes",$Q306+7,IF($G306="No",$Q306+14,$Q306+30)))</f>
        <v/>
      </c>
      <c r="S306" s="47" t="n"/>
      <c r="T306" s="50" t="n"/>
      <c r="U306" s="47">
        <f>IF($F306="","",MIN(24,MAX(1,ROUNDUP(($F306-DayPlan!$C$2+1)/7,0))))</f>
        <v/>
      </c>
      <c r="V306" s="47">
        <f>IF($A306=""," ",4*($J306="Yes")+3*($G306="No")+2*(N($I306)&gt;0)+1*(AND(ISNUMBER($H306),$H306&gt;45))+3*(AND(ISNUMBER($P306),$P306&lt;=TODAY()))-6*($S306="Yes")+(750-ROW())/100000)</f>
        <v/>
      </c>
      <c r="W306" s="47">
        <f>IF(OR($A306="",NOT(ISNUMBER($P306))),"",INT($P306-TODAY()))</f>
        <v/>
      </c>
      <c r="X306" s="47" t="n"/>
    </row>
    <row r="307">
      <c r="A307" s="50" t="n"/>
      <c r="B307" s="47" t="n"/>
      <c r="C307" s="47" t="n"/>
      <c r="D307" s="50" t="n"/>
      <c r="E307" s="50" t="n"/>
      <c r="F307" s="48" t="n"/>
      <c r="G307" s="47" t="n"/>
      <c r="H307" s="47" t="n"/>
      <c r="I307" s="47" t="n"/>
      <c r="J307" s="47" t="n"/>
      <c r="K307" s="47" t="n"/>
      <c r="L307" s="47" t="n"/>
      <c r="M307" s="50" t="n"/>
      <c r="N307" s="50" t="n"/>
      <c r="O307" s="50" t="n"/>
      <c r="P307" s="48">
        <f>IF($F307="","",IF($J307="Yes",$F307+1,IF($G307="No",$F307+2,IF(N($I307)&gt;2,$F307+3,IF(N($I307)&gt;0,$F307+5,$F307+7)))))</f>
        <v/>
      </c>
      <c r="Q307" s="48">
        <f>IF($P307="","",IF($J307="Yes",$P307+3,IF($G307="No",$P307+5,IF(N($I307)&gt;0,$P307+7,$P307+14))))</f>
        <v/>
      </c>
      <c r="R307" s="48">
        <f>IF($Q307="","",IF($J307="Yes",$Q307+7,IF($G307="No",$Q307+14,$Q307+30)))</f>
        <v/>
      </c>
      <c r="S307" s="47" t="n"/>
      <c r="T307" s="50" t="n"/>
      <c r="U307" s="47">
        <f>IF($F307="","",MIN(24,MAX(1,ROUNDUP(($F307-DayPlan!$C$2+1)/7,0))))</f>
        <v/>
      </c>
      <c r="V307" s="47">
        <f>IF($A307=""," ",4*($J307="Yes")+3*($G307="No")+2*(N($I307)&gt;0)+1*(AND(ISNUMBER($H307),$H307&gt;45))+3*(AND(ISNUMBER($P307),$P307&lt;=TODAY()))-6*($S307="Yes")+(750-ROW())/100000)</f>
        <v/>
      </c>
      <c r="W307" s="47">
        <f>IF(OR($A307="",NOT(ISNUMBER($P307))),"",INT($P307-TODAY()))</f>
        <v/>
      </c>
      <c r="X307" s="47" t="n"/>
    </row>
    <row r="308">
      <c r="A308" s="50" t="n"/>
      <c r="B308" s="47" t="n"/>
      <c r="C308" s="47" t="n"/>
      <c r="D308" s="50" t="n"/>
      <c r="E308" s="50" t="n"/>
      <c r="F308" s="48" t="n"/>
      <c r="G308" s="47" t="n"/>
      <c r="H308" s="47" t="n"/>
      <c r="I308" s="47" t="n"/>
      <c r="J308" s="47" t="n"/>
      <c r="K308" s="47" t="n"/>
      <c r="L308" s="47" t="n"/>
      <c r="M308" s="50" t="n"/>
      <c r="N308" s="50" t="n"/>
      <c r="O308" s="50" t="n"/>
      <c r="P308" s="48">
        <f>IF($F308="","",IF($J308="Yes",$F308+1,IF($G308="No",$F308+2,IF(N($I308)&gt;2,$F308+3,IF(N($I308)&gt;0,$F308+5,$F308+7)))))</f>
        <v/>
      </c>
      <c r="Q308" s="48">
        <f>IF($P308="","",IF($J308="Yes",$P308+3,IF($G308="No",$P308+5,IF(N($I308)&gt;0,$P308+7,$P308+14))))</f>
        <v/>
      </c>
      <c r="R308" s="48">
        <f>IF($Q308="","",IF($J308="Yes",$Q308+7,IF($G308="No",$Q308+14,$Q308+30)))</f>
        <v/>
      </c>
      <c r="S308" s="47" t="n"/>
      <c r="T308" s="50" t="n"/>
      <c r="U308" s="47">
        <f>IF($F308="","",MIN(24,MAX(1,ROUNDUP(($F308-DayPlan!$C$2+1)/7,0))))</f>
        <v/>
      </c>
      <c r="V308" s="47">
        <f>IF($A308=""," ",4*($J308="Yes")+3*($G308="No")+2*(N($I308)&gt;0)+1*(AND(ISNUMBER($H308),$H308&gt;45))+3*(AND(ISNUMBER($P308),$P308&lt;=TODAY()))-6*($S308="Yes")+(750-ROW())/100000)</f>
        <v/>
      </c>
      <c r="W308" s="47">
        <f>IF(OR($A308="",NOT(ISNUMBER($P308))),"",INT($P308-TODAY()))</f>
        <v/>
      </c>
      <c r="X308" s="47" t="n"/>
    </row>
    <row r="309">
      <c r="A309" s="50" t="n"/>
      <c r="B309" s="47" t="n"/>
      <c r="C309" s="47" t="n"/>
      <c r="D309" s="50" t="n"/>
      <c r="E309" s="50" t="n"/>
      <c r="F309" s="48" t="n"/>
      <c r="G309" s="47" t="n"/>
      <c r="H309" s="47" t="n"/>
      <c r="I309" s="47" t="n"/>
      <c r="J309" s="47" t="n"/>
      <c r="K309" s="47" t="n"/>
      <c r="L309" s="47" t="n"/>
      <c r="M309" s="50" t="n"/>
      <c r="N309" s="50" t="n"/>
      <c r="O309" s="50" t="n"/>
      <c r="P309" s="48">
        <f>IF($F309="","",IF($J309="Yes",$F309+1,IF($G309="No",$F309+2,IF(N($I309)&gt;2,$F309+3,IF(N($I309)&gt;0,$F309+5,$F309+7)))))</f>
        <v/>
      </c>
      <c r="Q309" s="48">
        <f>IF($P309="","",IF($J309="Yes",$P309+3,IF($G309="No",$P309+5,IF(N($I309)&gt;0,$P309+7,$P309+14))))</f>
        <v/>
      </c>
      <c r="R309" s="48">
        <f>IF($Q309="","",IF($J309="Yes",$Q309+7,IF($G309="No",$Q309+14,$Q309+30)))</f>
        <v/>
      </c>
      <c r="S309" s="47" t="n"/>
      <c r="T309" s="50" t="n"/>
      <c r="U309" s="47">
        <f>IF($F309="","",MIN(24,MAX(1,ROUNDUP(($F309-DayPlan!$C$2+1)/7,0))))</f>
        <v/>
      </c>
      <c r="V309" s="47">
        <f>IF($A309=""," ",4*($J309="Yes")+3*($G309="No")+2*(N($I309)&gt;0)+1*(AND(ISNUMBER($H309),$H309&gt;45))+3*(AND(ISNUMBER($P309),$P309&lt;=TODAY()))-6*($S309="Yes")+(750-ROW())/100000)</f>
        <v/>
      </c>
      <c r="W309" s="47">
        <f>IF(OR($A309="",NOT(ISNUMBER($P309))),"",INT($P309-TODAY()))</f>
        <v/>
      </c>
      <c r="X309" s="47" t="n"/>
    </row>
    <row r="310">
      <c r="A310" s="50" t="n"/>
      <c r="B310" s="47" t="n"/>
      <c r="C310" s="47" t="n"/>
      <c r="D310" s="50" t="n"/>
      <c r="E310" s="50" t="n"/>
      <c r="F310" s="48" t="n"/>
      <c r="G310" s="47" t="n"/>
      <c r="H310" s="47" t="n"/>
      <c r="I310" s="47" t="n"/>
      <c r="J310" s="47" t="n"/>
      <c r="K310" s="47" t="n"/>
      <c r="L310" s="47" t="n"/>
      <c r="M310" s="50" t="n"/>
      <c r="N310" s="50" t="n"/>
      <c r="O310" s="50" t="n"/>
      <c r="P310" s="48">
        <f>IF($F310="","",IF($J310="Yes",$F310+1,IF($G310="No",$F310+2,IF(N($I310)&gt;2,$F310+3,IF(N($I310)&gt;0,$F310+5,$F310+7)))))</f>
        <v/>
      </c>
      <c r="Q310" s="48">
        <f>IF($P310="","",IF($J310="Yes",$P310+3,IF($G310="No",$P310+5,IF(N($I310)&gt;0,$P310+7,$P310+14))))</f>
        <v/>
      </c>
      <c r="R310" s="48">
        <f>IF($Q310="","",IF($J310="Yes",$Q310+7,IF($G310="No",$Q310+14,$Q310+30)))</f>
        <v/>
      </c>
      <c r="S310" s="47" t="n"/>
      <c r="T310" s="50" t="n"/>
      <c r="U310" s="47">
        <f>IF($F310="","",MIN(24,MAX(1,ROUNDUP(($F310-DayPlan!$C$2+1)/7,0))))</f>
        <v/>
      </c>
      <c r="V310" s="47">
        <f>IF($A310=""," ",4*($J310="Yes")+3*($G310="No")+2*(N($I310)&gt;0)+1*(AND(ISNUMBER($H310),$H310&gt;45))+3*(AND(ISNUMBER($P310),$P310&lt;=TODAY()))-6*($S310="Yes")+(750-ROW())/100000)</f>
        <v/>
      </c>
      <c r="W310" s="47">
        <f>IF(OR($A310="",NOT(ISNUMBER($P310))),"",INT($P310-TODAY()))</f>
        <v/>
      </c>
      <c r="X310" s="47" t="n"/>
    </row>
    <row r="311">
      <c r="A311" s="50" t="n"/>
      <c r="B311" s="47" t="n"/>
      <c r="C311" s="47" t="n"/>
      <c r="D311" s="50" t="n"/>
      <c r="E311" s="50" t="n"/>
      <c r="F311" s="48" t="n"/>
      <c r="G311" s="47" t="n"/>
      <c r="H311" s="47" t="n"/>
      <c r="I311" s="47" t="n"/>
      <c r="J311" s="47" t="n"/>
      <c r="K311" s="47" t="n"/>
      <c r="L311" s="47" t="n"/>
      <c r="M311" s="50" t="n"/>
      <c r="N311" s="50" t="n"/>
      <c r="O311" s="50" t="n"/>
      <c r="P311" s="48">
        <f>IF($F311="","",IF($J311="Yes",$F311+1,IF($G311="No",$F311+2,IF(N($I311)&gt;2,$F311+3,IF(N($I311)&gt;0,$F311+5,$F311+7)))))</f>
        <v/>
      </c>
      <c r="Q311" s="48">
        <f>IF($P311="","",IF($J311="Yes",$P311+3,IF($G311="No",$P311+5,IF(N($I311)&gt;0,$P311+7,$P311+14))))</f>
        <v/>
      </c>
      <c r="R311" s="48">
        <f>IF($Q311="","",IF($J311="Yes",$Q311+7,IF($G311="No",$Q311+14,$Q311+30)))</f>
        <v/>
      </c>
      <c r="S311" s="47" t="n"/>
      <c r="T311" s="50" t="n"/>
      <c r="U311" s="47">
        <f>IF($F311="","",MIN(24,MAX(1,ROUNDUP(($F311-DayPlan!$C$2+1)/7,0))))</f>
        <v/>
      </c>
      <c r="V311" s="47">
        <f>IF($A311=""," ",4*($J311="Yes")+3*($G311="No")+2*(N($I311)&gt;0)+1*(AND(ISNUMBER($H311),$H311&gt;45))+3*(AND(ISNUMBER($P311),$P311&lt;=TODAY()))-6*($S311="Yes")+(750-ROW())/100000)</f>
        <v/>
      </c>
      <c r="W311" s="47">
        <f>IF(OR($A311="",NOT(ISNUMBER($P311))),"",INT($P311-TODAY()))</f>
        <v/>
      </c>
      <c r="X311" s="47" t="n"/>
    </row>
    <row r="312">
      <c r="A312" s="50" t="n"/>
      <c r="B312" s="47" t="n"/>
      <c r="C312" s="47" t="n"/>
      <c r="D312" s="50" t="n"/>
      <c r="E312" s="50" t="n"/>
      <c r="F312" s="48" t="n"/>
      <c r="G312" s="47" t="n"/>
      <c r="H312" s="47" t="n"/>
      <c r="I312" s="47" t="n"/>
      <c r="J312" s="47" t="n"/>
      <c r="K312" s="47" t="n"/>
      <c r="L312" s="47" t="n"/>
      <c r="M312" s="50" t="n"/>
      <c r="N312" s="50" t="n"/>
      <c r="O312" s="50" t="n"/>
      <c r="P312" s="48">
        <f>IF($F312="","",IF($J312="Yes",$F312+1,IF($G312="No",$F312+2,IF(N($I312)&gt;2,$F312+3,IF(N($I312)&gt;0,$F312+5,$F312+7)))))</f>
        <v/>
      </c>
      <c r="Q312" s="48">
        <f>IF($P312="","",IF($J312="Yes",$P312+3,IF($G312="No",$P312+5,IF(N($I312)&gt;0,$P312+7,$P312+14))))</f>
        <v/>
      </c>
      <c r="R312" s="48">
        <f>IF($Q312="","",IF($J312="Yes",$Q312+7,IF($G312="No",$Q312+14,$Q312+30)))</f>
        <v/>
      </c>
      <c r="S312" s="47" t="n"/>
      <c r="T312" s="50" t="n"/>
      <c r="U312" s="47">
        <f>IF($F312="","",MIN(24,MAX(1,ROUNDUP(($F312-DayPlan!$C$2+1)/7,0))))</f>
        <v/>
      </c>
      <c r="V312" s="47">
        <f>IF($A312=""," ",4*($J312="Yes")+3*($G312="No")+2*(N($I312)&gt;0)+1*(AND(ISNUMBER($H312),$H312&gt;45))+3*(AND(ISNUMBER($P312),$P312&lt;=TODAY()))-6*($S312="Yes")+(750-ROW())/100000)</f>
        <v/>
      </c>
      <c r="W312" s="47">
        <f>IF(OR($A312="",NOT(ISNUMBER($P312))),"",INT($P312-TODAY()))</f>
        <v/>
      </c>
      <c r="X312" s="47" t="n"/>
    </row>
    <row r="313">
      <c r="A313" s="50" t="n"/>
      <c r="B313" s="47" t="n"/>
      <c r="C313" s="47" t="n"/>
      <c r="D313" s="50" t="n"/>
      <c r="E313" s="50" t="n"/>
      <c r="F313" s="48" t="n"/>
      <c r="G313" s="47" t="n"/>
      <c r="H313" s="47" t="n"/>
      <c r="I313" s="47" t="n"/>
      <c r="J313" s="47" t="n"/>
      <c r="K313" s="47" t="n"/>
      <c r="L313" s="47" t="n"/>
      <c r="M313" s="50" t="n"/>
      <c r="N313" s="50" t="n"/>
      <c r="O313" s="50" t="n"/>
      <c r="P313" s="48">
        <f>IF($F313="","",IF($J313="Yes",$F313+1,IF($G313="No",$F313+2,IF(N($I313)&gt;2,$F313+3,IF(N($I313)&gt;0,$F313+5,$F313+7)))))</f>
        <v/>
      </c>
      <c r="Q313" s="48">
        <f>IF($P313="","",IF($J313="Yes",$P313+3,IF($G313="No",$P313+5,IF(N($I313)&gt;0,$P313+7,$P313+14))))</f>
        <v/>
      </c>
      <c r="R313" s="48">
        <f>IF($Q313="","",IF($J313="Yes",$Q313+7,IF($G313="No",$Q313+14,$Q313+30)))</f>
        <v/>
      </c>
      <c r="S313" s="47" t="n"/>
      <c r="T313" s="50" t="n"/>
      <c r="U313" s="47">
        <f>IF($F313="","",MIN(24,MAX(1,ROUNDUP(($F313-DayPlan!$C$2+1)/7,0))))</f>
        <v/>
      </c>
      <c r="V313" s="47">
        <f>IF($A313=""," ",4*($J313="Yes")+3*($G313="No")+2*(N($I313)&gt;0)+1*(AND(ISNUMBER($H313),$H313&gt;45))+3*(AND(ISNUMBER($P313),$P313&lt;=TODAY()))-6*($S313="Yes")+(750-ROW())/100000)</f>
        <v/>
      </c>
      <c r="W313" s="47">
        <f>IF(OR($A313="",NOT(ISNUMBER($P313))),"",INT($P313-TODAY()))</f>
        <v/>
      </c>
      <c r="X313" s="47" t="n"/>
    </row>
    <row r="314">
      <c r="A314" s="50" t="n"/>
      <c r="B314" s="47" t="n"/>
      <c r="C314" s="47" t="n"/>
      <c r="D314" s="50" t="n"/>
      <c r="E314" s="50" t="n"/>
      <c r="F314" s="48" t="n"/>
      <c r="G314" s="47" t="n"/>
      <c r="H314" s="47" t="n"/>
      <c r="I314" s="47" t="n"/>
      <c r="J314" s="47" t="n"/>
      <c r="K314" s="47" t="n"/>
      <c r="L314" s="47" t="n"/>
      <c r="M314" s="50" t="n"/>
      <c r="N314" s="50" t="n"/>
      <c r="O314" s="50" t="n"/>
      <c r="P314" s="48">
        <f>IF($F314="","",IF($J314="Yes",$F314+1,IF($G314="No",$F314+2,IF(N($I314)&gt;2,$F314+3,IF(N($I314)&gt;0,$F314+5,$F314+7)))))</f>
        <v/>
      </c>
      <c r="Q314" s="48">
        <f>IF($P314="","",IF($J314="Yes",$P314+3,IF($G314="No",$P314+5,IF(N($I314)&gt;0,$P314+7,$P314+14))))</f>
        <v/>
      </c>
      <c r="R314" s="48">
        <f>IF($Q314="","",IF($J314="Yes",$Q314+7,IF($G314="No",$Q314+14,$Q314+30)))</f>
        <v/>
      </c>
      <c r="S314" s="47" t="n"/>
      <c r="T314" s="50" t="n"/>
      <c r="U314" s="47">
        <f>IF($F314="","",MIN(24,MAX(1,ROUNDUP(($F314-DayPlan!$C$2+1)/7,0))))</f>
        <v/>
      </c>
      <c r="V314" s="47">
        <f>IF($A314=""," ",4*($J314="Yes")+3*($G314="No")+2*(N($I314)&gt;0)+1*(AND(ISNUMBER($H314),$H314&gt;45))+3*(AND(ISNUMBER($P314),$P314&lt;=TODAY()))-6*($S314="Yes")+(750-ROW())/100000)</f>
        <v/>
      </c>
      <c r="W314" s="47">
        <f>IF(OR($A314="",NOT(ISNUMBER($P314))),"",INT($P314-TODAY()))</f>
        <v/>
      </c>
      <c r="X314" s="47" t="n"/>
    </row>
    <row r="315">
      <c r="A315" s="50" t="n"/>
      <c r="B315" s="47" t="n"/>
      <c r="C315" s="47" t="n"/>
      <c r="D315" s="50" t="n"/>
      <c r="E315" s="50" t="n"/>
      <c r="F315" s="48" t="n"/>
      <c r="G315" s="47" t="n"/>
      <c r="H315" s="47" t="n"/>
      <c r="I315" s="47" t="n"/>
      <c r="J315" s="47" t="n"/>
      <c r="K315" s="47" t="n"/>
      <c r="L315" s="47" t="n"/>
      <c r="M315" s="50" t="n"/>
      <c r="N315" s="50" t="n"/>
      <c r="O315" s="50" t="n"/>
      <c r="P315" s="48">
        <f>IF($F315="","",IF($J315="Yes",$F315+1,IF($G315="No",$F315+2,IF(N($I315)&gt;2,$F315+3,IF(N($I315)&gt;0,$F315+5,$F315+7)))))</f>
        <v/>
      </c>
      <c r="Q315" s="48">
        <f>IF($P315="","",IF($J315="Yes",$P315+3,IF($G315="No",$P315+5,IF(N($I315)&gt;0,$P315+7,$P315+14))))</f>
        <v/>
      </c>
      <c r="R315" s="48">
        <f>IF($Q315="","",IF($J315="Yes",$Q315+7,IF($G315="No",$Q315+14,$Q315+30)))</f>
        <v/>
      </c>
      <c r="S315" s="47" t="n"/>
      <c r="T315" s="50" t="n"/>
      <c r="U315" s="47">
        <f>IF($F315="","",MIN(24,MAX(1,ROUNDUP(($F315-DayPlan!$C$2+1)/7,0))))</f>
        <v/>
      </c>
      <c r="V315" s="47">
        <f>IF($A315=""," ",4*($J315="Yes")+3*($G315="No")+2*(N($I315)&gt;0)+1*(AND(ISNUMBER($H315),$H315&gt;45))+3*(AND(ISNUMBER($P315),$P315&lt;=TODAY()))-6*($S315="Yes")+(750-ROW())/100000)</f>
        <v/>
      </c>
      <c r="W315" s="47">
        <f>IF(OR($A315="",NOT(ISNUMBER($P315))),"",INT($P315-TODAY()))</f>
        <v/>
      </c>
      <c r="X315" s="47" t="n"/>
    </row>
    <row r="316">
      <c r="A316" s="50" t="n"/>
      <c r="B316" s="47" t="n"/>
      <c r="C316" s="47" t="n"/>
      <c r="D316" s="50" t="n"/>
      <c r="E316" s="50" t="n"/>
      <c r="F316" s="48" t="n"/>
      <c r="G316" s="47" t="n"/>
      <c r="H316" s="47" t="n"/>
      <c r="I316" s="47" t="n"/>
      <c r="J316" s="47" t="n"/>
      <c r="K316" s="47" t="n"/>
      <c r="L316" s="47" t="n"/>
      <c r="M316" s="50" t="n"/>
      <c r="N316" s="50" t="n"/>
      <c r="O316" s="50" t="n"/>
      <c r="P316" s="48">
        <f>IF($F316="","",IF($J316="Yes",$F316+1,IF($G316="No",$F316+2,IF(N($I316)&gt;2,$F316+3,IF(N($I316)&gt;0,$F316+5,$F316+7)))))</f>
        <v/>
      </c>
      <c r="Q316" s="48">
        <f>IF($P316="","",IF($J316="Yes",$P316+3,IF($G316="No",$P316+5,IF(N($I316)&gt;0,$P316+7,$P316+14))))</f>
        <v/>
      </c>
      <c r="R316" s="48">
        <f>IF($Q316="","",IF($J316="Yes",$Q316+7,IF($G316="No",$Q316+14,$Q316+30)))</f>
        <v/>
      </c>
      <c r="S316" s="47" t="n"/>
      <c r="T316" s="50" t="n"/>
      <c r="U316" s="47">
        <f>IF($F316="","",MIN(24,MAX(1,ROUNDUP(($F316-DayPlan!$C$2+1)/7,0))))</f>
        <v/>
      </c>
      <c r="V316" s="47">
        <f>IF($A316=""," ",4*($J316="Yes")+3*($G316="No")+2*(N($I316)&gt;0)+1*(AND(ISNUMBER($H316),$H316&gt;45))+3*(AND(ISNUMBER($P316),$P316&lt;=TODAY()))-6*($S316="Yes")+(750-ROW())/100000)</f>
        <v/>
      </c>
      <c r="W316" s="47">
        <f>IF(OR($A316="",NOT(ISNUMBER($P316))),"",INT($P316-TODAY()))</f>
        <v/>
      </c>
      <c r="X316" s="47" t="n"/>
    </row>
    <row r="317">
      <c r="A317" s="50" t="n"/>
      <c r="B317" s="47" t="n"/>
      <c r="C317" s="47" t="n"/>
      <c r="D317" s="50" t="n"/>
      <c r="E317" s="50" t="n"/>
      <c r="F317" s="48" t="n"/>
      <c r="G317" s="47" t="n"/>
      <c r="H317" s="47" t="n"/>
      <c r="I317" s="47" t="n"/>
      <c r="J317" s="47" t="n"/>
      <c r="K317" s="47" t="n"/>
      <c r="L317" s="47" t="n"/>
      <c r="M317" s="50" t="n"/>
      <c r="N317" s="50" t="n"/>
      <c r="O317" s="50" t="n"/>
      <c r="P317" s="48">
        <f>IF($F317="","",IF($J317="Yes",$F317+1,IF($G317="No",$F317+2,IF(N($I317)&gt;2,$F317+3,IF(N($I317)&gt;0,$F317+5,$F317+7)))))</f>
        <v/>
      </c>
      <c r="Q317" s="48">
        <f>IF($P317="","",IF($J317="Yes",$P317+3,IF($G317="No",$P317+5,IF(N($I317)&gt;0,$P317+7,$P317+14))))</f>
        <v/>
      </c>
      <c r="R317" s="48">
        <f>IF($Q317="","",IF($J317="Yes",$Q317+7,IF($G317="No",$Q317+14,$Q317+30)))</f>
        <v/>
      </c>
      <c r="S317" s="47" t="n"/>
      <c r="T317" s="50" t="n"/>
      <c r="U317" s="47">
        <f>IF($F317="","",MIN(24,MAX(1,ROUNDUP(($F317-DayPlan!$C$2+1)/7,0))))</f>
        <v/>
      </c>
      <c r="V317" s="47">
        <f>IF($A317=""," ",4*($J317="Yes")+3*($G317="No")+2*(N($I317)&gt;0)+1*(AND(ISNUMBER($H317),$H317&gt;45))+3*(AND(ISNUMBER($P317),$P317&lt;=TODAY()))-6*($S317="Yes")+(750-ROW())/100000)</f>
        <v/>
      </c>
      <c r="W317" s="47">
        <f>IF(OR($A317="",NOT(ISNUMBER($P317))),"",INT($P317-TODAY()))</f>
        <v/>
      </c>
      <c r="X317" s="47" t="n"/>
    </row>
    <row r="318">
      <c r="A318" s="50" t="n"/>
      <c r="B318" s="47" t="n"/>
      <c r="C318" s="47" t="n"/>
      <c r="D318" s="50" t="n"/>
      <c r="E318" s="50" t="n"/>
      <c r="F318" s="48" t="n"/>
      <c r="G318" s="47" t="n"/>
      <c r="H318" s="47" t="n"/>
      <c r="I318" s="47" t="n"/>
      <c r="J318" s="47" t="n"/>
      <c r="K318" s="47" t="n"/>
      <c r="L318" s="47" t="n"/>
      <c r="M318" s="50" t="n"/>
      <c r="N318" s="50" t="n"/>
      <c r="O318" s="50" t="n"/>
      <c r="P318" s="48">
        <f>IF($F318="","",IF($J318="Yes",$F318+1,IF($G318="No",$F318+2,IF(N($I318)&gt;2,$F318+3,IF(N($I318)&gt;0,$F318+5,$F318+7)))))</f>
        <v/>
      </c>
      <c r="Q318" s="48">
        <f>IF($P318="","",IF($J318="Yes",$P318+3,IF($G318="No",$P318+5,IF(N($I318)&gt;0,$P318+7,$P318+14))))</f>
        <v/>
      </c>
      <c r="R318" s="48">
        <f>IF($Q318="","",IF($J318="Yes",$Q318+7,IF($G318="No",$Q318+14,$Q318+30)))</f>
        <v/>
      </c>
      <c r="S318" s="47" t="n"/>
      <c r="T318" s="50" t="n"/>
      <c r="U318" s="47">
        <f>IF($F318="","",MIN(24,MAX(1,ROUNDUP(($F318-DayPlan!$C$2+1)/7,0))))</f>
        <v/>
      </c>
      <c r="V318" s="47">
        <f>IF($A318=""," ",4*($J318="Yes")+3*($G318="No")+2*(N($I318)&gt;0)+1*(AND(ISNUMBER($H318),$H318&gt;45))+3*(AND(ISNUMBER($P318),$P318&lt;=TODAY()))-6*($S318="Yes")+(750-ROW())/100000)</f>
        <v/>
      </c>
      <c r="W318" s="47">
        <f>IF(OR($A318="",NOT(ISNUMBER($P318))),"",INT($P318-TODAY()))</f>
        <v/>
      </c>
      <c r="X318" s="47" t="n"/>
    </row>
    <row r="319">
      <c r="A319" s="50" t="n"/>
      <c r="B319" s="47" t="n"/>
      <c r="C319" s="47" t="n"/>
      <c r="D319" s="50" t="n"/>
      <c r="E319" s="50" t="n"/>
      <c r="F319" s="48" t="n"/>
      <c r="G319" s="47" t="n"/>
      <c r="H319" s="47" t="n"/>
      <c r="I319" s="47" t="n"/>
      <c r="J319" s="47" t="n"/>
      <c r="K319" s="47" t="n"/>
      <c r="L319" s="47" t="n"/>
      <c r="M319" s="50" t="n"/>
      <c r="N319" s="50" t="n"/>
      <c r="O319" s="50" t="n"/>
      <c r="P319" s="48">
        <f>IF($F319="","",IF($J319="Yes",$F319+1,IF($G319="No",$F319+2,IF(N($I319)&gt;2,$F319+3,IF(N($I319)&gt;0,$F319+5,$F319+7)))))</f>
        <v/>
      </c>
      <c r="Q319" s="48">
        <f>IF($P319="","",IF($J319="Yes",$P319+3,IF($G319="No",$P319+5,IF(N($I319)&gt;0,$P319+7,$P319+14))))</f>
        <v/>
      </c>
      <c r="R319" s="48">
        <f>IF($Q319="","",IF($J319="Yes",$Q319+7,IF($G319="No",$Q319+14,$Q319+30)))</f>
        <v/>
      </c>
      <c r="S319" s="47" t="n"/>
      <c r="T319" s="50" t="n"/>
      <c r="U319" s="47">
        <f>IF($F319="","",MIN(24,MAX(1,ROUNDUP(($F319-DayPlan!$C$2+1)/7,0))))</f>
        <v/>
      </c>
      <c r="V319" s="47">
        <f>IF($A319=""," ",4*($J319="Yes")+3*($G319="No")+2*(N($I319)&gt;0)+1*(AND(ISNUMBER($H319),$H319&gt;45))+3*(AND(ISNUMBER($P319),$P319&lt;=TODAY()))-6*($S319="Yes")+(750-ROW())/100000)</f>
        <v/>
      </c>
      <c r="W319" s="47">
        <f>IF(OR($A319="",NOT(ISNUMBER($P319))),"",INT($P319-TODAY()))</f>
        <v/>
      </c>
      <c r="X319" s="47" t="n"/>
    </row>
    <row r="320">
      <c r="A320" s="50" t="n"/>
      <c r="B320" s="47" t="n"/>
      <c r="C320" s="47" t="n"/>
      <c r="D320" s="50" t="n"/>
      <c r="E320" s="50" t="n"/>
      <c r="F320" s="48" t="n"/>
      <c r="G320" s="47" t="n"/>
      <c r="H320" s="47" t="n"/>
      <c r="I320" s="47" t="n"/>
      <c r="J320" s="47" t="n"/>
      <c r="K320" s="47" t="n"/>
      <c r="L320" s="47" t="n"/>
      <c r="M320" s="50" t="n"/>
      <c r="N320" s="50" t="n"/>
      <c r="O320" s="50" t="n"/>
      <c r="P320" s="48">
        <f>IF($F320="","",IF($J320="Yes",$F320+1,IF($G320="No",$F320+2,IF(N($I320)&gt;2,$F320+3,IF(N($I320)&gt;0,$F320+5,$F320+7)))))</f>
        <v/>
      </c>
      <c r="Q320" s="48">
        <f>IF($P320="","",IF($J320="Yes",$P320+3,IF($G320="No",$P320+5,IF(N($I320)&gt;0,$P320+7,$P320+14))))</f>
        <v/>
      </c>
      <c r="R320" s="48">
        <f>IF($Q320="","",IF($J320="Yes",$Q320+7,IF($G320="No",$Q320+14,$Q320+30)))</f>
        <v/>
      </c>
      <c r="S320" s="47" t="n"/>
      <c r="T320" s="50" t="n"/>
      <c r="U320" s="47">
        <f>IF($F320="","",MIN(24,MAX(1,ROUNDUP(($F320-DayPlan!$C$2+1)/7,0))))</f>
        <v/>
      </c>
      <c r="V320" s="47">
        <f>IF($A320=""," ",4*($J320="Yes")+3*($G320="No")+2*(N($I320)&gt;0)+1*(AND(ISNUMBER($H320),$H320&gt;45))+3*(AND(ISNUMBER($P320),$P320&lt;=TODAY()))-6*($S320="Yes")+(750-ROW())/100000)</f>
        <v/>
      </c>
      <c r="W320" s="47">
        <f>IF(OR($A320="",NOT(ISNUMBER($P320))),"",INT($P320-TODAY()))</f>
        <v/>
      </c>
      <c r="X320" s="47" t="n"/>
    </row>
    <row r="321">
      <c r="A321" s="50" t="n"/>
      <c r="B321" s="47" t="n"/>
      <c r="C321" s="47" t="n"/>
      <c r="D321" s="50" t="n"/>
      <c r="E321" s="50" t="n"/>
      <c r="F321" s="48" t="n"/>
      <c r="G321" s="47" t="n"/>
      <c r="H321" s="47" t="n"/>
      <c r="I321" s="47" t="n"/>
      <c r="J321" s="47" t="n"/>
      <c r="K321" s="47" t="n"/>
      <c r="L321" s="47" t="n"/>
      <c r="M321" s="50" t="n"/>
      <c r="N321" s="50" t="n"/>
      <c r="O321" s="50" t="n"/>
      <c r="P321" s="48">
        <f>IF($F321="","",IF($J321="Yes",$F321+1,IF($G321="No",$F321+2,IF(N($I321)&gt;2,$F321+3,IF(N($I321)&gt;0,$F321+5,$F321+7)))))</f>
        <v/>
      </c>
      <c r="Q321" s="48">
        <f>IF($P321="","",IF($J321="Yes",$P321+3,IF($G321="No",$P321+5,IF(N($I321)&gt;0,$P321+7,$P321+14))))</f>
        <v/>
      </c>
      <c r="R321" s="48">
        <f>IF($Q321="","",IF($J321="Yes",$Q321+7,IF($G321="No",$Q321+14,$Q321+30)))</f>
        <v/>
      </c>
      <c r="S321" s="47" t="n"/>
      <c r="T321" s="50" t="n"/>
      <c r="U321" s="47">
        <f>IF($F321="","",MIN(24,MAX(1,ROUNDUP(($F321-DayPlan!$C$2+1)/7,0))))</f>
        <v/>
      </c>
      <c r="V321" s="47">
        <f>IF($A321=""," ",4*($J321="Yes")+3*($G321="No")+2*(N($I321)&gt;0)+1*(AND(ISNUMBER($H321),$H321&gt;45))+3*(AND(ISNUMBER($P321),$P321&lt;=TODAY()))-6*($S321="Yes")+(750-ROW())/100000)</f>
        <v/>
      </c>
      <c r="W321" s="47">
        <f>IF(OR($A321="",NOT(ISNUMBER($P321))),"",INT($P321-TODAY()))</f>
        <v/>
      </c>
      <c r="X321" s="47" t="n"/>
    </row>
    <row r="322">
      <c r="A322" s="50" t="n"/>
      <c r="B322" s="47" t="n"/>
      <c r="C322" s="47" t="n"/>
      <c r="D322" s="50" t="n"/>
      <c r="E322" s="50" t="n"/>
      <c r="F322" s="48" t="n"/>
      <c r="G322" s="47" t="n"/>
      <c r="H322" s="47" t="n"/>
      <c r="I322" s="47" t="n"/>
      <c r="J322" s="47" t="n"/>
      <c r="K322" s="47" t="n"/>
      <c r="L322" s="47" t="n"/>
      <c r="M322" s="50" t="n"/>
      <c r="N322" s="50" t="n"/>
      <c r="O322" s="50" t="n"/>
      <c r="P322" s="48">
        <f>IF($F322="","",IF($J322="Yes",$F322+1,IF($G322="No",$F322+2,IF(N($I322)&gt;2,$F322+3,IF(N($I322)&gt;0,$F322+5,$F322+7)))))</f>
        <v/>
      </c>
      <c r="Q322" s="48">
        <f>IF($P322="","",IF($J322="Yes",$P322+3,IF($G322="No",$P322+5,IF(N($I322)&gt;0,$P322+7,$P322+14))))</f>
        <v/>
      </c>
      <c r="R322" s="48">
        <f>IF($Q322="","",IF($J322="Yes",$Q322+7,IF($G322="No",$Q322+14,$Q322+30)))</f>
        <v/>
      </c>
      <c r="S322" s="47" t="n"/>
      <c r="T322" s="50" t="n"/>
      <c r="U322" s="47">
        <f>IF($F322="","",MIN(24,MAX(1,ROUNDUP(($F322-DayPlan!$C$2+1)/7,0))))</f>
        <v/>
      </c>
      <c r="V322" s="47">
        <f>IF($A322=""," ",4*($J322="Yes")+3*($G322="No")+2*(N($I322)&gt;0)+1*(AND(ISNUMBER($H322),$H322&gt;45))+3*(AND(ISNUMBER($P322),$P322&lt;=TODAY()))-6*($S322="Yes")+(750-ROW())/100000)</f>
        <v/>
      </c>
      <c r="W322" s="47">
        <f>IF(OR($A322="",NOT(ISNUMBER($P322))),"",INT($P322-TODAY()))</f>
        <v/>
      </c>
      <c r="X322" s="47" t="n"/>
    </row>
    <row r="323">
      <c r="A323" s="50" t="n"/>
      <c r="B323" s="47" t="n"/>
      <c r="C323" s="47" t="n"/>
      <c r="D323" s="50" t="n"/>
      <c r="E323" s="50" t="n"/>
      <c r="F323" s="48" t="n"/>
      <c r="G323" s="47" t="n"/>
      <c r="H323" s="47" t="n"/>
      <c r="I323" s="47" t="n"/>
      <c r="J323" s="47" t="n"/>
      <c r="K323" s="47" t="n"/>
      <c r="L323" s="47" t="n"/>
      <c r="M323" s="50" t="n"/>
      <c r="N323" s="50" t="n"/>
      <c r="O323" s="50" t="n"/>
      <c r="P323" s="48">
        <f>IF($F323="","",IF($J323="Yes",$F323+1,IF($G323="No",$F323+2,IF(N($I323)&gt;2,$F323+3,IF(N($I323)&gt;0,$F323+5,$F323+7)))))</f>
        <v/>
      </c>
      <c r="Q323" s="48">
        <f>IF($P323="","",IF($J323="Yes",$P323+3,IF($G323="No",$P323+5,IF(N($I323)&gt;0,$P323+7,$P323+14))))</f>
        <v/>
      </c>
      <c r="R323" s="48">
        <f>IF($Q323="","",IF($J323="Yes",$Q323+7,IF($G323="No",$Q323+14,$Q323+30)))</f>
        <v/>
      </c>
      <c r="S323" s="47" t="n"/>
      <c r="T323" s="50" t="n"/>
      <c r="U323" s="47">
        <f>IF($F323="","",MIN(24,MAX(1,ROUNDUP(($F323-DayPlan!$C$2+1)/7,0))))</f>
        <v/>
      </c>
      <c r="V323" s="47">
        <f>IF($A323=""," ",4*($J323="Yes")+3*($G323="No")+2*(N($I323)&gt;0)+1*(AND(ISNUMBER($H323),$H323&gt;45))+3*(AND(ISNUMBER($P323),$P323&lt;=TODAY()))-6*($S323="Yes")+(750-ROW())/100000)</f>
        <v/>
      </c>
      <c r="W323" s="47">
        <f>IF(OR($A323="",NOT(ISNUMBER($P323))),"",INT($P323-TODAY()))</f>
        <v/>
      </c>
      <c r="X323" s="47" t="n"/>
    </row>
    <row r="324">
      <c r="A324" s="50" t="n"/>
      <c r="B324" s="47" t="n"/>
      <c r="C324" s="47" t="n"/>
      <c r="D324" s="50" t="n"/>
      <c r="E324" s="50" t="n"/>
      <c r="F324" s="48" t="n"/>
      <c r="G324" s="47" t="n"/>
      <c r="H324" s="47" t="n"/>
      <c r="I324" s="47" t="n"/>
      <c r="J324" s="47" t="n"/>
      <c r="K324" s="47" t="n"/>
      <c r="L324" s="47" t="n"/>
      <c r="M324" s="50" t="n"/>
      <c r="N324" s="50" t="n"/>
      <c r="O324" s="50" t="n"/>
      <c r="P324" s="48">
        <f>IF($F324="","",IF($J324="Yes",$F324+1,IF($G324="No",$F324+2,IF(N($I324)&gt;2,$F324+3,IF(N($I324)&gt;0,$F324+5,$F324+7)))))</f>
        <v/>
      </c>
      <c r="Q324" s="48">
        <f>IF($P324="","",IF($J324="Yes",$P324+3,IF($G324="No",$P324+5,IF(N($I324)&gt;0,$P324+7,$P324+14))))</f>
        <v/>
      </c>
      <c r="R324" s="48">
        <f>IF($Q324="","",IF($J324="Yes",$Q324+7,IF($G324="No",$Q324+14,$Q324+30)))</f>
        <v/>
      </c>
      <c r="S324" s="47" t="n"/>
      <c r="T324" s="50" t="n"/>
      <c r="U324" s="47">
        <f>IF($F324="","",MIN(24,MAX(1,ROUNDUP(($F324-DayPlan!$C$2+1)/7,0))))</f>
        <v/>
      </c>
      <c r="V324" s="47">
        <f>IF($A324=""," ",4*($J324="Yes")+3*($G324="No")+2*(N($I324)&gt;0)+1*(AND(ISNUMBER($H324),$H324&gt;45))+3*(AND(ISNUMBER($P324),$P324&lt;=TODAY()))-6*($S324="Yes")+(750-ROW())/100000)</f>
        <v/>
      </c>
      <c r="W324" s="47">
        <f>IF(OR($A324="",NOT(ISNUMBER($P324))),"",INT($P324-TODAY()))</f>
        <v/>
      </c>
      <c r="X324" s="47" t="n"/>
    </row>
    <row r="325">
      <c r="A325" s="50" t="n"/>
      <c r="B325" s="47" t="n"/>
      <c r="C325" s="47" t="n"/>
      <c r="D325" s="50" t="n"/>
      <c r="E325" s="50" t="n"/>
      <c r="F325" s="48" t="n"/>
      <c r="G325" s="47" t="n"/>
      <c r="H325" s="47" t="n"/>
      <c r="I325" s="47" t="n"/>
      <c r="J325" s="47" t="n"/>
      <c r="K325" s="47" t="n"/>
      <c r="L325" s="47" t="n"/>
      <c r="M325" s="50" t="n"/>
      <c r="N325" s="50" t="n"/>
      <c r="O325" s="50" t="n"/>
      <c r="P325" s="48">
        <f>IF($F325="","",IF($J325="Yes",$F325+1,IF($G325="No",$F325+2,IF(N($I325)&gt;2,$F325+3,IF(N($I325)&gt;0,$F325+5,$F325+7)))))</f>
        <v/>
      </c>
      <c r="Q325" s="48">
        <f>IF($P325="","",IF($J325="Yes",$P325+3,IF($G325="No",$P325+5,IF(N($I325)&gt;0,$P325+7,$P325+14))))</f>
        <v/>
      </c>
      <c r="R325" s="48">
        <f>IF($Q325="","",IF($J325="Yes",$Q325+7,IF($G325="No",$Q325+14,$Q325+30)))</f>
        <v/>
      </c>
      <c r="S325" s="47" t="n"/>
      <c r="T325" s="50" t="n"/>
      <c r="U325" s="47">
        <f>IF($F325="","",MIN(24,MAX(1,ROUNDUP(($F325-DayPlan!$C$2+1)/7,0))))</f>
        <v/>
      </c>
      <c r="V325" s="47">
        <f>IF($A325=""," ",4*($J325="Yes")+3*($G325="No")+2*(N($I325)&gt;0)+1*(AND(ISNUMBER($H325),$H325&gt;45))+3*(AND(ISNUMBER($P325),$P325&lt;=TODAY()))-6*($S325="Yes")+(750-ROW())/100000)</f>
        <v/>
      </c>
      <c r="W325" s="47">
        <f>IF(OR($A325="",NOT(ISNUMBER($P325))),"",INT($P325-TODAY()))</f>
        <v/>
      </c>
      <c r="X325" s="47" t="n"/>
    </row>
    <row r="326">
      <c r="A326" s="50" t="n"/>
      <c r="B326" s="47" t="n"/>
      <c r="C326" s="47" t="n"/>
      <c r="D326" s="50" t="n"/>
      <c r="E326" s="50" t="n"/>
      <c r="F326" s="48" t="n"/>
      <c r="G326" s="47" t="n"/>
      <c r="H326" s="47" t="n"/>
      <c r="I326" s="47" t="n"/>
      <c r="J326" s="47" t="n"/>
      <c r="K326" s="47" t="n"/>
      <c r="L326" s="47" t="n"/>
      <c r="M326" s="50" t="n"/>
      <c r="N326" s="50" t="n"/>
      <c r="O326" s="50" t="n"/>
      <c r="P326" s="48">
        <f>IF($F326="","",IF($J326="Yes",$F326+1,IF($G326="No",$F326+2,IF(N($I326)&gt;2,$F326+3,IF(N($I326)&gt;0,$F326+5,$F326+7)))))</f>
        <v/>
      </c>
      <c r="Q326" s="48">
        <f>IF($P326="","",IF($J326="Yes",$P326+3,IF($G326="No",$P326+5,IF(N($I326)&gt;0,$P326+7,$P326+14))))</f>
        <v/>
      </c>
      <c r="R326" s="48">
        <f>IF($Q326="","",IF($J326="Yes",$Q326+7,IF($G326="No",$Q326+14,$Q326+30)))</f>
        <v/>
      </c>
      <c r="S326" s="47" t="n"/>
      <c r="T326" s="50" t="n"/>
      <c r="U326" s="47">
        <f>IF($F326="","",MIN(24,MAX(1,ROUNDUP(($F326-DayPlan!$C$2+1)/7,0))))</f>
        <v/>
      </c>
      <c r="V326" s="47">
        <f>IF($A326=""," ",4*($J326="Yes")+3*($G326="No")+2*(N($I326)&gt;0)+1*(AND(ISNUMBER($H326),$H326&gt;45))+3*(AND(ISNUMBER($P326),$P326&lt;=TODAY()))-6*($S326="Yes")+(750-ROW())/100000)</f>
        <v/>
      </c>
      <c r="W326" s="47">
        <f>IF(OR($A326="",NOT(ISNUMBER($P326))),"",INT($P326-TODAY()))</f>
        <v/>
      </c>
      <c r="X326" s="47" t="n"/>
    </row>
    <row r="327">
      <c r="A327" s="50" t="n"/>
      <c r="B327" s="47" t="n"/>
      <c r="C327" s="47" t="n"/>
      <c r="D327" s="50" t="n"/>
      <c r="E327" s="50" t="n"/>
      <c r="F327" s="48" t="n"/>
      <c r="G327" s="47" t="n"/>
      <c r="H327" s="47" t="n"/>
      <c r="I327" s="47" t="n"/>
      <c r="J327" s="47" t="n"/>
      <c r="K327" s="47" t="n"/>
      <c r="L327" s="47" t="n"/>
      <c r="M327" s="50" t="n"/>
      <c r="N327" s="50" t="n"/>
      <c r="O327" s="50" t="n"/>
      <c r="P327" s="48">
        <f>IF($F327="","",IF($J327="Yes",$F327+1,IF($G327="No",$F327+2,IF(N($I327)&gt;2,$F327+3,IF(N($I327)&gt;0,$F327+5,$F327+7)))))</f>
        <v/>
      </c>
      <c r="Q327" s="48">
        <f>IF($P327="","",IF($J327="Yes",$P327+3,IF($G327="No",$P327+5,IF(N($I327)&gt;0,$P327+7,$P327+14))))</f>
        <v/>
      </c>
      <c r="R327" s="48">
        <f>IF($Q327="","",IF($J327="Yes",$Q327+7,IF($G327="No",$Q327+14,$Q327+30)))</f>
        <v/>
      </c>
      <c r="S327" s="47" t="n"/>
      <c r="T327" s="50" t="n"/>
      <c r="U327" s="47">
        <f>IF($F327="","",MIN(24,MAX(1,ROUNDUP(($F327-DayPlan!$C$2+1)/7,0))))</f>
        <v/>
      </c>
      <c r="V327" s="47">
        <f>IF($A327=""," ",4*($J327="Yes")+3*($G327="No")+2*(N($I327)&gt;0)+1*(AND(ISNUMBER($H327),$H327&gt;45))+3*(AND(ISNUMBER($P327),$P327&lt;=TODAY()))-6*($S327="Yes")+(750-ROW())/100000)</f>
        <v/>
      </c>
      <c r="W327" s="47">
        <f>IF(OR($A327="",NOT(ISNUMBER($P327))),"",INT($P327-TODAY()))</f>
        <v/>
      </c>
      <c r="X327" s="47" t="n"/>
    </row>
    <row r="328">
      <c r="A328" s="50" t="n"/>
      <c r="B328" s="47" t="n"/>
      <c r="C328" s="47" t="n"/>
      <c r="D328" s="50" t="n"/>
      <c r="E328" s="50" t="n"/>
      <c r="F328" s="48" t="n"/>
      <c r="G328" s="47" t="n"/>
      <c r="H328" s="47" t="n"/>
      <c r="I328" s="47" t="n"/>
      <c r="J328" s="47" t="n"/>
      <c r="K328" s="47" t="n"/>
      <c r="L328" s="47" t="n"/>
      <c r="M328" s="50" t="n"/>
      <c r="N328" s="50" t="n"/>
      <c r="O328" s="50" t="n"/>
      <c r="P328" s="48">
        <f>IF($F328="","",IF($J328="Yes",$F328+1,IF($G328="No",$F328+2,IF(N($I328)&gt;2,$F328+3,IF(N($I328)&gt;0,$F328+5,$F328+7)))))</f>
        <v/>
      </c>
      <c r="Q328" s="48">
        <f>IF($P328="","",IF($J328="Yes",$P328+3,IF($G328="No",$P328+5,IF(N($I328)&gt;0,$P328+7,$P328+14))))</f>
        <v/>
      </c>
      <c r="R328" s="48">
        <f>IF($Q328="","",IF($J328="Yes",$Q328+7,IF($G328="No",$Q328+14,$Q328+30)))</f>
        <v/>
      </c>
      <c r="S328" s="47" t="n"/>
      <c r="T328" s="50" t="n"/>
      <c r="U328" s="47">
        <f>IF($F328="","",MIN(24,MAX(1,ROUNDUP(($F328-DayPlan!$C$2+1)/7,0))))</f>
        <v/>
      </c>
      <c r="V328" s="47">
        <f>IF($A328=""," ",4*($J328="Yes")+3*($G328="No")+2*(N($I328)&gt;0)+1*(AND(ISNUMBER($H328),$H328&gt;45))+3*(AND(ISNUMBER($P328),$P328&lt;=TODAY()))-6*($S328="Yes")+(750-ROW())/100000)</f>
        <v/>
      </c>
      <c r="W328" s="47">
        <f>IF(OR($A328="",NOT(ISNUMBER($P328))),"",INT($P328-TODAY()))</f>
        <v/>
      </c>
      <c r="X328" s="47" t="n"/>
    </row>
    <row r="329">
      <c r="A329" s="50" t="n"/>
      <c r="B329" s="47" t="n"/>
      <c r="C329" s="47" t="n"/>
      <c r="D329" s="50" t="n"/>
      <c r="E329" s="50" t="n"/>
      <c r="F329" s="48" t="n"/>
      <c r="G329" s="47" t="n"/>
      <c r="H329" s="47" t="n"/>
      <c r="I329" s="47" t="n"/>
      <c r="J329" s="47" t="n"/>
      <c r="K329" s="47" t="n"/>
      <c r="L329" s="47" t="n"/>
      <c r="M329" s="50" t="n"/>
      <c r="N329" s="50" t="n"/>
      <c r="O329" s="50" t="n"/>
      <c r="P329" s="48">
        <f>IF($F329="","",IF($J329="Yes",$F329+1,IF($G329="No",$F329+2,IF(N($I329)&gt;2,$F329+3,IF(N($I329)&gt;0,$F329+5,$F329+7)))))</f>
        <v/>
      </c>
      <c r="Q329" s="48">
        <f>IF($P329="","",IF($J329="Yes",$P329+3,IF($G329="No",$P329+5,IF(N($I329)&gt;0,$P329+7,$P329+14))))</f>
        <v/>
      </c>
      <c r="R329" s="48">
        <f>IF($Q329="","",IF($J329="Yes",$Q329+7,IF($G329="No",$Q329+14,$Q329+30)))</f>
        <v/>
      </c>
      <c r="S329" s="47" t="n"/>
      <c r="T329" s="50" t="n"/>
      <c r="U329" s="47">
        <f>IF($F329="","",MIN(24,MAX(1,ROUNDUP(($F329-DayPlan!$C$2+1)/7,0))))</f>
        <v/>
      </c>
      <c r="V329" s="47">
        <f>IF($A329=""," ",4*($J329="Yes")+3*($G329="No")+2*(N($I329)&gt;0)+1*(AND(ISNUMBER($H329),$H329&gt;45))+3*(AND(ISNUMBER($P329),$P329&lt;=TODAY()))-6*($S329="Yes")+(750-ROW())/100000)</f>
        <v/>
      </c>
      <c r="W329" s="47">
        <f>IF(OR($A329="",NOT(ISNUMBER($P329))),"",INT($P329-TODAY()))</f>
        <v/>
      </c>
      <c r="X329" s="47" t="n"/>
    </row>
    <row r="330">
      <c r="A330" s="50" t="n"/>
      <c r="B330" s="47" t="n"/>
      <c r="C330" s="47" t="n"/>
      <c r="D330" s="50" t="n"/>
      <c r="E330" s="50" t="n"/>
      <c r="F330" s="48" t="n"/>
      <c r="G330" s="47" t="n"/>
      <c r="H330" s="47" t="n"/>
      <c r="I330" s="47" t="n"/>
      <c r="J330" s="47" t="n"/>
      <c r="K330" s="47" t="n"/>
      <c r="L330" s="47" t="n"/>
      <c r="M330" s="50" t="n"/>
      <c r="N330" s="50" t="n"/>
      <c r="O330" s="50" t="n"/>
      <c r="P330" s="48">
        <f>IF($F330="","",IF($J330="Yes",$F330+1,IF($G330="No",$F330+2,IF(N($I330)&gt;2,$F330+3,IF(N($I330)&gt;0,$F330+5,$F330+7)))))</f>
        <v/>
      </c>
      <c r="Q330" s="48">
        <f>IF($P330="","",IF($J330="Yes",$P330+3,IF($G330="No",$P330+5,IF(N($I330)&gt;0,$P330+7,$P330+14))))</f>
        <v/>
      </c>
      <c r="R330" s="48">
        <f>IF($Q330="","",IF($J330="Yes",$Q330+7,IF($G330="No",$Q330+14,$Q330+30)))</f>
        <v/>
      </c>
      <c r="S330" s="47" t="n"/>
      <c r="T330" s="50" t="n"/>
      <c r="U330" s="47">
        <f>IF($F330="","",MIN(24,MAX(1,ROUNDUP(($F330-DayPlan!$C$2+1)/7,0))))</f>
        <v/>
      </c>
      <c r="V330" s="47">
        <f>IF($A330=""," ",4*($J330="Yes")+3*($G330="No")+2*(N($I330)&gt;0)+1*(AND(ISNUMBER($H330),$H330&gt;45))+3*(AND(ISNUMBER($P330),$P330&lt;=TODAY()))-6*($S330="Yes")+(750-ROW())/100000)</f>
        <v/>
      </c>
      <c r="W330" s="47">
        <f>IF(OR($A330="",NOT(ISNUMBER($P330))),"",INT($P330-TODAY()))</f>
        <v/>
      </c>
      <c r="X330" s="47" t="n"/>
    </row>
    <row r="331">
      <c r="A331" s="50" t="n"/>
      <c r="B331" s="47" t="n"/>
      <c r="C331" s="47" t="n"/>
      <c r="D331" s="50" t="n"/>
      <c r="E331" s="50" t="n"/>
      <c r="F331" s="48" t="n"/>
      <c r="G331" s="47" t="n"/>
      <c r="H331" s="47" t="n"/>
      <c r="I331" s="47" t="n"/>
      <c r="J331" s="47" t="n"/>
      <c r="K331" s="47" t="n"/>
      <c r="L331" s="47" t="n"/>
      <c r="M331" s="50" t="n"/>
      <c r="N331" s="50" t="n"/>
      <c r="O331" s="50" t="n"/>
      <c r="P331" s="48">
        <f>IF($F331="","",IF($J331="Yes",$F331+1,IF($G331="No",$F331+2,IF(N($I331)&gt;2,$F331+3,IF(N($I331)&gt;0,$F331+5,$F331+7)))))</f>
        <v/>
      </c>
      <c r="Q331" s="48">
        <f>IF($P331="","",IF($J331="Yes",$P331+3,IF($G331="No",$P331+5,IF(N($I331)&gt;0,$P331+7,$P331+14))))</f>
        <v/>
      </c>
      <c r="R331" s="48">
        <f>IF($Q331="","",IF($J331="Yes",$Q331+7,IF($G331="No",$Q331+14,$Q331+30)))</f>
        <v/>
      </c>
      <c r="S331" s="47" t="n"/>
      <c r="T331" s="50" t="n"/>
      <c r="U331" s="47">
        <f>IF($F331="","",MIN(24,MAX(1,ROUNDUP(($F331-DayPlan!$C$2+1)/7,0))))</f>
        <v/>
      </c>
      <c r="V331" s="47">
        <f>IF($A331=""," ",4*($J331="Yes")+3*($G331="No")+2*(N($I331)&gt;0)+1*(AND(ISNUMBER($H331),$H331&gt;45))+3*(AND(ISNUMBER($P331),$P331&lt;=TODAY()))-6*($S331="Yes")+(750-ROW())/100000)</f>
        <v/>
      </c>
      <c r="W331" s="47">
        <f>IF(OR($A331="",NOT(ISNUMBER($P331))),"",INT($P331-TODAY()))</f>
        <v/>
      </c>
      <c r="X331" s="47" t="n"/>
    </row>
    <row r="332">
      <c r="A332" s="50" t="n"/>
      <c r="B332" s="47" t="n"/>
      <c r="C332" s="47" t="n"/>
      <c r="D332" s="50" t="n"/>
      <c r="E332" s="50" t="n"/>
      <c r="F332" s="48" t="n"/>
      <c r="G332" s="47" t="n"/>
      <c r="H332" s="47" t="n"/>
      <c r="I332" s="47" t="n"/>
      <c r="J332" s="47" t="n"/>
      <c r="K332" s="47" t="n"/>
      <c r="L332" s="47" t="n"/>
      <c r="M332" s="50" t="n"/>
      <c r="N332" s="50" t="n"/>
      <c r="O332" s="50" t="n"/>
      <c r="P332" s="48">
        <f>IF($F332="","",IF($J332="Yes",$F332+1,IF($G332="No",$F332+2,IF(N($I332)&gt;2,$F332+3,IF(N($I332)&gt;0,$F332+5,$F332+7)))))</f>
        <v/>
      </c>
      <c r="Q332" s="48">
        <f>IF($P332="","",IF($J332="Yes",$P332+3,IF($G332="No",$P332+5,IF(N($I332)&gt;0,$P332+7,$P332+14))))</f>
        <v/>
      </c>
      <c r="R332" s="48">
        <f>IF($Q332="","",IF($J332="Yes",$Q332+7,IF($G332="No",$Q332+14,$Q332+30)))</f>
        <v/>
      </c>
      <c r="S332" s="47" t="n"/>
      <c r="T332" s="50" t="n"/>
      <c r="U332" s="47">
        <f>IF($F332="","",MIN(24,MAX(1,ROUNDUP(($F332-DayPlan!$C$2+1)/7,0))))</f>
        <v/>
      </c>
      <c r="V332" s="47">
        <f>IF($A332=""," ",4*($J332="Yes")+3*($G332="No")+2*(N($I332)&gt;0)+1*(AND(ISNUMBER($H332),$H332&gt;45))+3*(AND(ISNUMBER($P332),$P332&lt;=TODAY()))-6*($S332="Yes")+(750-ROW())/100000)</f>
        <v/>
      </c>
      <c r="W332" s="47">
        <f>IF(OR($A332="",NOT(ISNUMBER($P332))),"",INT($P332-TODAY()))</f>
        <v/>
      </c>
      <c r="X332" s="47" t="n"/>
    </row>
    <row r="333">
      <c r="A333" s="50" t="n"/>
      <c r="B333" s="47" t="n"/>
      <c r="C333" s="47" t="n"/>
      <c r="D333" s="50" t="n"/>
      <c r="E333" s="50" t="n"/>
      <c r="F333" s="48" t="n"/>
      <c r="G333" s="47" t="n"/>
      <c r="H333" s="47" t="n"/>
      <c r="I333" s="47" t="n"/>
      <c r="J333" s="47" t="n"/>
      <c r="K333" s="47" t="n"/>
      <c r="L333" s="47" t="n"/>
      <c r="M333" s="50" t="n"/>
      <c r="N333" s="50" t="n"/>
      <c r="O333" s="50" t="n"/>
      <c r="P333" s="48">
        <f>IF($F333="","",IF($J333="Yes",$F333+1,IF($G333="No",$F333+2,IF(N($I333)&gt;2,$F333+3,IF(N($I333)&gt;0,$F333+5,$F333+7)))))</f>
        <v/>
      </c>
      <c r="Q333" s="48">
        <f>IF($P333="","",IF($J333="Yes",$P333+3,IF($G333="No",$P333+5,IF(N($I333)&gt;0,$P333+7,$P333+14))))</f>
        <v/>
      </c>
      <c r="R333" s="48">
        <f>IF($Q333="","",IF($J333="Yes",$Q333+7,IF($G333="No",$Q333+14,$Q333+30)))</f>
        <v/>
      </c>
      <c r="S333" s="47" t="n"/>
      <c r="T333" s="50" t="n"/>
      <c r="U333" s="47">
        <f>IF($F333="","",MIN(24,MAX(1,ROUNDUP(($F333-DayPlan!$C$2+1)/7,0))))</f>
        <v/>
      </c>
      <c r="V333" s="47">
        <f>IF($A333=""," ",4*($J333="Yes")+3*($G333="No")+2*(N($I333)&gt;0)+1*(AND(ISNUMBER($H333),$H333&gt;45))+3*(AND(ISNUMBER($P333),$P333&lt;=TODAY()))-6*($S333="Yes")+(750-ROW())/100000)</f>
        <v/>
      </c>
      <c r="W333" s="47">
        <f>IF(OR($A333="",NOT(ISNUMBER($P333))),"",INT($P333-TODAY()))</f>
        <v/>
      </c>
      <c r="X333" s="47" t="n"/>
    </row>
    <row r="334">
      <c r="A334" s="50" t="n"/>
      <c r="B334" s="47" t="n"/>
      <c r="C334" s="47" t="n"/>
      <c r="D334" s="50" t="n"/>
      <c r="E334" s="50" t="n"/>
      <c r="F334" s="48" t="n"/>
      <c r="G334" s="47" t="n"/>
      <c r="H334" s="47" t="n"/>
      <c r="I334" s="47" t="n"/>
      <c r="J334" s="47" t="n"/>
      <c r="K334" s="47" t="n"/>
      <c r="L334" s="47" t="n"/>
      <c r="M334" s="50" t="n"/>
      <c r="N334" s="50" t="n"/>
      <c r="O334" s="50" t="n"/>
      <c r="P334" s="48">
        <f>IF($F334="","",IF($J334="Yes",$F334+1,IF($G334="No",$F334+2,IF(N($I334)&gt;2,$F334+3,IF(N($I334)&gt;0,$F334+5,$F334+7)))))</f>
        <v/>
      </c>
      <c r="Q334" s="48">
        <f>IF($P334="","",IF($J334="Yes",$P334+3,IF($G334="No",$P334+5,IF(N($I334)&gt;0,$P334+7,$P334+14))))</f>
        <v/>
      </c>
      <c r="R334" s="48">
        <f>IF($Q334="","",IF($J334="Yes",$Q334+7,IF($G334="No",$Q334+14,$Q334+30)))</f>
        <v/>
      </c>
      <c r="S334" s="47" t="n"/>
      <c r="T334" s="50" t="n"/>
      <c r="U334" s="47">
        <f>IF($F334="","",MIN(24,MAX(1,ROUNDUP(($F334-DayPlan!$C$2+1)/7,0))))</f>
        <v/>
      </c>
      <c r="V334" s="47">
        <f>IF($A334=""," ",4*($J334="Yes")+3*($G334="No")+2*(N($I334)&gt;0)+1*(AND(ISNUMBER($H334),$H334&gt;45))+3*(AND(ISNUMBER($P334),$P334&lt;=TODAY()))-6*($S334="Yes")+(750-ROW())/100000)</f>
        <v/>
      </c>
      <c r="W334" s="47">
        <f>IF(OR($A334="",NOT(ISNUMBER($P334))),"",INT($P334-TODAY()))</f>
        <v/>
      </c>
      <c r="X334" s="47" t="n"/>
    </row>
    <row r="335">
      <c r="A335" s="50" t="n"/>
      <c r="B335" s="47" t="n"/>
      <c r="C335" s="47" t="n"/>
      <c r="D335" s="50" t="n"/>
      <c r="E335" s="50" t="n"/>
      <c r="F335" s="48" t="n"/>
      <c r="G335" s="47" t="n"/>
      <c r="H335" s="47" t="n"/>
      <c r="I335" s="47" t="n"/>
      <c r="J335" s="47" t="n"/>
      <c r="K335" s="47" t="n"/>
      <c r="L335" s="47" t="n"/>
      <c r="M335" s="50" t="n"/>
      <c r="N335" s="50" t="n"/>
      <c r="O335" s="50" t="n"/>
      <c r="P335" s="48">
        <f>IF($F335="","",IF($J335="Yes",$F335+1,IF($G335="No",$F335+2,IF(N($I335)&gt;2,$F335+3,IF(N($I335)&gt;0,$F335+5,$F335+7)))))</f>
        <v/>
      </c>
      <c r="Q335" s="48">
        <f>IF($P335="","",IF($J335="Yes",$P335+3,IF($G335="No",$P335+5,IF(N($I335)&gt;0,$P335+7,$P335+14))))</f>
        <v/>
      </c>
      <c r="R335" s="48">
        <f>IF($Q335="","",IF($J335="Yes",$Q335+7,IF($G335="No",$Q335+14,$Q335+30)))</f>
        <v/>
      </c>
      <c r="S335" s="47" t="n"/>
      <c r="T335" s="50" t="n"/>
      <c r="U335" s="47">
        <f>IF($F335="","",MIN(24,MAX(1,ROUNDUP(($F335-DayPlan!$C$2+1)/7,0))))</f>
        <v/>
      </c>
      <c r="V335" s="47">
        <f>IF($A335=""," ",4*($J335="Yes")+3*($G335="No")+2*(N($I335)&gt;0)+1*(AND(ISNUMBER($H335),$H335&gt;45))+3*(AND(ISNUMBER($P335),$P335&lt;=TODAY()))-6*($S335="Yes")+(750-ROW())/100000)</f>
        <v/>
      </c>
      <c r="W335" s="47">
        <f>IF(OR($A335="",NOT(ISNUMBER($P335))),"",INT($P335-TODAY()))</f>
        <v/>
      </c>
      <c r="X335" s="47" t="n"/>
    </row>
    <row r="336">
      <c r="A336" s="50" t="n"/>
      <c r="B336" s="47" t="n"/>
      <c r="C336" s="47" t="n"/>
      <c r="D336" s="50" t="n"/>
      <c r="E336" s="50" t="n"/>
      <c r="F336" s="48" t="n"/>
      <c r="G336" s="47" t="n"/>
      <c r="H336" s="47" t="n"/>
      <c r="I336" s="47" t="n"/>
      <c r="J336" s="47" t="n"/>
      <c r="K336" s="47" t="n"/>
      <c r="L336" s="47" t="n"/>
      <c r="M336" s="50" t="n"/>
      <c r="N336" s="50" t="n"/>
      <c r="O336" s="50" t="n"/>
      <c r="P336" s="48">
        <f>IF($F336="","",IF($J336="Yes",$F336+1,IF($G336="No",$F336+2,IF(N($I336)&gt;2,$F336+3,IF(N($I336)&gt;0,$F336+5,$F336+7)))))</f>
        <v/>
      </c>
      <c r="Q336" s="48">
        <f>IF($P336="","",IF($J336="Yes",$P336+3,IF($G336="No",$P336+5,IF(N($I336)&gt;0,$P336+7,$P336+14))))</f>
        <v/>
      </c>
      <c r="R336" s="48">
        <f>IF($Q336="","",IF($J336="Yes",$Q336+7,IF($G336="No",$Q336+14,$Q336+30)))</f>
        <v/>
      </c>
      <c r="S336" s="47" t="n"/>
      <c r="T336" s="50" t="n"/>
      <c r="U336" s="47">
        <f>IF($F336="","",MIN(24,MAX(1,ROUNDUP(($F336-DayPlan!$C$2+1)/7,0))))</f>
        <v/>
      </c>
      <c r="V336" s="47">
        <f>IF($A336=""," ",4*($J336="Yes")+3*($G336="No")+2*(N($I336)&gt;0)+1*(AND(ISNUMBER($H336),$H336&gt;45))+3*(AND(ISNUMBER($P336),$P336&lt;=TODAY()))-6*($S336="Yes")+(750-ROW())/100000)</f>
        <v/>
      </c>
      <c r="W336" s="47">
        <f>IF(OR($A336="",NOT(ISNUMBER($P336))),"",INT($P336-TODAY()))</f>
        <v/>
      </c>
      <c r="X336" s="47" t="n"/>
    </row>
    <row r="337">
      <c r="A337" s="50" t="n"/>
      <c r="B337" s="47" t="n"/>
      <c r="C337" s="47" t="n"/>
      <c r="D337" s="50" t="n"/>
      <c r="E337" s="50" t="n"/>
      <c r="F337" s="48" t="n"/>
      <c r="G337" s="47" t="n"/>
      <c r="H337" s="47" t="n"/>
      <c r="I337" s="47" t="n"/>
      <c r="J337" s="47" t="n"/>
      <c r="K337" s="47" t="n"/>
      <c r="L337" s="47" t="n"/>
      <c r="M337" s="50" t="n"/>
      <c r="N337" s="50" t="n"/>
      <c r="O337" s="50" t="n"/>
      <c r="P337" s="48">
        <f>IF($F337="","",IF($J337="Yes",$F337+1,IF($G337="No",$F337+2,IF(N($I337)&gt;2,$F337+3,IF(N($I337)&gt;0,$F337+5,$F337+7)))))</f>
        <v/>
      </c>
      <c r="Q337" s="48">
        <f>IF($P337="","",IF($J337="Yes",$P337+3,IF($G337="No",$P337+5,IF(N($I337)&gt;0,$P337+7,$P337+14))))</f>
        <v/>
      </c>
      <c r="R337" s="48">
        <f>IF($Q337="","",IF($J337="Yes",$Q337+7,IF($G337="No",$Q337+14,$Q337+30)))</f>
        <v/>
      </c>
      <c r="S337" s="47" t="n"/>
      <c r="T337" s="50" t="n"/>
      <c r="U337" s="47">
        <f>IF($F337="","",MIN(24,MAX(1,ROUNDUP(($F337-DayPlan!$C$2+1)/7,0))))</f>
        <v/>
      </c>
      <c r="V337" s="47">
        <f>IF($A337=""," ",4*($J337="Yes")+3*($G337="No")+2*(N($I337)&gt;0)+1*(AND(ISNUMBER($H337),$H337&gt;45))+3*(AND(ISNUMBER($P337),$P337&lt;=TODAY()))-6*($S337="Yes")+(750-ROW())/100000)</f>
        <v/>
      </c>
      <c r="W337" s="47">
        <f>IF(OR($A337="",NOT(ISNUMBER($P337))),"",INT($P337-TODAY()))</f>
        <v/>
      </c>
      <c r="X337" s="47" t="n"/>
    </row>
    <row r="338">
      <c r="A338" s="50" t="n"/>
      <c r="B338" s="47" t="n"/>
      <c r="C338" s="47" t="n"/>
      <c r="D338" s="50" t="n"/>
      <c r="E338" s="50" t="n"/>
      <c r="F338" s="48" t="n"/>
      <c r="G338" s="47" t="n"/>
      <c r="H338" s="47" t="n"/>
      <c r="I338" s="47" t="n"/>
      <c r="J338" s="47" t="n"/>
      <c r="K338" s="47" t="n"/>
      <c r="L338" s="47" t="n"/>
      <c r="M338" s="50" t="n"/>
      <c r="N338" s="50" t="n"/>
      <c r="O338" s="50" t="n"/>
      <c r="P338" s="48">
        <f>IF($F338="","",IF($J338="Yes",$F338+1,IF($G338="No",$F338+2,IF(N($I338)&gt;2,$F338+3,IF(N($I338)&gt;0,$F338+5,$F338+7)))))</f>
        <v/>
      </c>
      <c r="Q338" s="48">
        <f>IF($P338="","",IF($J338="Yes",$P338+3,IF($G338="No",$P338+5,IF(N($I338)&gt;0,$P338+7,$P338+14))))</f>
        <v/>
      </c>
      <c r="R338" s="48">
        <f>IF($Q338="","",IF($J338="Yes",$Q338+7,IF($G338="No",$Q338+14,$Q338+30)))</f>
        <v/>
      </c>
      <c r="S338" s="47" t="n"/>
      <c r="T338" s="50" t="n"/>
      <c r="U338" s="47">
        <f>IF($F338="","",MIN(24,MAX(1,ROUNDUP(($F338-DayPlan!$C$2+1)/7,0))))</f>
        <v/>
      </c>
      <c r="V338" s="47">
        <f>IF($A338=""," ",4*($J338="Yes")+3*($G338="No")+2*(N($I338)&gt;0)+1*(AND(ISNUMBER($H338),$H338&gt;45))+3*(AND(ISNUMBER($P338),$P338&lt;=TODAY()))-6*($S338="Yes")+(750-ROW())/100000)</f>
        <v/>
      </c>
      <c r="W338" s="47">
        <f>IF(OR($A338="",NOT(ISNUMBER($P338))),"",INT($P338-TODAY()))</f>
        <v/>
      </c>
      <c r="X338" s="47" t="n"/>
    </row>
    <row r="339">
      <c r="A339" s="50" t="n"/>
      <c r="B339" s="47" t="n"/>
      <c r="C339" s="47" t="n"/>
      <c r="D339" s="50" t="n"/>
      <c r="E339" s="50" t="n"/>
      <c r="F339" s="48" t="n"/>
      <c r="G339" s="47" t="n"/>
      <c r="H339" s="47" t="n"/>
      <c r="I339" s="47" t="n"/>
      <c r="J339" s="47" t="n"/>
      <c r="K339" s="47" t="n"/>
      <c r="L339" s="47" t="n"/>
      <c r="M339" s="50" t="n"/>
      <c r="N339" s="50" t="n"/>
      <c r="O339" s="50" t="n"/>
      <c r="P339" s="48">
        <f>IF($F339="","",IF($J339="Yes",$F339+1,IF($G339="No",$F339+2,IF(N($I339)&gt;2,$F339+3,IF(N($I339)&gt;0,$F339+5,$F339+7)))))</f>
        <v/>
      </c>
      <c r="Q339" s="48">
        <f>IF($P339="","",IF($J339="Yes",$P339+3,IF($G339="No",$P339+5,IF(N($I339)&gt;0,$P339+7,$P339+14))))</f>
        <v/>
      </c>
      <c r="R339" s="48">
        <f>IF($Q339="","",IF($J339="Yes",$Q339+7,IF($G339="No",$Q339+14,$Q339+30)))</f>
        <v/>
      </c>
      <c r="S339" s="47" t="n"/>
      <c r="T339" s="50" t="n"/>
      <c r="U339" s="47">
        <f>IF($F339="","",MIN(24,MAX(1,ROUNDUP(($F339-DayPlan!$C$2+1)/7,0))))</f>
        <v/>
      </c>
      <c r="V339" s="47">
        <f>IF($A339=""," ",4*($J339="Yes")+3*($G339="No")+2*(N($I339)&gt;0)+1*(AND(ISNUMBER($H339),$H339&gt;45))+3*(AND(ISNUMBER($P339),$P339&lt;=TODAY()))-6*($S339="Yes")+(750-ROW())/100000)</f>
        <v/>
      </c>
      <c r="W339" s="47">
        <f>IF(OR($A339="",NOT(ISNUMBER($P339))),"",INT($P339-TODAY()))</f>
        <v/>
      </c>
      <c r="X339" s="47" t="n"/>
    </row>
    <row r="340">
      <c r="A340" s="50" t="n"/>
      <c r="B340" s="47" t="n"/>
      <c r="C340" s="47" t="n"/>
      <c r="D340" s="50" t="n"/>
      <c r="E340" s="50" t="n"/>
      <c r="F340" s="48" t="n"/>
      <c r="G340" s="47" t="n"/>
      <c r="H340" s="47" t="n"/>
      <c r="I340" s="47" t="n"/>
      <c r="J340" s="47" t="n"/>
      <c r="K340" s="47" t="n"/>
      <c r="L340" s="47" t="n"/>
      <c r="M340" s="50" t="n"/>
      <c r="N340" s="50" t="n"/>
      <c r="O340" s="50" t="n"/>
      <c r="P340" s="48">
        <f>IF($F340="","",IF($J340="Yes",$F340+1,IF($G340="No",$F340+2,IF(N($I340)&gt;2,$F340+3,IF(N($I340)&gt;0,$F340+5,$F340+7)))))</f>
        <v/>
      </c>
      <c r="Q340" s="48">
        <f>IF($P340="","",IF($J340="Yes",$P340+3,IF($G340="No",$P340+5,IF(N($I340)&gt;0,$P340+7,$P340+14))))</f>
        <v/>
      </c>
      <c r="R340" s="48">
        <f>IF($Q340="","",IF($J340="Yes",$Q340+7,IF($G340="No",$Q340+14,$Q340+30)))</f>
        <v/>
      </c>
      <c r="S340" s="47" t="n"/>
      <c r="T340" s="50" t="n"/>
      <c r="U340" s="47">
        <f>IF($F340="","",MIN(24,MAX(1,ROUNDUP(($F340-DayPlan!$C$2+1)/7,0))))</f>
        <v/>
      </c>
      <c r="V340" s="47">
        <f>IF($A340=""," ",4*($J340="Yes")+3*($G340="No")+2*(N($I340)&gt;0)+1*(AND(ISNUMBER($H340),$H340&gt;45))+3*(AND(ISNUMBER($P340),$P340&lt;=TODAY()))-6*($S340="Yes")+(750-ROW())/100000)</f>
        <v/>
      </c>
      <c r="W340" s="47">
        <f>IF(OR($A340="",NOT(ISNUMBER($P340))),"",INT($P340-TODAY()))</f>
        <v/>
      </c>
      <c r="X340" s="47" t="n"/>
    </row>
    <row r="341">
      <c r="A341" s="50" t="n"/>
      <c r="B341" s="47" t="n"/>
      <c r="C341" s="47" t="n"/>
      <c r="D341" s="50" t="n"/>
      <c r="E341" s="50" t="n"/>
      <c r="F341" s="48" t="n"/>
      <c r="G341" s="47" t="n"/>
      <c r="H341" s="47" t="n"/>
      <c r="I341" s="47" t="n"/>
      <c r="J341" s="47" t="n"/>
      <c r="K341" s="47" t="n"/>
      <c r="L341" s="47" t="n"/>
      <c r="M341" s="50" t="n"/>
      <c r="N341" s="50" t="n"/>
      <c r="O341" s="50" t="n"/>
      <c r="P341" s="48">
        <f>IF($F341="","",IF($J341="Yes",$F341+1,IF($G341="No",$F341+2,IF(N($I341)&gt;2,$F341+3,IF(N($I341)&gt;0,$F341+5,$F341+7)))))</f>
        <v/>
      </c>
      <c r="Q341" s="48">
        <f>IF($P341="","",IF($J341="Yes",$P341+3,IF($G341="No",$P341+5,IF(N($I341)&gt;0,$P341+7,$P341+14))))</f>
        <v/>
      </c>
      <c r="R341" s="48">
        <f>IF($Q341="","",IF($J341="Yes",$Q341+7,IF($G341="No",$Q341+14,$Q341+30)))</f>
        <v/>
      </c>
      <c r="S341" s="47" t="n"/>
      <c r="T341" s="50" t="n"/>
      <c r="U341" s="47">
        <f>IF($F341="","",MIN(24,MAX(1,ROUNDUP(($F341-DayPlan!$C$2+1)/7,0))))</f>
        <v/>
      </c>
      <c r="V341" s="47">
        <f>IF($A341=""," ",4*($J341="Yes")+3*($G341="No")+2*(N($I341)&gt;0)+1*(AND(ISNUMBER($H341),$H341&gt;45))+3*(AND(ISNUMBER($P341),$P341&lt;=TODAY()))-6*($S341="Yes")+(750-ROW())/100000)</f>
        <v/>
      </c>
      <c r="W341" s="47">
        <f>IF(OR($A341="",NOT(ISNUMBER($P341))),"",INT($P341-TODAY()))</f>
        <v/>
      </c>
      <c r="X341" s="47" t="n"/>
    </row>
    <row r="342">
      <c r="A342" s="50" t="n"/>
      <c r="B342" s="47" t="n"/>
      <c r="C342" s="47" t="n"/>
      <c r="D342" s="50" t="n"/>
      <c r="E342" s="50" t="n"/>
      <c r="F342" s="48" t="n"/>
      <c r="G342" s="47" t="n"/>
      <c r="H342" s="47" t="n"/>
      <c r="I342" s="47" t="n"/>
      <c r="J342" s="47" t="n"/>
      <c r="K342" s="47" t="n"/>
      <c r="L342" s="47" t="n"/>
      <c r="M342" s="50" t="n"/>
      <c r="N342" s="50" t="n"/>
      <c r="O342" s="50" t="n"/>
      <c r="P342" s="48">
        <f>IF($F342="","",IF($J342="Yes",$F342+1,IF($G342="No",$F342+2,IF(N($I342)&gt;2,$F342+3,IF(N($I342)&gt;0,$F342+5,$F342+7)))))</f>
        <v/>
      </c>
      <c r="Q342" s="48">
        <f>IF($P342="","",IF($J342="Yes",$P342+3,IF($G342="No",$P342+5,IF(N($I342)&gt;0,$P342+7,$P342+14))))</f>
        <v/>
      </c>
      <c r="R342" s="48">
        <f>IF($Q342="","",IF($J342="Yes",$Q342+7,IF($G342="No",$Q342+14,$Q342+30)))</f>
        <v/>
      </c>
      <c r="S342" s="47" t="n"/>
      <c r="T342" s="50" t="n"/>
      <c r="U342" s="47">
        <f>IF($F342="","",MIN(24,MAX(1,ROUNDUP(($F342-DayPlan!$C$2+1)/7,0))))</f>
        <v/>
      </c>
      <c r="V342" s="47">
        <f>IF($A342=""," ",4*($J342="Yes")+3*($G342="No")+2*(N($I342)&gt;0)+1*(AND(ISNUMBER($H342),$H342&gt;45))+3*(AND(ISNUMBER($P342),$P342&lt;=TODAY()))-6*($S342="Yes")+(750-ROW())/100000)</f>
        <v/>
      </c>
      <c r="W342" s="47">
        <f>IF(OR($A342="",NOT(ISNUMBER($P342))),"",INT($P342-TODAY()))</f>
        <v/>
      </c>
      <c r="X342" s="47" t="n"/>
    </row>
    <row r="343">
      <c r="A343" s="50" t="n"/>
      <c r="B343" s="47" t="n"/>
      <c r="C343" s="47" t="n"/>
      <c r="D343" s="50" t="n"/>
      <c r="E343" s="50" t="n"/>
      <c r="F343" s="48" t="n"/>
      <c r="G343" s="47" t="n"/>
      <c r="H343" s="47" t="n"/>
      <c r="I343" s="47" t="n"/>
      <c r="J343" s="47" t="n"/>
      <c r="K343" s="47" t="n"/>
      <c r="L343" s="47" t="n"/>
      <c r="M343" s="50" t="n"/>
      <c r="N343" s="50" t="n"/>
      <c r="O343" s="50" t="n"/>
      <c r="P343" s="48">
        <f>IF($F343="","",IF($J343="Yes",$F343+1,IF($G343="No",$F343+2,IF(N($I343)&gt;2,$F343+3,IF(N($I343)&gt;0,$F343+5,$F343+7)))))</f>
        <v/>
      </c>
      <c r="Q343" s="48">
        <f>IF($P343="","",IF($J343="Yes",$P343+3,IF($G343="No",$P343+5,IF(N($I343)&gt;0,$P343+7,$P343+14))))</f>
        <v/>
      </c>
      <c r="R343" s="48">
        <f>IF($Q343="","",IF($J343="Yes",$Q343+7,IF($G343="No",$Q343+14,$Q343+30)))</f>
        <v/>
      </c>
      <c r="S343" s="47" t="n"/>
      <c r="T343" s="50" t="n"/>
      <c r="U343" s="47">
        <f>IF($F343="","",MIN(24,MAX(1,ROUNDUP(($F343-DayPlan!$C$2+1)/7,0))))</f>
        <v/>
      </c>
      <c r="V343" s="47">
        <f>IF($A343=""," ",4*($J343="Yes")+3*($G343="No")+2*(N($I343)&gt;0)+1*(AND(ISNUMBER($H343),$H343&gt;45))+3*(AND(ISNUMBER($P343),$P343&lt;=TODAY()))-6*($S343="Yes")+(750-ROW())/100000)</f>
        <v/>
      </c>
      <c r="W343" s="47">
        <f>IF(OR($A343="",NOT(ISNUMBER($P343))),"",INT($P343-TODAY()))</f>
        <v/>
      </c>
      <c r="X343" s="47" t="n"/>
    </row>
    <row r="344">
      <c r="A344" s="50" t="n"/>
      <c r="B344" s="47" t="n"/>
      <c r="C344" s="47" t="n"/>
      <c r="D344" s="50" t="n"/>
      <c r="E344" s="50" t="n"/>
      <c r="F344" s="48" t="n"/>
      <c r="G344" s="47" t="n"/>
      <c r="H344" s="47" t="n"/>
      <c r="I344" s="47" t="n"/>
      <c r="J344" s="47" t="n"/>
      <c r="K344" s="47" t="n"/>
      <c r="L344" s="47" t="n"/>
      <c r="M344" s="50" t="n"/>
      <c r="N344" s="50" t="n"/>
      <c r="O344" s="50" t="n"/>
      <c r="P344" s="48">
        <f>IF($F344="","",IF($J344="Yes",$F344+1,IF($G344="No",$F344+2,IF(N($I344)&gt;2,$F344+3,IF(N($I344)&gt;0,$F344+5,$F344+7)))))</f>
        <v/>
      </c>
      <c r="Q344" s="48">
        <f>IF($P344="","",IF($J344="Yes",$P344+3,IF($G344="No",$P344+5,IF(N($I344)&gt;0,$P344+7,$P344+14))))</f>
        <v/>
      </c>
      <c r="R344" s="48">
        <f>IF($Q344="","",IF($J344="Yes",$Q344+7,IF($G344="No",$Q344+14,$Q344+30)))</f>
        <v/>
      </c>
      <c r="S344" s="47" t="n"/>
      <c r="T344" s="50" t="n"/>
      <c r="U344" s="47">
        <f>IF($F344="","",MIN(24,MAX(1,ROUNDUP(($F344-DayPlan!$C$2+1)/7,0))))</f>
        <v/>
      </c>
      <c r="V344" s="47">
        <f>IF($A344=""," ",4*($J344="Yes")+3*($G344="No")+2*(N($I344)&gt;0)+1*(AND(ISNUMBER($H344),$H344&gt;45))+3*(AND(ISNUMBER($P344),$P344&lt;=TODAY()))-6*($S344="Yes")+(750-ROW())/100000)</f>
        <v/>
      </c>
      <c r="W344" s="47">
        <f>IF(OR($A344="",NOT(ISNUMBER($P344))),"",INT($P344-TODAY()))</f>
        <v/>
      </c>
      <c r="X344" s="47" t="n"/>
    </row>
    <row r="345">
      <c r="A345" s="50" t="n"/>
      <c r="B345" s="47" t="n"/>
      <c r="C345" s="47" t="n"/>
      <c r="D345" s="50" t="n"/>
      <c r="E345" s="50" t="n"/>
      <c r="F345" s="48" t="n"/>
      <c r="G345" s="47" t="n"/>
      <c r="H345" s="47" t="n"/>
      <c r="I345" s="47" t="n"/>
      <c r="J345" s="47" t="n"/>
      <c r="K345" s="47" t="n"/>
      <c r="L345" s="47" t="n"/>
      <c r="M345" s="50" t="n"/>
      <c r="N345" s="50" t="n"/>
      <c r="O345" s="50" t="n"/>
      <c r="P345" s="48">
        <f>IF($F345="","",IF($J345="Yes",$F345+1,IF($G345="No",$F345+2,IF(N($I345)&gt;2,$F345+3,IF(N($I345)&gt;0,$F345+5,$F345+7)))))</f>
        <v/>
      </c>
      <c r="Q345" s="48">
        <f>IF($P345="","",IF($J345="Yes",$P345+3,IF($G345="No",$P345+5,IF(N($I345)&gt;0,$P345+7,$P345+14))))</f>
        <v/>
      </c>
      <c r="R345" s="48">
        <f>IF($Q345="","",IF($J345="Yes",$Q345+7,IF($G345="No",$Q345+14,$Q345+30)))</f>
        <v/>
      </c>
      <c r="S345" s="47" t="n"/>
      <c r="T345" s="50" t="n"/>
      <c r="U345" s="47">
        <f>IF($F345="","",MIN(24,MAX(1,ROUNDUP(($F345-DayPlan!$C$2+1)/7,0))))</f>
        <v/>
      </c>
      <c r="V345" s="47">
        <f>IF($A345=""," ",4*($J345="Yes")+3*($G345="No")+2*(N($I345)&gt;0)+1*(AND(ISNUMBER($H345),$H345&gt;45))+3*(AND(ISNUMBER($P345),$P345&lt;=TODAY()))-6*($S345="Yes")+(750-ROW())/100000)</f>
        <v/>
      </c>
      <c r="W345" s="47">
        <f>IF(OR($A345="",NOT(ISNUMBER($P345))),"",INT($P345-TODAY()))</f>
        <v/>
      </c>
      <c r="X345" s="47" t="n"/>
    </row>
    <row r="346">
      <c r="A346" s="50" t="n"/>
      <c r="B346" s="47" t="n"/>
      <c r="C346" s="47" t="n"/>
      <c r="D346" s="50" t="n"/>
      <c r="E346" s="50" t="n"/>
      <c r="F346" s="48" t="n"/>
      <c r="G346" s="47" t="n"/>
      <c r="H346" s="47" t="n"/>
      <c r="I346" s="47" t="n"/>
      <c r="J346" s="47" t="n"/>
      <c r="K346" s="47" t="n"/>
      <c r="L346" s="47" t="n"/>
      <c r="M346" s="50" t="n"/>
      <c r="N346" s="50" t="n"/>
      <c r="O346" s="50" t="n"/>
      <c r="P346" s="48">
        <f>IF($F346="","",IF($J346="Yes",$F346+1,IF($G346="No",$F346+2,IF(N($I346)&gt;2,$F346+3,IF(N($I346)&gt;0,$F346+5,$F346+7)))))</f>
        <v/>
      </c>
      <c r="Q346" s="48">
        <f>IF($P346="","",IF($J346="Yes",$P346+3,IF($G346="No",$P346+5,IF(N($I346)&gt;0,$P346+7,$P346+14))))</f>
        <v/>
      </c>
      <c r="R346" s="48">
        <f>IF($Q346="","",IF($J346="Yes",$Q346+7,IF($G346="No",$Q346+14,$Q346+30)))</f>
        <v/>
      </c>
      <c r="S346" s="47" t="n"/>
      <c r="T346" s="50" t="n"/>
      <c r="U346" s="47">
        <f>IF($F346="","",MIN(24,MAX(1,ROUNDUP(($F346-DayPlan!$C$2+1)/7,0))))</f>
        <v/>
      </c>
      <c r="V346" s="47">
        <f>IF($A346=""," ",4*($J346="Yes")+3*($G346="No")+2*(N($I346)&gt;0)+1*(AND(ISNUMBER($H346),$H346&gt;45))+3*(AND(ISNUMBER($P346),$P346&lt;=TODAY()))-6*($S346="Yes")+(750-ROW())/100000)</f>
        <v/>
      </c>
      <c r="W346" s="47">
        <f>IF(OR($A346="",NOT(ISNUMBER($P346))),"",INT($P346-TODAY()))</f>
        <v/>
      </c>
      <c r="X346" s="47" t="n"/>
    </row>
    <row r="347">
      <c r="A347" s="50" t="n"/>
      <c r="B347" s="47" t="n"/>
      <c r="C347" s="47" t="n"/>
      <c r="D347" s="50" t="n"/>
      <c r="E347" s="50" t="n"/>
      <c r="F347" s="48" t="n"/>
      <c r="G347" s="47" t="n"/>
      <c r="H347" s="47" t="n"/>
      <c r="I347" s="47" t="n"/>
      <c r="J347" s="47" t="n"/>
      <c r="K347" s="47" t="n"/>
      <c r="L347" s="47" t="n"/>
      <c r="M347" s="50" t="n"/>
      <c r="N347" s="50" t="n"/>
      <c r="O347" s="50" t="n"/>
      <c r="P347" s="48">
        <f>IF($F347="","",IF($J347="Yes",$F347+1,IF($G347="No",$F347+2,IF(N($I347)&gt;2,$F347+3,IF(N($I347)&gt;0,$F347+5,$F347+7)))))</f>
        <v/>
      </c>
      <c r="Q347" s="48">
        <f>IF($P347="","",IF($J347="Yes",$P347+3,IF($G347="No",$P347+5,IF(N($I347)&gt;0,$P347+7,$P347+14))))</f>
        <v/>
      </c>
      <c r="R347" s="48">
        <f>IF($Q347="","",IF($J347="Yes",$Q347+7,IF($G347="No",$Q347+14,$Q347+30)))</f>
        <v/>
      </c>
      <c r="S347" s="47" t="n"/>
      <c r="T347" s="50" t="n"/>
      <c r="U347" s="47">
        <f>IF($F347="","",MIN(24,MAX(1,ROUNDUP(($F347-DayPlan!$C$2+1)/7,0))))</f>
        <v/>
      </c>
      <c r="V347" s="47">
        <f>IF($A347=""," ",4*($J347="Yes")+3*($G347="No")+2*(N($I347)&gt;0)+1*(AND(ISNUMBER($H347),$H347&gt;45))+3*(AND(ISNUMBER($P347),$P347&lt;=TODAY()))-6*($S347="Yes")+(750-ROW())/100000)</f>
        <v/>
      </c>
      <c r="W347" s="47">
        <f>IF(OR($A347="",NOT(ISNUMBER($P347))),"",INT($P347-TODAY()))</f>
        <v/>
      </c>
      <c r="X347" s="47" t="n"/>
    </row>
    <row r="348">
      <c r="A348" s="50" t="n"/>
      <c r="B348" s="47" t="n"/>
      <c r="C348" s="47" t="n"/>
      <c r="D348" s="50" t="n"/>
      <c r="E348" s="50" t="n"/>
      <c r="F348" s="48" t="n"/>
      <c r="G348" s="47" t="n"/>
      <c r="H348" s="47" t="n"/>
      <c r="I348" s="47" t="n"/>
      <c r="J348" s="47" t="n"/>
      <c r="K348" s="47" t="n"/>
      <c r="L348" s="47" t="n"/>
      <c r="M348" s="50" t="n"/>
      <c r="N348" s="50" t="n"/>
      <c r="O348" s="50" t="n"/>
      <c r="P348" s="48">
        <f>IF($F348="","",IF($J348="Yes",$F348+1,IF($G348="No",$F348+2,IF(N($I348)&gt;2,$F348+3,IF(N($I348)&gt;0,$F348+5,$F348+7)))))</f>
        <v/>
      </c>
      <c r="Q348" s="48">
        <f>IF($P348="","",IF($J348="Yes",$P348+3,IF($G348="No",$P348+5,IF(N($I348)&gt;0,$P348+7,$P348+14))))</f>
        <v/>
      </c>
      <c r="R348" s="48">
        <f>IF($Q348="","",IF($J348="Yes",$Q348+7,IF($G348="No",$Q348+14,$Q348+30)))</f>
        <v/>
      </c>
      <c r="S348" s="47" t="n"/>
      <c r="T348" s="50" t="n"/>
      <c r="U348" s="47">
        <f>IF($F348="","",MIN(24,MAX(1,ROUNDUP(($F348-DayPlan!$C$2+1)/7,0))))</f>
        <v/>
      </c>
      <c r="V348" s="47">
        <f>IF($A348=""," ",4*($J348="Yes")+3*($G348="No")+2*(N($I348)&gt;0)+1*(AND(ISNUMBER($H348),$H348&gt;45))+3*(AND(ISNUMBER($P348),$P348&lt;=TODAY()))-6*($S348="Yes")+(750-ROW())/100000)</f>
        <v/>
      </c>
      <c r="W348" s="47">
        <f>IF(OR($A348="",NOT(ISNUMBER($P348))),"",INT($P348-TODAY()))</f>
        <v/>
      </c>
      <c r="X348" s="47" t="n"/>
    </row>
    <row r="349">
      <c r="A349" s="50" t="n"/>
      <c r="B349" s="47" t="n"/>
      <c r="C349" s="47" t="n"/>
      <c r="D349" s="50" t="n"/>
      <c r="E349" s="50" t="n"/>
      <c r="F349" s="48" t="n"/>
      <c r="G349" s="47" t="n"/>
      <c r="H349" s="47" t="n"/>
      <c r="I349" s="47" t="n"/>
      <c r="J349" s="47" t="n"/>
      <c r="K349" s="47" t="n"/>
      <c r="L349" s="47" t="n"/>
      <c r="M349" s="50" t="n"/>
      <c r="N349" s="50" t="n"/>
      <c r="O349" s="50" t="n"/>
      <c r="P349" s="48">
        <f>IF($F349="","",IF($J349="Yes",$F349+1,IF($G349="No",$F349+2,IF(N($I349)&gt;2,$F349+3,IF(N($I349)&gt;0,$F349+5,$F349+7)))))</f>
        <v/>
      </c>
      <c r="Q349" s="48">
        <f>IF($P349="","",IF($J349="Yes",$P349+3,IF($G349="No",$P349+5,IF(N($I349)&gt;0,$P349+7,$P349+14))))</f>
        <v/>
      </c>
      <c r="R349" s="48">
        <f>IF($Q349="","",IF($J349="Yes",$Q349+7,IF($G349="No",$Q349+14,$Q349+30)))</f>
        <v/>
      </c>
      <c r="S349" s="47" t="n"/>
      <c r="T349" s="50" t="n"/>
      <c r="U349" s="47">
        <f>IF($F349="","",MIN(24,MAX(1,ROUNDUP(($F349-DayPlan!$C$2+1)/7,0))))</f>
        <v/>
      </c>
      <c r="V349" s="47">
        <f>IF($A349=""," ",4*($J349="Yes")+3*($G349="No")+2*(N($I349)&gt;0)+1*(AND(ISNUMBER($H349),$H349&gt;45))+3*(AND(ISNUMBER($P349),$P349&lt;=TODAY()))-6*($S349="Yes")+(750-ROW())/100000)</f>
        <v/>
      </c>
      <c r="W349" s="47">
        <f>IF(OR($A349="",NOT(ISNUMBER($P349))),"",INT($P349-TODAY()))</f>
        <v/>
      </c>
      <c r="X349" s="47" t="n"/>
    </row>
    <row r="350">
      <c r="A350" s="50" t="n"/>
      <c r="B350" s="47" t="n"/>
      <c r="C350" s="47" t="n"/>
      <c r="D350" s="50" t="n"/>
      <c r="E350" s="50" t="n"/>
      <c r="F350" s="48" t="n"/>
      <c r="G350" s="47" t="n"/>
      <c r="H350" s="47" t="n"/>
      <c r="I350" s="47" t="n"/>
      <c r="J350" s="47" t="n"/>
      <c r="K350" s="47" t="n"/>
      <c r="L350" s="47" t="n"/>
      <c r="M350" s="50" t="n"/>
      <c r="N350" s="50" t="n"/>
      <c r="O350" s="50" t="n"/>
      <c r="P350" s="48">
        <f>IF($F350="","",IF($J350="Yes",$F350+1,IF($G350="No",$F350+2,IF(N($I350)&gt;2,$F350+3,IF(N($I350)&gt;0,$F350+5,$F350+7)))))</f>
        <v/>
      </c>
      <c r="Q350" s="48">
        <f>IF($P350="","",IF($J350="Yes",$P350+3,IF($G350="No",$P350+5,IF(N($I350)&gt;0,$P350+7,$P350+14))))</f>
        <v/>
      </c>
      <c r="R350" s="48">
        <f>IF($Q350="","",IF($J350="Yes",$Q350+7,IF($G350="No",$Q350+14,$Q350+30)))</f>
        <v/>
      </c>
      <c r="S350" s="47" t="n"/>
      <c r="T350" s="50" t="n"/>
      <c r="U350" s="47">
        <f>IF($F350="","",MIN(24,MAX(1,ROUNDUP(($F350-DayPlan!$C$2+1)/7,0))))</f>
        <v/>
      </c>
      <c r="V350" s="47">
        <f>IF($A350=""," ",4*($J350="Yes")+3*($G350="No")+2*(N($I350)&gt;0)+1*(AND(ISNUMBER($H350),$H350&gt;45))+3*(AND(ISNUMBER($P350),$P350&lt;=TODAY()))-6*($S350="Yes")+(750-ROW())/100000)</f>
        <v/>
      </c>
      <c r="W350" s="47">
        <f>IF(OR($A350="",NOT(ISNUMBER($P350))),"",INT($P350-TODAY()))</f>
        <v/>
      </c>
      <c r="X350" s="47" t="n"/>
    </row>
    <row r="351">
      <c r="A351" s="50" t="n"/>
      <c r="B351" s="47" t="n"/>
      <c r="C351" s="47" t="n"/>
      <c r="D351" s="50" t="n"/>
      <c r="E351" s="50" t="n"/>
      <c r="F351" s="48" t="n"/>
      <c r="G351" s="47" t="n"/>
      <c r="H351" s="47" t="n"/>
      <c r="I351" s="47" t="n"/>
      <c r="J351" s="47" t="n"/>
      <c r="K351" s="47" t="n"/>
      <c r="L351" s="47" t="n"/>
      <c r="M351" s="50" t="n"/>
      <c r="N351" s="50" t="n"/>
      <c r="O351" s="50" t="n"/>
      <c r="P351" s="48">
        <f>IF($F351="","",IF($J351="Yes",$F351+1,IF($G351="No",$F351+2,IF(N($I351)&gt;2,$F351+3,IF(N($I351)&gt;0,$F351+5,$F351+7)))))</f>
        <v/>
      </c>
      <c r="Q351" s="48">
        <f>IF($P351="","",IF($J351="Yes",$P351+3,IF($G351="No",$P351+5,IF(N($I351)&gt;0,$P351+7,$P351+14))))</f>
        <v/>
      </c>
      <c r="R351" s="48">
        <f>IF($Q351="","",IF($J351="Yes",$Q351+7,IF($G351="No",$Q351+14,$Q351+30)))</f>
        <v/>
      </c>
      <c r="S351" s="47" t="n"/>
      <c r="T351" s="50" t="n"/>
      <c r="U351" s="47">
        <f>IF($F351="","",MIN(24,MAX(1,ROUNDUP(($F351-DayPlan!$C$2+1)/7,0))))</f>
        <v/>
      </c>
      <c r="V351" s="47">
        <f>IF($A351=""," ",4*($J351="Yes")+3*($G351="No")+2*(N($I351)&gt;0)+1*(AND(ISNUMBER($H351),$H351&gt;45))+3*(AND(ISNUMBER($P351),$P351&lt;=TODAY()))-6*($S351="Yes")+(750-ROW())/100000)</f>
        <v/>
      </c>
      <c r="W351" s="47">
        <f>IF(OR($A351="",NOT(ISNUMBER($P351))),"",INT($P351-TODAY()))</f>
        <v/>
      </c>
      <c r="X351" s="47" t="n"/>
    </row>
    <row r="352">
      <c r="A352" s="50" t="n"/>
      <c r="B352" s="47" t="n"/>
      <c r="C352" s="47" t="n"/>
      <c r="D352" s="50" t="n"/>
      <c r="E352" s="50" t="n"/>
      <c r="F352" s="48" t="n"/>
      <c r="G352" s="47" t="n"/>
      <c r="H352" s="47" t="n"/>
      <c r="I352" s="47" t="n"/>
      <c r="J352" s="47" t="n"/>
      <c r="K352" s="47" t="n"/>
      <c r="L352" s="47" t="n"/>
      <c r="M352" s="50" t="n"/>
      <c r="N352" s="50" t="n"/>
      <c r="O352" s="50" t="n"/>
      <c r="P352" s="48">
        <f>IF($F352="","",IF($J352="Yes",$F352+1,IF($G352="No",$F352+2,IF(N($I352)&gt;2,$F352+3,IF(N($I352)&gt;0,$F352+5,$F352+7)))))</f>
        <v/>
      </c>
      <c r="Q352" s="48">
        <f>IF($P352="","",IF($J352="Yes",$P352+3,IF($G352="No",$P352+5,IF(N($I352)&gt;0,$P352+7,$P352+14))))</f>
        <v/>
      </c>
      <c r="R352" s="48">
        <f>IF($Q352="","",IF($J352="Yes",$Q352+7,IF($G352="No",$Q352+14,$Q352+30)))</f>
        <v/>
      </c>
      <c r="S352" s="47" t="n"/>
      <c r="T352" s="50" t="n"/>
      <c r="U352" s="47">
        <f>IF($F352="","",MIN(24,MAX(1,ROUNDUP(($F352-DayPlan!$C$2+1)/7,0))))</f>
        <v/>
      </c>
      <c r="V352" s="47">
        <f>IF($A352=""," ",4*($J352="Yes")+3*($G352="No")+2*(N($I352)&gt;0)+1*(AND(ISNUMBER($H352),$H352&gt;45))+3*(AND(ISNUMBER($P352),$P352&lt;=TODAY()))-6*($S352="Yes")+(750-ROW())/100000)</f>
        <v/>
      </c>
      <c r="W352" s="47">
        <f>IF(OR($A352="",NOT(ISNUMBER($P352))),"",INT($P352-TODAY()))</f>
        <v/>
      </c>
      <c r="X352" s="47" t="n"/>
    </row>
    <row r="353">
      <c r="A353" s="50" t="n"/>
      <c r="B353" s="47" t="n"/>
      <c r="C353" s="47" t="n"/>
      <c r="D353" s="50" t="n"/>
      <c r="E353" s="50" t="n"/>
      <c r="F353" s="48" t="n"/>
      <c r="G353" s="47" t="n"/>
      <c r="H353" s="47" t="n"/>
      <c r="I353" s="47" t="n"/>
      <c r="J353" s="47" t="n"/>
      <c r="K353" s="47" t="n"/>
      <c r="L353" s="47" t="n"/>
      <c r="M353" s="50" t="n"/>
      <c r="N353" s="50" t="n"/>
      <c r="O353" s="50" t="n"/>
      <c r="P353" s="48">
        <f>IF($F353="","",IF($J353="Yes",$F353+1,IF($G353="No",$F353+2,IF(N($I353)&gt;2,$F353+3,IF(N($I353)&gt;0,$F353+5,$F353+7)))))</f>
        <v/>
      </c>
      <c r="Q353" s="48">
        <f>IF($P353="","",IF($J353="Yes",$P353+3,IF($G353="No",$P353+5,IF(N($I353)&gt;0,$P353+7,$P353+14))))</f>
        <v/>
      </c>
      <c r="R353" s="48">
        <f>IF($Q353="","",IF($J353="Yes",$Q353+7,IF($G353="No",$Q353+14,$Q353+30)))</f>
        <v/>
      </c>
      <c r="S353" s="47" t="n"/>
      <c r="T353" s="50" t="n"/>
      <c r="U353" s="47">
        <f>IF($F353="","",MIN(24,MAX(1,ROUNDUP(($F353-DayPlan!$C$2+1)/7,0))))</f>
        <v/>
      </c>
      <c r="V353" s="47">
        <f>IF($A353=""," ",4*($J353="Yes")+3*($G353="No")+2*(N($I353)&gt;0)+1*(AND(ISNUMBER($H353),$H353&gt;45))+3*(AND(ISNUMBER($P353),$P353&lt;=TODAY()))-6*($S353="Yes")+(750-ROW())/100000)</f>
        <v/>
      </c>
      <c r="W353" s="47">
        <f>IF(OR($A353="",NOT(ISNUMBER($P353))),"",INT($P353-TODAY()))</f>
        <v/>
      </c>
      <c r="X353" s="47" t="n"/>
    </row>
    <row r="354">
      <c r="A354" s="50" t="n"/>
      <c r="B354" s="47" t="n"/>
      <c r="C354" s="47" t="n"/>
      <c r="D354" s="50" t="n"/>
      <c r="E354" s="50" t="n"/>
      <c r="F354" s="48" t="n"/>
      <c r="G354" s="47" t="n"/>
      <c r="H354" s="47" t="n"/>
      <c r="I354" s="47" t="n"/>
      <c r="J354" s="47" t="n"/>
      <c r="K354" s="47" t="n"/>
      <c r="L354" s="47" t="n"/>
      <c r="M354" s="50" t="n"/>
      <c r="N354" s="50" t="n"/>
      <c r="O354" s="50" t="n"/>
      <c r="P354" s="48">
        <f>IF($F354="","",IF($J354="Yes",$F354+1,IF($G354="No",$F354+2,IF(N($I354)&gt;2,$F354+3,IF(N($I354)&gt;0,$F354+5,$F354+7)))))</f>
        <v/>
      </c>
      <c r="Q354" s="48">
        <f>IF($P354="","",IF($J354="Yes",$P354+3,IF($G354="No",$P354+5,IF(N($I354)&gt;0,$P354+7,$P354+14))))</f>
        <v/>
      </c>
      <c r="R354" s="48">
        <f>IF($Q354="","",IF($J354="Yes",$Q354+7,IF($G354="No",$Q354+14,$Q354+30)))</f>
        <v/>
      </c>
      <c r="S354" s="47" t="n"/>
      <c r="T354" s="50" t="n"/>
      <c r="U354" s="47">
        <f>IF($F354="","",MIN(24,MAX(1,ROUNDUP(($F354-DayPlan!$C$2+1)/7,0))))</f>
        <v/>
      </c>
      <c r="V354" s="47">
        <f>IF($A354=""," ",4*($J354="Yes")+3*($G354="No")+2*(N($I354)&gt;0)+1*(AND(ISNUMBER($H354),$H354&gt;45))+3*(AND(ISNUMBER($P354),$P354&lt;=TODAY()))-6*($S354="Yes")+(750-ROW())/100000)</f>
        <v/>
      </c>
      <c r="W354" s="47">
        <f>IF(OR($A354="",NOT(ISNUMBER($P354))),"",INT($P354-TODAY()))</f>
        <v/>
      </c>
      <c r="X354" s="47" t="n"/>
    </row>
    <row r="355">
      <c r="A355" s="50" t="n"/>
      <c r="B355" s="47" t="n"/>
      <c r="C355" s="47" t="n"/>
      <c r="D355" s="50" t="n"/>
      <c r="E355" s="50" t="n"/>
      <c r="F355" s="48" t="n"/>
      <c r="G355" s="47" t="n"/>
      <c r="H355" s="47" t="n"/>
      <c r="I355" s="47" t="n"/>
      <c r="J355" s="47" t="n"/>
      <c r="K355" s="47" t="n"/>
      <c r="L355" s="47" t="n"/>
      <c r="M355" s="50" t="n"/>
      <c r="N355" s="50" t="n"/>
      <c r="O355" s="50" t="n"/>
      <c r="P355" s="48">
        <f>IF($F355="","",IF($J355="Yes",$F355+1,IF($G355="No",$F355+2,IF(N($I355)&gt;2,$F355+3,IF(N($I355)&gt;0,$F355+5,$F355+7)))))</f>
        <v/>
      </c>
      <c r="Q355" s="48">
        <f>IF($P355="","",IF($J355="Yes",$P355+3,IF($G355="No",$P355+5,IF(N($I355)&gt;0,$P355+7,$P355+14))))</f>
        <v/>
      </c>
      <c r="R355" s="48">
        <f>IF($Q355="","",IF($J355="Yes",$Q355+7,IF($G355="No",$Q355+14,$Q355+30)))</f>
        <v/>
      </c>
      <c r="S355" s="47" t="n"/>
      <c r="T355" s="50" t="n"/>
      <c r="U355" s="47">
        <f>IF($F355="","",MIN(24,MAX(1,ROUNDUP(($F355-DayPlan!$C$2+1)/7,0))))</f>
        <v/>
      </c>
      <c r="V355" s="47">
        <f>IF($A355=""," ",4*($J355="Yes")+3*($G355="No")+2*(N($I355)&gt;0)+1*(AND(ISNUMBER($H355),$H355&gt;45))+3*(AND(ISNUMBER($P355),$P355&lt;=TODAY()))-6*($S355="Yes")+(750-ROW())/100000)</f>
        <v/>
      </c>
      <c r="W355" s="47">
        <f>IF(OR($A355="",NOT(ISNUMBER($P355))),"",INT($P355-TODAY()))</f>
        <v/>
      </c>
      <c r="X355" s="47" t="n"/>
    </row>
    <row r="356">
      <c r="A356" s="50" t="n"/>
      <c r="B356" s="47" t="n"/>
      <c r="C356" s="47" t="n"/>
      <c r="D356" s="50" t="n"/>
      <c r="E356" s="50" t="n"/>
      <c r="F356" s="48" t="n"/>
      <c r="G356" s="47" t="n"/>
      <c r="H356" s="47" t="n"/>
      <c r="I356" s="47" t="n"/>
      <c r="J356" s="47" t="n"/>
      <c r="K356" s="47" t="n"/>
      <c r="L356" s="47" t="n"/>
      <c r="M356" s="50" t="n"/>
      <c r="N356" s="50" t="n"/>
      <c r="O356" s="50" t="n"/>
      <c r="P356" s="48">
        <f>IF($F356="","",IF($J356="Yes",$F356+1,IF($G356="No",$F356+2,IF(N($I356)&gt;2,$F356+3,IF(N($I356)&gt;0,$F356+5,$F356+7)))))</f>
        <v/>
      </c>
      <c r="Q356" s="48">
        <f>IF($P356="","",IF($J356="Yes",$P356+3,IF($G356="No",$P356+5,IF(N($I356)&gt;0,$P356+7,$P356+14))))</f>
        <v/>
      </c>
      <c r="R356" s="48">
        <f>IF($Q356="","",IF($J356="Yes",$Q356+7,IF($G356="No",$Q356+14,$Q356+30)))</f>
        <v/>
      </c>
      <c r="S356" s="47" t="n"/>
      <c r="T356" s="50" t="n"/>
      <c r="U356" s="47">
        <f>IF($F356="","",MIN(24,MAX(1,ROUNDUP(($F356-DayPlan!$C$2+1)/7,0))))</f>
        <v/>
      </c>
      <c r="V356" s="47">
        <f>IF($A356=""," ",4*($J356="Yes")+3*($G356="No")+2*(N($I356)&gt;0)+1*(AND(ISNUMBER($H356),$H356&gt;45))+3*(AND(ISNUMBER($P356),$P356&lt;=TODAY()))-6*($S356="Yes")+(750-ROW())/100000)</f>
        <v/>
      </c>
      <c r="W356" s="47">
        <f>IF(OR($A356="",NOT(ISNUMBER($P356))),"",INT($P356-TODAY()))</f>
        <v/>
      </c>
      <c r="X356" s="47" t="n"/>
    </row>
    <row r="357">
      <c r="A357" s="50" t="n"/>
      <c r="B357" s="47" t="n"/>
      <c r="C357" s="47" t="n"/>
      <c r="D357" s="50" t="n"/>
      <c r="E357" s="50" t="n"/>
      <c r="F357" s="48" t="n"/>
      <c r="G357" s="47" t="n"/>
      <c r="H357" s="47" t="n"/>
      <c r="I357" s="47" t="n"/>
      <c r="J357" s="47" t="n"/>
      <c r="K357" s="47" t="n"/>
      <c r="L357" s="47" t="n"/>
      <c r="M357" s="50" t="n"/>
      <c r="N357" s="50" t="n"/>
      <c r="O357" s="50" t="n"/>
      <c r="P357" s="48">
        <f>IF($F357="","",IF($J357="Yes",$F357+1,IF($G357="No",$F357+2,IF(N($I357)&gt;2,$F357+3,IF(N($I357)&gt;0,$F357+5,$F357+7)))))</f>
        <v/>
      </c>
      <c r="Q357" s="48">
        <f>IF($P357="","",IF($J357="Yes",$P357+3,IF($G357="No",$P357+5,IF(N($I357)&gt;0,$P357+7,$P357+14))))</f>
        <v/>
      </c>
      <c r="R357" s="48">
        <f>IF($Q357="","",IF($J357="Yes",$Q357+7,IF($G357="No",$Q357+14,$Q357+30)))</f>
        <v/>
      </c>
      <c r="S357" s="47" t="n"/>
      <c r="T357" s="50" t="n"/>
      <c r="U357" s="47">
        <f>IF($F357="","",MIN(24,MAX(1,ROUNDUP(($F357-DayPlan!$C$2+1)/7,0))))</f>
        <v/>
      </c>
      <c r="V357" s="47">
        <f>IF($A357=""," ",4*($J357="Yes")+3*($G357="No")+2*(N($I357)&gt;0)+1*(AND(ISNUMBER($H357),$H357&gt;45))+3*(AND(ISNUMBER($P357),$P357&lt;=TODAY()))-6*($S357="Yes")+(750-ROW())/100000)</f>
        <v/>
      </c>
      <c r="W357" s="47">
        <f>IF(OR($A357="",NOT(ISNUMBER($P357))),"",INT($P357-TODAY()))</f>
        <v/>
      </c>
      <c r="X357" s="47" t="n"/>
    </row>
    <row r="358">
      <c r="A358" s="50" t="n"/>
      <c r="B358" s="47" t="n"/>
      <c r="C358" s="47" t="n"/>
      <c r="D358" s="50" t="n"/>
      <c r="E358" s="50" t="n"/>
      <c r="F358" s="48" t="n"/>
      <c r="G358" s="47" t="n"/>
      <c r="H358" s="47" t="n"/>
      <c r="I358" s="47" t="n"/>
      <c r="J358" s="47" t="n"/>
      <c r="K358" s="47" t="n"/>
      <c r="L358" s="47" t="n"/>
      <c r="M358" s="50" t="n"/>
      <c r="N358" s="50" t="n"/>
      <c r="O358" s="50" t="n"/>
      <c r="P358" s="48">
        <f>IF($F358="","",IF($J358="Yes",$F358+1,IF($G358="No",$F358+2,IF(N($I358)&gt;2,$F358+3,IF(N($I358)&gt;0,$F358+5,$F358+7)))))</f>
        <v/>
      </c>
      <c r="Q358" s="48">
        <f>IF($P358="","",IF($J358="Yes",$P358+3,IF($G358="No",$P358+5,IF(N($I358)&gt;0,$P358+7,$P358+14))))</f>
        <v/>
      </c>
      <c r="R358" s="48">
        <f>IF($Q358="","",IF($J358="Yes",$Q358+7,IF($G358="No",$Q358+14,$Q358+30)))</f>
        <v/>
      </c>
      <c r="S358" s="47" t="n"/>
      <c r="T358" s="50" t="n"/>
      <c r="U358" s="47">
        <f>IF($F358="","",MIN(24,MAX(1,ROUNDUP(($F358-DayPlan!$C$2+1)/7,0))))</f>
        <v/>
      </c>
      <c r="V358" s="47">
        <f>IF($A358=""," ",4*($J358="Yes")+3*($G358="No")+2*(N($I358)&gt;0)+1*(AND(ISNUMBER($H358),$H358&gt;45))+3*(AND(ISNUMBER($P358),$P358&lt;=TODAY()))-6*($S358="Yes")+(750-ROW())/100000)</f>
        <v/>
      </c>
      <c r="W358" s="47">
        <f>IF(OR($A358="",NOT(ISNUMBER($P358))),"",INT($P358-TODAY()))</f>
        <v/>
      </c>
      <c r="X358" s="47" t="n"/>
    </row>
    <row r="359">
      <c r="A359" s="50" t="n"/>
      <c r="B359" s="47" t="n"/>
      <c r="C359" s="47" t="n"/>
      <c r="D359" s="50" t="n"/>
      <c r="E359" s="50" t="n"/>
      <c r="F359" s="48" t="n"/>
      <c r="G359" s="47" t="n"/>
      <c r="H359" s="47" t="n"/>
      <c r="I359" s="47" t="n"/>
      <c r="J359" s="47" t="n"/>
      <c r="K359" s="47" t="n"/>
      <c r="L359" s="47" t="n"/>
      <c r="M359" s="50" t="n"/>
      <c r="N359" s="50" t="n"/>
      <c r="O359" s="50" t="n"/>
      <c r="P359" s="48">
        <f>IF($F359="","",IF($J359="Yes",$F359+1,IF($G359="No",$F359+2,IF(N($I359)&gt;2,$F359+3,IF(N($I359)&gt;0,$F359+5,$F359+7)))))</f>
        <v/>
      </c>
      <c r="Q359" s="48">
        <f>IF($P359="","",IF($J359="Yes",$P359+3,IF($G359="No",$P359+5,IF(N($I359)&gt;0,$P359+7,$P359+14))))</f>
        <v/>
      </c>
      <c r="R359" s="48">
        <f>IF($Q359="","",IF($J359="Yes",$Q359+7,IF($G359="No",$Q359+14,$Q359+30)))</f>
        <v/>
      </c>
      <c r="S359" s="47" t="n"/>
      <c r="T359" s="50" t="n"/>
      <c r="U359" s="47">
        <f>IF($F359="","",MIN(24,MAX(1,ROUNDUP(($F359-DayPlan!$C$2+1)/7,0))))</f>
        <v/>
      </c>
      <c r="V359" s="47">
        <f>IF($A359=""," ",4*($J359="Yes")+3*($G359="No")+2*(N($I359)&gt;0)+1*(AND(ISNUMBER($H359),$H359&gt;45))+3*(AND(ISNUMBER($P359),$P359&lt;=TODAY()))-6*($S359="Yes")+(750-ROW())/100000)</f>
        <v/>
      </c>
      <c r="W359" s="47">
        <f>IF(OR($A359="",NOT(ISNUMBER($P359))),"",INT($P359-TODAY()))</f>
        <v/>
      </c>
      <c r="X359" s="47" t="n"/>
    </row>
    <row r="360">
      <c r="A360" s="50" t="n"/>
      <c r="B360" s="47" t="n"/>
      <c r="C360" s="47" t="n"/>
      <c r="D360" s="50" t="n"/>
      <c r="E360" s="50" t="n"/>
      <c r="F360" s="48" t="n"/>
      <c r="G360" s="47" t="n"/>
      <c r="H360" s="47" t="n"/>
      <c r="I360" s="47" t="n"/>
      <c r="J360" s="47" t="n"/>
      <c r="K360" s="47" t="n"/>
      <c r="L360" s="47" t="n"/>
      <c r="M360" s="50" t="n"/>
      <c r="N360" s="50" t="n"/>
      <c r="O360" s="50" t="n"/>
      <c r="P360" s="48">
        <f>IF($F360="","",IF($J360="Yes",$F360+1,IF($G360="No",$F360+2,IF(N($I360)&gt;2,$F360+3,IF(N($I360)&gt;0,$F360+5,$F360+7)))))</f>
        <v/>
      </c>
      <c r="Q360" s="48">
        <f>IF($P360="","",IF($J360="Yes",$P360+3,IF($G360="No",$P360+5,IF(N($I360)&gt;0,$P360+7,$P360+14))))</f>
        <v/>
      </c>
      <c r="R360" s="48">
        <f>IF($Q360="","",IF($J360="Yes",$Q360+7,IF($G360="No",$Q360+14,$Q360+30)))</f>
        <v/>
      </c>
      <c r="S360" s="47" t="n"/>
      <c r="T360" s="50" t="n"/>
      <c r="U360" s="47">
        <f>IF($F360="","",MIN(24,MAX(1,ROUNDUP(($F360-DayPlan!$C$2+1)/7,0))))</f>
        <v/>
      </c>
      <c r="V360" s="47">
        <f>IF($A360=""," ",4*($J360="Yes")+3*($G360="No")+2*(N($I360)&gt;0)+1*(AND(ISNUMBER($H360),$H360&gt;45))+3*(AND(ISNUMBER($P360),$P360&lt;=TODAY()))-6*($S360="Yes")+(750-ROW())/100000)</f>
        <v/>
      </c>
      <c r="W360" s="47">
        <f>IF(OR($A360="",NOT(ISNUMBER($P360))),"",INT($P360-TODAY()))</f>
        <v/>
      </c>
      <c r="X360" s="47" t="n"/>
    </row>
    <row r="361">
      <c r="A361" s="50" t="n"/>
      <c r="B361" s="47" t="n"/>
      <c r="C361" s="47" t="n"/>
      <c r="D361" s="50" t="n"/>
      <c r="E361" s="50" t="n"/>
      <c r="F361" s="48" t="n"/>
      <c r="G361" s="47" t="n"/>
      <c r="H361" s="47" t="n"/>
      <c r="I361" s="47" t="n"/>
      <c r="J361" s="47" t="n"/>
      <c r="K361" s="47" t="n"/>
      <c r="L361" s="47" t="n"/>
      <c r="M361" s="50" t="n"/>
      <c r="N361" s="50" t="n"/>
      <c r="O361" s="50" t="n"/>
      <c r="P361" s="48">
        <f>IF($F361="","",IF($J361="Yes",$F361+1,IF($G361="No",$F361+2,IF(N($I361)&gt;2,$F361+3,IF(N($I361)&gt;0,$F361+5,$F361+7)))))</f>
        <v/>
      </c>
      <c r="Q361" s="48">
        <f>IF($P361="","",IF($J361="Yes",$P361+3,IF($G361="No",$P361+5,IF(N($I361)&gt;0,$P361+7,$P361+14))))</f>
        <v/>
      </c>
      <c r="R361" s="48">
        <f>IF($Q361="","",IF($J361="Yes",$Q361+7,IF($G361="No",$Q361+14,$Q361+30)))</f>
        <v/>
      </c>
      <c r="S361" s="47" t="n"/>
      <c r="T361" s="50" t="n"/>
      <c r="U361" s="47">
        <f>IF($F361="","",MIN(24,MAX(1,ROUNDUP(($F361-DayPlan!$C$2+1)/7,0))))</f>
        <v/>
      </c>
      <c r="V361" s="47">
        <f>IF($A361=""," ",4*($J361="Yes")+3*($G361="No")+2*(N($I361)&gt;0)+1*(AND(ISNUMBER($H361),$H361&gt;45))+3*(AND(ISNUMBER($P361),$P361&lt;=TODAY()))-6*($S361="Yes")+(750-ROW())/100000)</f>
        <v/>
      </c>
      <c r="W361" s="47">
        <f>IF(OR($A361="",NOT(ISNUMBER($P361))),"",INT($P361-TODAY()))</f>
        <v/>
      </c>
      <c r="X361" s="47" t="n"/>
    </row>
    <row r="362">
      <c r="A362" s="50" t="n"/>
      <c r="B362" s="47" t="n"/>
      <c r="C362" s="47" t="n"/>
      <c r="D362" s="50" t="n"/>
      <c r="E362" s="50" t="n"/>
      <c r="F362" s="48" t="n"/>
      <c r="G362" s="47" t="n"/>
      <c r="H362" s="47" t="n"/>
      <c r="I362" s="47" t="n"/>
      <c r="J362" s="47" t="n"/>
      <c r="K362" s="47" t="n"/>
      <c r="L362" s="47" t="n"/>
      <c r="M362" s="50" t="n"/>
      <c r="N362" s="50" t="n"/>
      <c r="O362" s="50" t="n"/>
      <c r="P362" s="48">
        <f>IF($F362="","",IF($J362="Yes",$F362+1,IF($G362="No",$F362+2,IF(N($I362)&gt;2,$F362+3,IF(N($I362)&gt;0,$F362+5,$F362+7)))))</f>
        <v/>
      </c>
      <c r="Q362" s="48">
        <f>IF($P362="","",IF($J362="Yes",$P362+3,IF($G362="No",$P362+5,IF(N($I362)&gt;0,$P362+7,$P362+14))))</f>
        <v/>
      </c>
      <c r="R362" s="48">
        <f>IF($Q362="","",IF($J362="Yes",$Q362+7,IF($G362="No",$Q362+14,$Q362+30)))</f>
        <v/>
      </c>
      <c r="S362" s="47" t="n"/>
      <c r="T362" s="50" t="n"/>
      <c r="U362" s="47">
        <f>IF($F362="","",MIN(24,MAX(1,ROUNDUP(($F362-DayPlan!$C$2+1)/7,0))))</f>
        <v/>
      </c>
      <c r="V362" s="47">
        <f>IF($A362=""," ",4*($J362="Yes")+3*($G362="No")+2*(N($I362)&gt;0)+1*(AND(ISNUMBER($H362),$H362&gt;45))+3*(AND(ISNUMBER($P362),$P362&lt;=TODAY()))-6*($S362="Yes")+(750-ROW())/100000)</f>
        <v/>
      </c>
      <c r="W362" s="47">
        <f>IF(OR($A362="",NOT(ISNUMBER($P362))),"",INT($P362-TODAY()))</f>
        <v/>
      </c>
      <c r="X362" s="47" t="n"/>
    </row>
    <row r="363">
      <c r="A363" s="50" t="n"/>
      <c r="B363" s="47" t="n"/>
      <c r="C363" s="47" t="n"/>
      <c r="D363" s="50" t="n"/>
      <c r="E363" s="50" t="n"/>
      <c r="F363" s="48" t="n"/>
      <c r="G363" s="47" t="n"/>
      <c r="H363" s="47" t="n"/>
      <c r="I363" s="47" t="n"/>
      <c r="J363" s="47" t="n"/>
      <c r="K363" s="47" t="n"/>
      <c r="L363" s="47" t="n"/>
      <c r="M363" s="50" t="n"/>
      <c r="N363" s="50" t="n"/>
      <c r="O363" s="50" t="n"/>
      <c r="P363" s="48">
        <f>IF($F363="","",IF($J363="Yes",$F363+1,IF($G363="No",$F363+2,IF(N($I363)&gt;2,$F363+3,IF(N($I363)&gt;0,$F363+5,$F363+7)))))</f>
        <v/>
      </c>
      <c r="Q363" s="48">
        <f>IF($P363="","",IF($J363="Yes",$P363+3,IF($G363="No",$P363+5,IF(N($I363)&gt;0,$P363+7,$P363+14))))</f>
        <v/>
      </c>
      <c r="R363" s="48">
        <f>IF($Q363="","",IF($J363="Yes",$Q363+7,IF($G363="No",$Q363+14,$Q363+30)))</f>
        <v/>
      </c>
      <c r="S363" s="47" t="n"/>
      <c r="T363" s="50" t="n"/>
      <c r="U363" s="47">
        <f>IF($F363="","",MIN(24,MAX(1,ROUNDUP(($F363-DayPlan!$C$2+1)/7,0))))</f>
        <v/>
      </c>
      <c r="V363" s="47">
        <f>IF($A363=""," ",4*($J363="Yes")+3*($G363="No")+2*(N($I363)&gt;0)+1*(AND(ISNUMBER($H363),$H363&gt;45))+3*(AND(ISNUMBER($P363),$P363&lt;=TODAY()))-6*($S363="Yes")+(750-ROW())/100000)</f>
        <v/>
      </c>
      <c r="W363" s="47">
        <f>IF(OR($A363="",NOT(ISNUMBER($P363))),"",INT($P363-TODAY()))</f>
        <v/>
      </c>
      <c r="X363" s="47" t="n"/>
    </row>
    <row r="364">
      <c r="A364" s="50" t="n"/>
      <c r="B364" s="47" t="n"/>
      <c r="C364" s="47" t="n"/>
      <c r="D364" s="50" t="n"/>
      <c r="E364" s="50" t="n"/>
      <c r="F364" s="48" t="n"/>
      <c r="G364" s="47" t="n"/>
      <c r="H364" s="47" t="n"/>
      <c r="I364" s="47" t="n"/>
      <c r="J364" s="47" t="n"/>
      <c r="K364" s="47" t="n"/>
      <c r="L364" s="47" t="n"/>
      <c r="M364" s="50" t="n"/>
      <c r="N364" s="50" t="n"/>
      <c r="O364" s="50" t="n"/>
      <c r="P364" s="48">
        <f>IF($F364="","",IF($J364="Yes",$F364+1,IF($G364="No",$F364+2,IF(N($I364)&gt;2,$F364+3,IF(N($I364)&gt;0,$F364+5,$F364+7)))))</f>
        <v/>
      </c>
      <c r="Q364" s="48">
        <f>IF($P364="","",IF($J364="Yes",$P364+3,IF($G364="No",$P364+5,IF(N($I364)&gt;0,$P364+7,$P364+14))))</f>
        <v/>
      </c>
      <c r="R364" s="48">
        <f>IF($Q364="","",IF($J364="Yes",$Q364+7,IF($G364="No",$Q364+14,$Q364+30)))</f>
        <v/>
      </c>
      <c r="S364" s="47" t="n"/>
      <c r="T364" s="50" t="n"/>
      <c r="U364" s="47">
        <f>IF($F364="","",MIN(24,MAX(1,ROUNDUP(($F364-DayPlan!$C$2+1)/7,0))))</f>
        <v/>
      </c>
      <c r="V364" s="47">
        <f>IF($A364=""," ",4*($J364="Yes")+3*($G364="No")+2*(N($I364)&gt;0)+1*(AND(ISNUMBER($H364),$H364&gt;45))+3*(AND(ISNUMBER($P364),$P364&lt;=TODAY()))-6*($S364="Yes")+(750-ROW())/100000)</f>
        <v/>
      </c>
      <c r="W364" s="47">
        <f>IF(OR($A364="",NOT(ISNUMBER($P364))),"",INT($P364-TODAY()))</f>
        <v/>
      </c>
      <c r="X364" s="47" t="n"/>
    </row>
    <row r="365">
      <c r="A365" s="50" t="n"/>
      <c r="B365" s="47" t="n"/>
      <c r="C365" s="47" t="n"/>
      <c r="D365" s="50" t="n"/>
      <c r="E365" s="50" t="n"/>
      <c r="F365" s="48" t="n"/>
      <c r="G365" s="47" t="n"/>
      <c r="H365" s="47" t="n"/>
      <c r="I365" s="47" t="n"/>
      <c r="J365" s="47" t="n"/>
      <c r="K365" s="47" t="n"/>
      <c r="L365" s="47" t="n"/>
      <c r="M365" s="50" t="n"/>
      <c r="N365" s="50" t="n"/>
      <c r="O365" s="50" t="n"/>
      <c r="P365" s="48">
        <f>IF($F365="","",IF($J365="Yes",$F365+1,IF($G365="No",$F365+2,IF(N($I365)&gt;2,$F365+3,IF(N($I365)&gt;0,$F365+5,$F365+7)))))</f>
        <v/>
      </c>
      <c r="Q365" s="48">
        <f>IF($P365="","",IF($J365="Yes",$P365+3,IF($G365="No",$P365+5,IF(N($I365)&gt;0,$P365+7,$P365+14))))</f>
        <v/>
      </c>
      <c r="R365" s="48">
        <f>IF($Q365="","",IF($J365="Yes",$Q365+7,IF($G365="No",$Q365+14,$Q365+30)))</f>
        <v/>
      </c>
      <c r="S365" s="47" t="n"/>
      <c r="T365" s="50" t="n"/>
      <c r="U365" s="47">
        <f>IF($F365="","",MIN(24,MAX(1,ROUNDUP(($F365-DayPlan!$C$2+1)/7,0))))</f>
        <v/>
      </c>
      <c r="V365" s="47">
        <f>IF($A365=""," ",4*($J365="Yes")+3*($G365="No")+2*(N($I365)&gt;0)+1*(AND(ISNUMBER($H365),$H365&gt;45))+3*(AND(ISNUMBER($P365),$P365&lt;=TODAY()))-6*($S365="Yes")+(750-ROW())/100000)</f>
        <v/>
      </c>
      <c r="W365" s="47">
        <f>IF(OR($A365="",NOT(ISNUMBER($P365))),"",INT($P365-TODAY()))</f>
        <v/>
      </c>
      <c r="X365" s="47" t="n"/>
    </row>
    <row r="366">
      <c r="A366" s="50" t="n"/>
      <c r="B366" s="47" t="n"/>
      <c r="C366" s="47" t="n"/>
      <c r="D366" s="50" t="n"/>
      <c r="E366" s="50" t="n"/>
      <c r="F366" s="48" t="n"/>
      <c r="G366" s="47" t="n"/>
      <c r="H366" s="47" t="n"/>
      <c r="I366" s="47" t="n"/>
      <c r="J366" s="47" t="n"/>
      <c r="K366" s="47" t="n"/>
      <c r="L366" s="47" t="n"/>
      <c r="M366" s="50" t="n"/>
      <c r="N366" s="50" t="n"/>
      <c r="O366" s="50" t="n"/>
      <c r="P366" s="48">
        <f>IF($F366="","",IF($J366="Yes",$F366+1,IF($G366="No",$F366+2,IF(N($I366)&gt;2,$F366+3,IF(N($I366)&gt;0,$F366+5,$F366+7)))))</f>
        <v/>
      </c>
      <c r="Q366" s="48">
        <f>IF($P366="","",IF($J366="Yes",$P366+3,IF($G366="No",$P366+5,IF(N($I366)&gt;0,$P366+7,$P366+14))))</f>
        <v/>
      </c>
      <c r="R366" s="48">
        <f>IF($Q366="","",IF($J366="Yes",$Q366+7,IF($G366="No",$Q366+14,$Q366+30)))</f>
        <v/>
      </c>
      <c r="S366" s="47" t="n"/>
      <c r="T366" s="50" t="n"/>
      <c r="U366" s="47">
        <f>IF($F366="","",MIN(24,MAX(1,ROUNDUP(($F366-DayPlan!$C$2+1)/7,0))))</f>
        <v/>
      </c>
      <c r="V366" s="47">
        <f>IF($A366=""," ",4*($J366="Yes")+3*($G366="No")+2*(N($I366)&gt;0)+1*(AND(ISNUMBER($H366),$H366&gt;45))+3*(AND(ISNUMBER($P366),$P366&lt;=TODAY()))-6*($S366="Yes")+(750-ROW())/100000)</f>
        <v/>
      </c>
      <c r="W366" s="47">
        <f>IF(OR($A366="",NOT(ISNUMBER($P366))),"",INT($P366-TODAY()))</f>
        <v/>
      </c>
      <c r="X366" s="47" t="n"/>
    </row>
    <row r="367">
      <c r="A367" s="50" t="n"/>
      <c r="B367" s="47" t="n"/>
      <c r="C367" s="47" t="n"/>
      <c r="D367" s="50" t="n"/>
      <c r="E367" s="50" t="n"/>
      <c r="F367" s="48" t="n"/>
      <c r="G367" s="47" t="n"/>
      <c r="H367" s="47" t="n"/>
      <c r="I367" s="47" t="n"/>
      <c r="J367" s="47" t="n"/>
      <c r="K367" s="47" t="n"/>
      <c r="L367" s="47" t="n"/>
      <c r="M367" s="50" t="n"/>
      <c r="N367" s="50" t="n"/>
      <c r="O367" s="50" t="n"/>
      <c r="P367" s="48">
        <f>IF($F367="","",IF($J367="Yes",$F367+1,IF($G367="No",$F367+2,IF(N($I367)&gt;2,$F367+3,IF(N($I367)&gt;0,$F367+5,$F367+7)))))</f>
        <v/>
      </c>
      <c r="Q367" s="48">
        <f>IF($P367="","",IF($J367="Yes",$P367+3,IF($G367="No",$P367+5,IF(N($I367)&gt;0,$P367+7,$P367+14))))</f>
        <v/>
      </c>
      <c r="R367" s="48">
        <f>IF($Q367="","",IF($J367="Yes",$Q367+7,IF($G367="No",$Q367+14,$Q367+30)))</f>
        <v/>
      </c>
      <c r="S367" s="47" t="n"/>
      <c r="T367" s="50" t="n"/>
      <c r="U367" s="47">
        <f>IF($F367="","",MIN(24,MAX(1,ROUNDUP(($F367-DayPlan!$C$2+1)/7,0))))</f>
        <v/>
      </c>
      <c r="V367" s="47">
        <f>IF($A367=""," ",4*($J367="Yes")+3*($G367="No")+2*(N($I367)&gt;0)+1*(AND(ISNUMBER($H367),$H367&gt;45))+3*(AND(ISNUMBER($P367),$P367&lt;=TODAY()))-6*($S367="Yes")+(750-ROW())/100000)</f>
        <v/>
      </c>
      <c r="W367" s="47">
        <f>IF(OR($A367="",NOT(ISNUMBER($P367))),"",INT($P367-TODAY()))</f>
        <v/>
      </c>
      <c r="X367" s="47" t="n"/>
    </row>
    <row r="368">
      <c r="A368" s="50" t="n"/>
      <c r="B368" s="47" t="n"/>
      <c r="C368" s="47" t="n"/>
      <c r="D368" s="50" t="n"/>
      <c r="E368" s="50" t="n"/>
      <c r="F368" s="48" t="n"/>
      <c r="G368" s="47" t="n"/>
      <c r="H368" s="47" t="n"/>
      <c r="I368" s="47" t="n"/>
      <c r="J368" s="47" t="n"/>
      <c r="K368" s="47" t="n"/>
      <c r="L368" s="47" t="n"/>
      <c r="M368" s="50" t="n"/>
      <c r="N368" s="50" t="n"/>
      <c r="O368" s="50" t="n"/>
      <c r="P368" s="48">
        <f>IF($F368="","",IF($J368="Yes",$F368+1,IF($G368="No",$F368+2,IF(N($I368)&gt;2,$F368+3,IF(N($I368)&gt;0,$F368+5,$F368+7)))))</f>
        <v/>
      </c>
      <c r="Q368" s="48">
        <f>IF($P368="","",IF($J368="Yes",$P368+3,IF($G368="No",$P368+5,IF(N($I368)&gt;0,$P368+7,$P368+14))))</f>
        <v/>
      </c>
      <c r="R368" s="48">
        <f>IF($Q368="","",IF($J368="Yes",$Q368+7,IF($G368="No",$Q368+14,$Q368+30)))</f>
        <v/>
      </c>
      <c r="S368" s="47" t="n"/>
      <c r="T368" s="50" t="n"/>
      <c r="U368" s="47">
        <f>IF($F368="","",MIN(24,MAX(1,ROUNDUP(($F368-DayPlan!$C$2+1)/7,0))))</f>
        <v/>
      </c>
      <c r="V368" s="47">
        <f>IF($A368=""," ",4*($J368="Yes")+3*($G368="No")+2*(N($I368)&gt;0)+1*(AND(ISNUMBER($H368),$H368&gt;45))+3*(AND(ISNUMBER($P368),$P368&lt;=TODAY()))-6*($S368="Yes")+(750-ROW())/100000)</f>
        <v/>
      </c>
      <c r="W368" s="47">
        <f>IF(OR($A368="",NOT(ISNUMBER($P368))),"",INT($P368-TODAY()))</f>
        <v/>
      </c>
      <c r="X368" s="47" t="n"/>
    </row>
    <row r="369">
      <c r="A369" s="50" t="n"/>
      <c r="B369" s="47" t="n"/>
      <c r="C369" s="47" t="n"/>
      <c r="D369" s="50" t="n"/>
      <c r="E369" s="50" t="n"/>
      <c r="F369" s="48" t="n"/>
      <c r="G369" s="47" t="n"/>
      <c r="H369" s="47" t="n"/>
      <c r="I369" s="47" t="n"/>
      <c r="J369" s="47" t="n"/>
      <c r="K369" s="47" t="n"/>
      <c r="L369" s="47" t="n"/>
      <c r="M369" s="50" t="n"/>
      <c r="N369" s="50" t="n"/>
      <c r="O369" s="50" t="n"/>
      <c r="P369" s="48">
        <f>IF($F369="","",IF($J369="Yes",$F369+1,IF($G369="No",$F369+2,IF(N($I369)&gt;2,$F369+3,IF(N($I369)&gt;0,$F369+5,$F369+7)))))</f>
        <v/>
      </c>
      <c r="Q369" s="48">
        <f>IF($P369="","",IF($J369="Yes",$P369+3,IF($G369="No",$P369+5,IF(N($I369)&gt;0,$P369+7,$P369+14))))</f>
        <v/>
      </c>
      <c r="R369" s="48">
        <f>IF($Q369="","",IF($J369="Yes",$Q369+7,IF($G369="No",$Q369+14,$Q369+30)))</f>
        <v/>
      </c>
      <c r="S369" s="47" t="n"/>
      <c r="T369" s="50" t="n"/>
      <c r="U369" s="47">
        <f>IF($F369="","",MIN(24,MAX(1,ROUNDUP(($F369-DayPlan!$C$2+1)/7,0))))</f>
        <v/>
      </c>
      <c r="V369" s="47">
        <f>IF($A369=""," ",4*($J369="Yes")+3*($G369="No")+2*(N($I369)&gt;0)+1*(AND(ISNUMBER($H369),$H369&gt;45))+3*(AND(ISNUMBER($P369),$P369&lt;=TODAY()))-6*($S369="Yes")+(750-ROW())/100000)</f>
        <v/>
      </c>
      <c r="W369" s="47">
        <f>IF(OR($A369="",NOT(ISNUMBER($P369))),"",INT($P369-TODAY()))</f>
        <v/>
      </c>
      <c r="X369" s="47" t="n"/>
    </row>
    <row r="370">
      <c r="A370" s="50" t="n"/>
      <c r="B370" s="47" t="n"/>
      <c r="C370" s="47" t="n"/>
      <c r="D370" s="50" t="n"/>
      <c r="E370" s="50" t="n"/>
      <c r="F370" s="48" t="n"/>
      <c r="G370" s="47" t="n"/>
      <c r="H370" s="47" t="n"/>
      <c r="I370" s="47" t="n"/>
      <c r="J370" s="47" t="n"/>
      <c r="K370" s="47" t="n"/>
      <c r="L370" s="47" t="n"/>
      <c r="M370" s="50" t="n"/>
      <c r="N370" s="50" t="n"/>
      <c r="O370" s="50" t="n"/>
      <c r="P370" s="48">
        <f>IF($F370="","",IF($J370="Yes",$F370+1,IF($G370="No",$F370+2,IF(N($I370)&gt;2,$F370+3,IF(N($I370)&gt;0,$F370+5,$F370+7)))))</f>
        <v/>
      </c>
      <c r="Q370" s="48">
        <f>IF($P370="","",IF($J370="Yes",$P370+3,IF($G370="No",$P370+5,IF(N($I370)&gt;0,$P370+7,$P370+14))))</f>
        <v/>
      </c>
      <c r="R370" s="48">
        <f>IF($Q370="","",IF($J370="Yes",$Q370+7,IF($G370="No",$Q370+14,$Q370+30)))</f>
        <v/>
      </c>
      <c r="S370" s="47" t="n"/>
      <c r="T370" s="50" t="n"/>
      <c r="U370" s="47">
        <f>IF($F370="","",MIN(24,MAX(1,ROUNDUP(($F370-DayPlan!$C$2+1)/7,0))))</f>
        <v/>
      </c>
      <c r="V370" s="47">
        <f>IF($A370=""," ",4*($J370="Yes")+3*($G370="No")+2*(N($I370)&gt;0)+1*(AND(ISNUMBER($H370),$H370&gt;45))+3*(AND(ISNUMBER($P370),$P370&lt;=TODAY()))-6*($S370="Yes")+(750-ROW())/100000)</f>
        <v/>
      </c>
      <c r="W370" s="47">
        <f>IF(OR($A370="",NOT(ISNUMBER($P370))),"",INT($P370-TODAY()))</f>
        <v/>
      </c>
      <c r="X370" s="47" t="n"/>
    </row>
    <row r="371">
      <c r="A371" s="50" t="n"/>
      <c r="B371" s="47" t="n"/>
      <c r="C371" s="47" t="n"/>
      <c r="D371" s="50" t="n"/>
      <c r="E371" s="50" t="n"/>
      <c r="F371" s="48" t="n"/>
      <c r="G371" s="47" t="n"/>
      <c r="H371" s="47" t="n"/>
      <c r="I371" s="47" t="n"/>
      <c r="J371" s="47" t="n"/>
      <c r="K371" s="47" t="n"/>
      <c r="L371" s="47" t="n"/>
      <c r="M371" s="50" t="n"/>
      <c r="N371" s="50" t="n"/>
      <c r="O371" s="50" t="n"/>
      <c r="P371" s="48">
        <f>IF($F371="","",IF($J371="Yes",$F371+1,IF($G371="No",$F371+2,IF(N($I371)&gt;2,$F371+3,IF(N($I371)&gt;0,$F371+5,$F371+7)))))</f>
        <v/>
      </c>
      <c r="Q371" s="48">
        <f>IF($P371="","",IF($J371="Yes",$P371+3,IF($G371="No",$P371+5,IF(N($I371)&gt;0,$P371+7,$P371+14))))</f>
        <v/>
      </c>
      <c r="R371" s="48">
        <f>IF($Q371="","",IF($J371="Yes",$Q371+7,IF($G371="No",$Q371+14,$Q371+30)))</f>
        <v/>
      </c>
      <c r="S371" s="47" t="n"/>
      <c r="T371" s="50" t="n"/>
      <c r="U371" s="47">
        <f>IF($F371="","",MIN(24,MAX(1,ROUNDUP(($F371-DayPlan!$C$2+1)/7,0))))</f>
        <v/>
      </c>
      <c r="V371" s="47">
        <f>IF($A371=""," ",4*($J371="Yes")+3*($G371="No")+2*(N($I371)&gt;0)+1*(AND(ISNUMBER($H371),$H371&gt;45))+3*(AND(ISNUMBER($P371),$P371&lt;=TODAY()))-6*($S371="Yes")+(750-ROW())/100000)</f>
        <v/>
      </c>
      <c r="W371" s="47">
        <f>IF(OR($A371="",NOT(ISNUMBER($P371))),"",INT($P371-TODAY()))</f>
        <v/>
      </c>
      <c r="X371" s="47" t="n"/>
    </row>
    <row r="372">
      <c r="A372" s="50" t="n"/>
      <c r="B372" s="47" t="n"/>
      <c r="C372" s="47" t="n"/>
      <c r="D372" s="50" t="n"/>
      <c r="E372" s="50" t="n"/>
      <c r="F372" s="48" t="n"/>
      <c r="G372" s="47" t="n"/>
      <c r="H372" s="47" t="n"/>
      <c r="I372" s="47" t="n"/>
      <c r="J372" s="47" t="n"/>
      <c r="K372" s="47" t="n"/>
      <c r="L372" s="47" t="n"/>
      <c r="M372" s="50" t="n"/>
      <c r="N372" s="50" t="n"/>
      <c r="O372" s="50" t="n"/>
      <c r="P372" s="48">
        <f>IF($F372="","",IF($J372="Yes",$F372+1,IF($G372="No",$F372+2,IF(N($I372)&gt;2,$F372+3,IF(N($I372)&gt;0,$F372+5,$F372+7)))))</f>
        <v/>
      </c>
      <c r="Q372" s="48">
        <f>IF($P372="","",IF($J372="Yes",$P372+3,IF($G372="No",$P372+5,IF(N($I372)&gt;0,$P372+7,$P372+14))))</f>
        <v/>
      </c>
      <c r="R372" s="48">
        <f>IF($Q372="","",IF($J372="Yes",$Q372+7,IF($G372="No",$Q372+14,$Q372+30)))</f>
        <v/>
      </c>
      <c r="S372" s="47" t="n"/>
      <c r="T372" s="50" t="n"/>
      <c r="U372" s="47">
        <f>IF($F372="","",MIN(24,MAX(1,ROUNDUP(($F372-DayPlan!$C$2+1)/7,0))))</f>
        <v/>
      </c>
      <c r="V372" s="47">
        <f>IF($A372=""," ",4*($J372="Yes")+3*($G372="No")+2*(N($I372)&gt;0)+1*(AND(ISNUMBER($H372),$H372&gt;45))+3*(AND(ISNUMBER($P372),$P372&lt;=TODAY()))-6*($S372="Yes")+(750-ROW())/100000)</f>
        <v/>
      </c>
      <c r="W372" s="47">
        <f>IF(OR($A372="",NOT(ISNUMBER($P372))),"",INT($P372-TODAY()))</f>
        <v/>
      </c>
      <c r="X372" s="47" t="n"/>
    </row>
    <row r="373">
      <c r="A373" s="50" t="n"/>
      <c r="B373" s="47" t="n"/>
      <c r="C373" s="47" t="n"/>
      <c r="D373" s="50" t="n"/>
      <c r="E373" s="50" t="n"/>
      <c r="F373" s="48" t="n"/>
      <c r="G373" s="47" t="n"/>
      <c r="H373" s="47" t="n"/>
      <c r="I373" s="47" t="n"/>
      <c r="J373" s="47" t="n"/>
      <c r="K373" s="47" t="n"/>
      <c r="L373" s="47" t="n"/>
      <c r="M373" s="50" t="n"/>
      <c r="N373" s="50" t="n"/>
      <c r="O373" s="50" t="n"/>
      <c r="P373" s="48">
        <f>IF($F373="","",IF($J373="Yes",$F373+1,IF($G373="No",$F373+2,IF(N($I373)&gt;2,$F373+3,IF(N($I373)&gt;0,$F373+5,$F373+7)))))</f>
        <v/>
      </c>
      <c r="Q373" s="48">
        <f>IF($P373="","",IF($J373="Yes",$P373+3,IF($G373="No",$P373+5,IF(N($I373)&gt;0,$P373+7,$P373+14))))</f>
        <v/>
      </c>
      <c r="R373" s="48">
        <f>IF($Q373="","",IF($J373="Yes",$Q373+7,IF($G373="No",$Q373+14,$Q373+30)))</f>
        <v/>
      </c>
      <c r="S373" s="47" t="n"/>
      <c r="T373" s="50" t="n"/>
      <c r="U373" s="47">
        <f>IF($F373="","",MIN(24,MAX(1,ROUNDUP(($F373-DayPlan!$C$2+1)/7,0))))</f>
        <v/>
      </c>
      <c r="V373" s="47">
        <f>IF($A373=""," ",4*($J373="Yes")+3*($G373="No")+2*(N($I373)&gt;0)+1*(AND(ISNUMBER($H373),$H373&gt;45))+3*(AND(ISNUMBER($P373),$P373&lt;=TODAY()))-6*($S373="Yes")+(750-ROW())/100000)</f>
        <v/>
      </c>
      <c r="W373" s="47">
        <f>IF(OR($A373="",NOT(ISNUMBER($P373))),"",INT($P373-TODAY()))</f>
        <v/>
      </c>
      <c r="X373" s="47" t="n"/>
    </row>
    <row r="374">
      <c r="A374" s="50" t="n"/>
      <c r="B374" s="47" t="n"/>
      <c r="C374" s="47" t="n"/>
      <c r="D374" s="50" t="n"/>
      <c r="E374" s="50" t="n"/>
      <c r="F374" s="48" t="n"/>
      <c r="G374" s="47" t="n"/>
      <c r="H374" s="47" t="n"/>
      <c r="I374" s="47" t="n"/>
      <c r="J374" s="47" t="n"/>
      <c r="K374" s="47" t="n"/>
      <c r="L374" s="47" t="n"/>
      <c r="M374" s="50" t="n"/>
      <c r="N374" s="50" t="n"/>
      <c r="O374" s="50" t="n"/>
      <c r="P374" s="48">
        <f>IF($F374="","",IF($J374="Yes",$F374+1,IF($G374="No",$F374+2,IF(N($I374)&gt;2,$F374+3,IF(N($I374)&gt;0,$F374+5,$F374+7)))))</f>
        <v/>
      </c>
      <c r="Q374" s="48">
        <f>IF($P374="","",IF($J374="Yes",$P374+3,IF($G374="No",$P374+5,IF(N($I374)&gt;0,$P374+7,$P374+14))))</f>
        <v/>
      </c>
      <c r="R374" s="48">
        <f>IF($Q374="","",IF($J374="Yes",$Q374+7,IF($G374="No",$Q374+14,$Q374+30)))</f>
        <v/>
      </c>
      <c r="S374" s="47" t="n"/>
      <c r="T374" s="50" t="n"/>
      <c r="U374" s="47">
        <f>IF($F374="","",MIN(24,MAX(1,ROUNDUP(($F374-DayPlan!$C$2+1)/7,0))))</f>
        <v/>
      </c>
      <c r="V374" s="47">
        <f>IF($A374=""," ",4*($J374="Yes")+3*($G374="No")+2*(N($I374)&gt;0)+1*(AND(ISNUMBER($H374),$H374&gt;45))+3*(AND(ISNUMBER($P374),$P374&lt;=TODAY()))-6*($S374="Yes")+(750-ROW())/100000)</f>
        <v/>
      </c>
      <c r="W374" s="47">
        <f>IF(OR($A374="",NOT(ISNUMBER($P374))),"",INT($P374-TODAY()))</f>
        <v/>
      </c>
      <c r="X374" s="47" t="n"/>
    </row>
    <row r="375">
      <c r="A375" s="50" t="n"/>
      <c r="B375" s="47" t="n"/>
      <c r="C375" s="47" t="n"/>
      <c r="D375" s="50" t="n"/>
      <c r="E375" s="50" t="n"/>
      <c r="F375" s="48" t="n"/>
      <c r="G375" s="47" t="n"/>
      <c r="H375" s="47" t="n"/>
      <c r="I375" s="47" t="n"/>
      <c r="J375" s="47" t="n"/>
      <c r="K375" s="47" t="n"/>
      <c r="L375" s="47" t="n"/>
      <c r="M375" s="50" t="n"/>
      <c r="N375" s="50" t="n"/>
      <c r="O375" s="50" t="n"/>
      <c r="P375" s="48">
        <f>IF($F375="","",IF($J375="Yes",$F375+1,IF($G375="No",$F375+2,IF(N($I375)&gt;2,$F375+3,IF(N($I375)&gt;0,$F375+5,$F375+7)))))</f>
        <v/>
      </c>
      <c r="Q375" s="48">
        <f>IF($P375="","",IF($J375="Yes",$P375+3,IF($G375="No",$P375+5,IF(N($I375)&gt;0,$P375+7,$P375+14))))</f>
        <v/>
      </c>
      <c r="R375" s="48">
        <f>IF($Q375="","",IF($J375="Yes",$Q375+7,IF($G375="No",$Q375+14,$Q375+30)))</f>
        <v/>
      </c>
      <c r="S375" s="47" t="n"/>
      <c r="T375" s="50" t="n"/>
      <c r="U375" s="47">
        <f>IF($F375="","",MIN(24,MAX(1,ROUNDUP(($F375-DayPlan!$C$2+1)/7,0))))</f>
        <v/>
      </c>
      <c r="V375" s="47">
        <f>IF($A375=""," ",4*($J375="Yes")+3*($G375="No")+2*(N($I375)&gt;0)+1*(AND(ISNUMBER($H375),$H375&gt;45))+3*(AND(ISNUMBER($P375),$P375&lt;=TODAY()))-6*($S375="Yes")+(750-ROW())/100000)</f>
        <v/>
      </c>
      <c r="W375" s="47">
        <f>IF(OR($A375="",NOT(ISNUMBER($P375))),"",INT($P375-TODAY()))</f>
        <v/>
      </c>
      <c r="X375" s="47" t="n"/>
    </row>
    <row r="376">
      <c r="A376" s="50" t="n"/>
      <c r="B376" s="47" t="n"/>
      <c r="C376" s="47" t="n"/>
      <c r="D376" s="50" t="n"/>
      <c r="E376" s="50" t="n"/>
      <c r="F376" s="48" t="n"/>
      <c r="G376" s="47" t="n"/>
      <c r="H376" s="47" t="n"/>
      <c r="I376" s="47" t="n"/>
      <c r="J376" s="47" t="n"/>
      <c r="K376" s="47" t="n"/>
      <c r="L376" s="47" t="n"/>
      <c r="M376" s="50" t="n"/>
      <c r="N376" s="50" t="n"/>
      <c r="O376" s="50" t="n"/>
      <c r="P376" s="48">
        <f>IF($F376="","",IF($J376="Yes",$F376+1,IF($G376="No",$F376+2,IF(N($I376)&gt;2,$F376+3,IF(N($I376)&gt;0,$F376+5,$F376+7)))))</f>
        <v/>
      </c>
      <c r="Q376" s="48">
        <f>IF($P376="","",IF($J376="Yes",$P376+3,IF($G376="No",$P376+5,IF(N($I376)&gt;0,$P376+7,$P376+14))))</f>
        <v/>
      </c>
      <c r="R376" s="48">
        <f>IF($Q376="","",IF($J376="Yes",$Q376+7,IF($G376="No",$Q376+14,$Q376+30)))</f>
        <v/>
      </c>
      <c r="S376" s="47" t="n"/>
      <c r="T376" s="50" t="n"/>
      <c r="U376" s="47">
        <f>IF($F376="","",MIN(24,MAX(1,ROUNDUP(($F376-DayPlan!$C$2+1)/7,0))))</f>
        <v/>
      </c>
      <c r="V376" s="47">
        <f>IF($A376=""," ",4*($J376="Yes")+3*($G376="No")+2*(N($I376)&gt;0)+1*(AND(ISNUMBER($H376),$H376&gt;45))+3*(AND(ISNUMBER($P376),$P376&lt;=TODAY()))-6*($S376="Yes")+(750-ROW())/100000)</f>
        <v/>
      </c>
      <c r="W376" s="47">
        <f>IF(OR($A376="",NOT(ISNUMBER($P376))),"",INT($P376-TODAY()))</f>
        <v/>
      </c>
      <c r="X376" s="47" t="n"/>
    </row>
    <row r="377">
      <c r="A377" s="50" t="n"/>
      <c r="B377" s="47" t="n"/>
      <c r="C377" s="47" t="n"/>
      <c r="D377" s="50" t="n"/>
      <c r="E377" s="50" t="n"/>
      <c r="F377" s="48" t="n"/>
      <c r="G377" s="47" t="n"/>
      <c r="H377" s="47" t="n"/>
      <c r="I377" s="47" t="n"/>
      <c r="J377" s="47" t="n"/>
      <c r="K377" s="47" t="n"/>
      <c r="L377" s="47" t="n"/>
      <c r="M377" s="50" t="n"/>
      <c r="N377" s="50" t="n"/>
      <c r="O377" s="50" t="n"/>
      <c r="P377" s="48">
        <f>IF($F377="","",IF($J377="Yes",$F377+1,IF($G377="No",$F377+2,IF(N($I377)&gt;2,$F377+3,IF(N($I377)&gt;0,$F377+5,$F377+7)))))</f>
        <v/>
      </c>
      <c r="Q377" s="48">
        <f>IF($P377="","",IF($J377="Yes",$P377+3,IF($G377="No",$P377+5,IF(N($I377)&gt;0,$P377+7,$P377+14))))</f>
        <v/>
      </c>
      <c r="R377" s="48">
        <f>IF($Q377="","",IF($J377="Yes",$Q377+7,IF($G377="No",$Q377+14,$Q377+30)))</f>
        <v/>
      </c>
      <c r="S377" s="47" t="n"/>
      <c r="T377" s="50" t="n"/>
      <c r="U377" s="47">
        <f>IF($F377="","",MIN(24,MAX(1,ROUNDUP(($F377-DayPlan!$C$2+1)/7,0))))</f>
        <v/>
      </c>
      <c r="V377" s="47">
        <f>IF($A377=""," ",4*($J377="Yes")+3*($G377="No")+2*(N($I377)&gt;0)+1*(AND(ISNUMBER($H377),$H377&gt;45))+3*(AND(ISNUMBER($P377),$P377&lt;=TODAY()))-6*($S377="Yes")+(750-ROW())/100000)</f>
        <v/>
      </c>
      <c r="W377" s="47">
        <f>IF(OR($A377="",NOT(ISNUMBER($P377))),"",INT($P377-TODAY()))</f>
        <v/>
      </c>
      <c r="X377" s="47" t="n"/>
    </row>
    <row r="378">
      <c r="A378" s="50" t="n"/>
      <c r="B378" s="47" t="n"/>
      <c r="C378" s="47" t="n"/>
      <c r="D378" s="50" t="n"/>
      <c r="E378" s="50" t="n"/>
      <c r="F378" s="48" t="n"/>
      <c r="G378" s="47" t="n"/>
      <c r="H378" s="47" t="n"/>
      <c r="I378" s="47" t="n"/>
      <c r="J378" s="47" t="n"/>
      <c r="K378" s="47" t="n"/>
      <c r="L378" s="47" t="n"/>
      <c r="M378" s="50" t="n"/>
      <c r="N378" s="50" t="n"/>
      <c r="O378" s="50" t="n"/>
      <c r="P378" s="48">
        <f>IF($F378="","",IF($J378="Yes",$F378+1,IF($G378="No",$F378+2,IF(N($I378)&gt;2,$F378+3,IF(N($I378)&gt;0,$F378+5,$F378+7)))))</f>
        <v/>
      </c>
      <c r="Q378" s="48">
        <f>IF($P378="","",IF($J378="Yes",$P378+3,IF($G378="No",$P378+5,IF(N($I378)&gt;0,$P378+7,$P378+14))))</f>
        <v/>
      </c>
      <c r="R378" s="48">
        <f>IF($Q378="","",IF($J378="Yes",$Q378+7,IF($G378="No",$Q378+14,$Q378+30)))</f>
        <v/>
      </c>
      <c r="S378" s="47" t="n"/>
      <c r="T378" s="50" t="n"/>
      <c r="U378" s="47">
        <f>IF($F378="","",MIN(24,MAX(1,ROUNDUP(($F378-DayPlan!$C$2+1)/7,0))))</f>
        <v/>
      </c>
      <c r="V378" s="47">
        <f>IF($A378=""," ",4*($J378="Yes")+3*($G378="No")+2*(N($I378)&gt;0)+1*(AND(ISNUMBER($H378),$H378&gt;45))+3*(AND(ISNUMBER($P378),$P378&lt;=TODAY()))-6*($S378="Yes")+(750-ROW())/100000)</f>
        <v/>
      </c>
      <c r="W378" s="47">
        <f>IF(OR($A378="",NOT(ISNUMBER($P378))),"",INT($P378-TODAY()))</f>
        <v/>
      </c>
      <c r="X378" s="47" t="n"/>
    </row>
    <row r="379">
      <c r="A379" s="50" t="n"/>
      <c r="B379" s="47" t="n"/>
      <c r="C379" s="47" t="n"/>
      <c r="D379" s="50" t="n"/>
      <c r="E379" s="50" t="n"/>
      <c r="F379" s="48" t="n"/>
      <c r="G379" s="47" t="n"/>
      <c r="H379" s="47" t="n"/>
      <c r="I379" s="47" t="n"/>
      <c r="J379" s="47" t="n"/>
      <c r="K379" s="47" t="n"/>
      <c r="L379" s="47" t="n"/>
      <c r="M379" s="50" t="n"/>
      <c r="N379" s="50" t="n"/>
      <c r="O379" s="50" t="n"/>
      <c r="P379" s="48">
        <f>IF($F379="","",IF($J379="Yes",$F379+1,IF($G379="No",$F379+2,IF(N($I379)&gt;2,$F379+3,IF(N($I379)&gt;0,$F379+5,$F379+7)))))</f>
        <v/>
      </c>
      <c r="Q379" s="48">
        <f>IF($P379="","",IF($J379="Yes",$P379+3,IF($G379="No",$P379+5,IF(N($I379)&gt;0,$P379+7,$P379+14))))</f>
        <v/>
      </c>
      <c r="R379" s="48">
        <f>IF($Q379="","",IF($J379="Yes",$Q379+7,IF($G379="No",$Q379+14,$Q379+30)))</f>
        <v/>
      </c>
      <c r="S379" s="47" t="n"/>
      <c r="T379" s="50" t="n"/>
      <c r="U379" s="47">
        <f>IF($F379="","",MIN(24,MAX(1,ROUNDUP(($F379-DayPlan!$C$2+1)/7,0))))</f>
        <v/>
      </c>
      <c r="V379" s="47">
        <f>IF($A379=""," ",4*($J379="Yes")+3*($G379="No")+2*(N($I379)&gt;0)+1*(AND(ISNUMBER($H379),$H379&gt;45))+3*(AND(ISNUMBER($P379),$P379&lt;=TODAY()))-6*($S379="Yes")+(750-ROW())/100000)</f>
        <v/>
      </c>
      <c r="W379" s="47">
        <f>IF(OR($A379="",NOT(ISNUMBER($P379))),"",INT($P379-TODAY()))</f>
        <v/>
      </c>
      <c r="X379" s="47" t="n"/>
    </row>
    <row r="380">
      <c r="A380" s="50" t="n"/>
      <c r="B380" s="47" t="n"/>
      <c r="C380" s="47" t="n"/>
      <c r="D380" s="50" t="n"/>
      <c r="E380" s="50" t="n"/>
      <c r="F380" s="48" t="n"/>
      <c r="G380" s="47" t="n"/>
      <c r="H380" s="47" t="n"/>
      <c r="I380" s="47" t="n"/>
      <c r="J380" s="47" t="n"/>
      <c r="K380" s="47" t="n"/>
      <c r="L380" s="47" t="n"/>
      <c r="M380" s="50" t="n"/>
      <c r="N380" s="50" t="n"/>
      <c r="O380" s="50" t="n"/>
      <c r="P380" s="48">
        <f>IF($F380="","",IF($J380="Yes",$F380+1,IF($G380="No",$F380+2,IF(N($I380)&gt;2,$F380+3,IF(N($I380)&gt;0,$F380+5,$F380+7)))))</f>
        <v/>
      </c>
      <c r="Q380" s="48">
        <f>IF($P380="","",IF($J380="Yes",$P380+3,IF($G380="No",$P380+5,IF(N($I380)&gt;0,$P380+7,$P380+14))))</f>
        <v/>
      </c>
      <c r="R380" s="48">
        <f>IF($Q380="","",IF($J380="Yes",$Q380+7,IF($G380="No",$Q380+14,$Q380+30)))</f>
        <v/>
      </c>
      <c r="S380" s="47" t="n"/>
      <c r="T380" s="50" t="n"/>
      <c r="U380" s="47">
        <f>IF($F380="","",MIN(24,MAX(1,ROUNDUP(($F380-DayPlan!$C$2+1)/7,0))))</f>
        <v/>
      </c>
      <c r="V380" s="47">
        <f>IF($A380=""," ",4*($J380="Yes")+3*($G380="No")+2*(N($I380)&gt;0)+1*(AND(ISNUMBER($H380),$H380&gt;45))+3*(AND(ISNUMBER($P380),$P380&lt;=TODAY()))-6*($S380="Yes")+(750-ROW())/100000)</f>
        <v/>
      </c>
      <c r="W380" s="47">
        <f>IF(OR($A380="",NOT(ISNUMBER($P380))),"",INT($P380-TODAY()))</f>
        <v/>
      </c>
      <c r="X380" s="47" t="n"/>
    </row>
    <row r="381">
      <c r="A381" s="50" t="n"/>
      <c r="B381" s="47" t="n"/>
      <c r="C381" s="47" t="n"/>
      <c r="D381" s="50" t="n"/>
      <c r="E381" s="50" t="n"/>
      <c r="F381" s="48" t="n"/>
      <c r="G381" s="47" t="n"/>
      <c r="H381" s="47" t="n"/>
      <c r="I381" s="47" t="n"/>
      <c r="J381" s="47" t="n"/>
      <c r="K381" s="47" t="n"/>
      <c r="L381" s="47" t="n"/>
      <c r="M381" s="50" t="n"/>
      <c r="N381" s="50" t="n"/>
      <c r="O381" s="50" t="n"/>
      <c r="P381" s="48">
        <f>IF($F381="","",IF($J381="Yes",$F381+1,IF($G381="No",$F381+2,IF(N($I381)&gt;2,$F381+3,IF(N($I381)&gt;0,$F381+5,$F381+7)))))</f>
        <v/>
      </c>
      <c r="Q381" s="48">
        <f>IF($P381="","",IF($J381="Yes",$P381+3,IF($G381="No",$P381+5,IF(N($I381)&gt;0,$P381+7,$P381+14))))</f>
        <v/>
      </c>
      <c r="R381" s="48">
        <f>IF($Q381="","",IF($J381="Yes",$Q381+7,IF($G381="No",$Q381+14,$Q381+30)))</f>
        <v/>
      </c>
      <c r="S381" s="47" t="n"/>
      <c r="T381" s="50" t="n"/>
      <c r="U381" s="47">
        <f>IF($F381="","",MIN(24,MAX(1,ROUNDUP(($F381-DayPlan!$C$2+1)/7,0))))</f>
        <v/>
      </c>
      <c r="V381" s="47">
        <f>IF($A381=""," ",4*($J381="Yes")+3*($G381="No")+2*(N($I381)&gt;0)+1*(AND(ISNUMBER($H381),$H381&gt;45))+3*(AND(ISNUMBER($P381),$P381&lt;=TODAY()))-6*($S381="Yes")+(750-ROW())/100000)</f>
        <v/>
      </c>
      <c r="W381" s="47">
        <f>IF(OR($A381="",NOT(ISNUMBER($P381))),"",INT($P381-TODAY()))</f>
        <v/>
      </c>
      <c r="X381" s="47" t="n"/>
    </row>
    <row r="382">
      <c r="A382" s="50" t="n"/>
      <c r="B382" s="47" t="n"/>
      <c r="C382" s="47" t="n"/>
      <c r="D382" s="50" t="n"/>
      <c r="E382" s="50" t="n"/>
      <c r="F382" s="48" t="n"/>
      <c r="G382" s="47" t="n"/>
      <c r="H382" s="47" t="n"/>
      <c r="I382" s="47" t="n"/>
      <c r="J382" s="47" t="n"/>
      <c r="K382" s="47" t="n"/>
      <c r="L382" s="47" t="n"/>
      <c r="M382" s="50" t="n"/>
      <c r="N382" s="50" t="n"/>
      <c r="O382" s="50" t="n"/>
      <c r="P382" s="48">
        <f>IF($F382="","",IF($J382="Yes",$F382+1,IF($G382="No",$F382+2,IF(N($I382)&gt;2,$F382+3,IF(N($I382)&gt;0,$F382+5,$F382+7)))))</f>
        <v/>
      </c>
      <c r="Q382" s="48">
        <f>IF($P382="","",IF($J382="Yes",$P382+3,IF($G382="No",$P382+5,IF(N($I382)&gt;0,$P382+7,$P382+14))))</f>
        <v/>
      </c>
      <c r="R382" s="48">
        <f>IF($Q382="","",IF($J382="Yes",$Q382+7,IF($G382="No",$Q382+14,$Q382+30)))</f>
        <v/>
      </c>
      <c r="S382" s="47" t="n"/>
      <c r="T382" s="50" t="n"/>
      <c r="U382" s="47">
        <f>IF($F382="","",MIN(24,MAX(1,ROUNDUP(($F382-DayPlan!$C$2+1)/7,0))))</f>
        <v/>
      </c>
      <c r="V382" s="47">
        <f>IF($A382=""," ",4*($J382="Yes")+3*($G382="No")+2*(N($I382)&gt;0)+1*(AND(ISNUMBER($H382),$H382&gt;45))+3*(AND(ISNUMBER($P382),$P382&lt;=TODAY()))-6*($S382="Yes")+(750-ROW())/100000)</f>
        <v/>
      </c>
      <c r="W382" s="47">
        <f>IF(OR($A382="",NOT(ISNUMBER($P382))),"",INT($P382-TODAY()))</f>
        <v/>
      </c>
      <c r="X382" s="47" t="n"/>
    </row>
    <row r="383">
      <c r="A383" s="50" t="n"/>
      <c r="B383" s="47" t="n"/>
      <c r="C383" s="47" t="n"/>
      <c r="D383" s="50" t="n"/>
      <c r="E383" s="50" t="n"/>
      <c r="F383" s="48" t="n"/>
      <c r="G383" s="47" t="n"/>
      <c r="H383" s="47" t="n"/>
      <c r="I383" s="47" t="n"/>
      <c r="J383" s="47" t="n"/>
      <c r="K383" s="47" t="n"/>
      <c r="L383" s="47" t="n"/>
      <c r="M383" s="50" t="n"/>
      <c r="N383" s="50" t="n"/>
      <c r="O383" s="50" t="n"/>
      <c r="P383" s="48">
        <f>IF($F383="","",IF($J383="Yes",$F383+1,IF($G383="No",$F383+2,IF(N($I383)&gt;2,$F383+3,IF(N($I383)&gt;0,$F383+5,$F383+7)))))</f>
        <v/>
      </c>
      <c r="Q383" s="48">
        <f>IF($P383="","",IF($J383="Yes",$P383+3,IF($G383="No",$P383+5,IF(N($I383)&gt;0,$P383+7,$P383+14))))</f>
        <v/>
      </c>
      <c r="R383" s="48">
        <f>IF($Q383="","",IF($J383="Yes",$Q383+7,IF($G383="No",$Q383+14,$Q383+30)))</f>
        <v/>
      </c>
      <c r="S383" s="47" t="n"/>
      <c r="T383" s="50" t="n"/>
      <c r="U383" s="47">
        <f>IF($F383="","",MIN(24,MAX(1,ROUNDUP(($F383-DayPlan!$C$2+1)/7,0))))</f>
        <v/>
      </c>
      <c r="V383" s="47">
        <f>IF($A383=""," ",4*($J383="Yes")+3*($G383="No")+2*(N($I383)&gt;0)+1*(AND(ISNUMBER($H383),$H383&gt;45))+3*(AND(ISNUMBER($P383),$P383&lt;=TODAY()))-6*($S383="Yes")+(750-ROW())/100000)</f>
        <v/>
      </c>
      <c r="W383" s="47">
        <f>IF(OR($A383="",NOT(ISNUMBER($P383))),"",INT($P383-TODAY()))</f>
        <v/>
      </c>
      <c r="X383" s="47" t="n"/>
    </row>
    <row r="384">
      <c r="A384" s="50" t="n"/>
      <c r="B384" s="47" t="n"/>
      <c r="C384" s="47" t="n"/>
      <c r="D384" s="50" t="n"/>
      <c r="E384" s="50" t="n"/>
      <c r="F384" s="48" t="n"/>
      <c r="G384" s="47" t="n"/>
      <c r="H384" s="47" t="n"/>
      <c r="I384" s="47" t="n"/>
      <c r="J384" s="47" t="n"/>
      <c r="K384" s="47" t="n"/>
      <c r="L384" s="47" t="n"/>
      <c r="M384" s="50" t="n"/>
      <c r="N384" s="50" t="n"/>
      <c r="O384" s="50" t="n"/>
      <c r="P384" s="48">
        <f>IF($F384="","",IF($J384="Yes",$F384+1,IF($G384="No",$F384+2,IF(N($I384)&gt;2,$F384+3,IF(N($I384)&gt;0,$F384+5,$F384+7)))))</f>
        <v/>
      </c>
      <c r="Q384" s="48">
        <f>IF($P384="","",IF($J384="Yes",$P384+3,IF($G384="No",$P384+5,IF(N($I384)&gt;0,$P384+7,$P384+14))))</f>
        <v/>
      </c>
      <c r="R384" s="48">
        <f>IF($Q384="","",IF($J384="Yes",$Q384+7,IF($G384="No",$Q384+14,$Q384+30)))</f>
        <v/>
      </c>
      <c r="S384" s="47" t="n"/>
      <c r="T384" s="50" t="n"/>
      <c r="U384" s="47">
        <f>IF($F384="","",MIN(24,MAX(1,ROUNDUP(($F384-DayPlan!$C$2+1)/7,0))))</f>
        <v/>
      </c>
      <c r="V384" s="47">
        <f>IF($A384=""," ",4*($J384="Yes")+3*($G384="No")+2*(N($I384)&gt;0)+1*(AND(ISNUMBER($H384),$H384&gt;45))+3*(AND(ISNUMBER($P384),$P384&lt;=TODAY()))-6*($S384="Yes")+(750-ROW())/100000)</f>
        <v/>
      </c>
      <c r="W384" s="47">
        <f>IF(OR($A384="",NOT(ISNUMBER($P384))),"",INT($P384-TODAY()))</f>
        <v/>
      </c>
      <c r="X384" s="47" t="n"/>
    </row>
    <row r="385">
      <c r="A385" s="50" t="n"/>
      <c r="B385" s="47" t="n"/>
      <c r="C385" s="47" t="n"/>
      <c r="D385" s="50" t="n"/>
      <c r="E385" s="50" t="n"/>
      <c r="F385" s="48" t="n"/>
      <c r="G385" s="47" t="n"/>
      <c r="H385" s="47" t="n"/>
      <c r="I385" s="47" t="n"/>
      <c r="J385" s="47" t="n"/>
      <c r="K385" s="47" t="n"/>
      <c r="L385" s="47" t="n"/>
      <c r="M385" s="50" t="n"/>
      <c r="N385" s="50" t="n"/>
      <c r="O385" s="50" t="n"/>
      <c r="P385" s="48">
        <f>IF($F385="","",IF($J385="Yes",$F385+1,IF($G385="No",$F385+2,IF(N($I385)&gt;2,$F385+3,IF(N($I385)&gt;0,$F385+5,$F385+7)))))</f>
        <v/>
      </c>
      <c r="Q385" s="48">
        <f>IF($P385="","",IF($J385="Yes",$P385+3,IF($G385="No",$P385+5,IF(N($I385)&gt;0,$P385+7,$P385+14))))</f>
        <v/>
      </c>
      <c r="R385" s="48">
        <f>IF($Q385="","",IF($J385="Yes",$Q385+7,IF($G385="No",$Q385+14,$Q385+30)))</f>
        <v/>
      </c>
      <c r="S385" s="47" t="n"/>
      <c r="T385" s="50" t="n"/>
      <c r="U385" s="47">
        <f>IF($F385="","",MIN(24,MAX(1,ROUNDUP(($F385-DayPlan!$C$2+1)/7,0))))</f>
        <v/>
      </c>
      <c r="V385" s="47">
        <f>IF($A385=""," ",4*($J385="Yes")+3*($G385="No")+2*(N($I385)&gt;0)+1*(AND(ISNUMBER($H385),$H385&gt;45))+3*(AND(ISNUMBER($P385),$P385&lt;=TODAY()))-6*($S385="Yes")+(750-ROW())/100000)</f>
        <v/>
      </c>
      <c r="W385" s="47">
        <f>IF(OR($A385="",NOT(ISNUMBER($P385))),"",INT($P385-TODAY()))</f>
        <v/>
      </c>
      <c r="X385" s="47" t="n"/>
    </row>
    <row r="386">
      <c r="A386" s="50" t="n"/>
      <c r="B386" s="47" t="n"/>
      <c r="C386" s="47" t="n"/>
      <c r="D386" s="50" t="n"/>
      <c r="E386" s="50" t="n"/>
      <c r="F386" s="48" t="n"/>
      <c r="G386" s="47" t="n"/>
      <c r="H386" s="47" t="n"/>
      <c r="I386" s="47" t="n"/>
      <c r="J386" s="47" t="n"/>
      <c r="K386" s="47" t="n"/>
      <c r="L386" s="47" t="n"/>
      <c r="M386" s="50" t="n"/>
      <c r="N386" s="50" t="n"/>
      <c r="O386" s="50" t="n"/>
      <c r="P386" s="48">
        <f>IF($F386="","",IF($J386="Yes",$F386+1,IF($G386="No",$F386+2,IF(N($I386)&gt;2,$F386+3,IF(N($I386)&gt;0,$F386+5,$F386+7)))))</f>
        <v/>
      </c>
      <c r="Q386" s="48">
        <f>IF($P386="","",IF($J386="Yes",$P386+3,IF($G386="No",$P386+5,IF(N($I386)&gt;0,$P386+7,$P386+14))))</f>
        <v/>
      </c>
      <c r="R386" s="48">
        <f>IF($Q386="","",IF($J386="Yes",$Q386+7,IF($G386="No",$Q386+14,$Q386+30)))</f>
        <v/>
      </c>
      <c r="S386" s="47" t="n"/>
      <c r="T386" s="50" t="n"/>
      <c r="U386" s="47">
        <f>IF($F386="","",MIN(24,MAX(1,ROUNDUP(($F386-DayPlan!$C$2+1)/7,0))))</f>
        <v/>
      </c>
      <c r="V386" s="47">
        <f>IF($A386=""," ",4*($J386="Yes")+3*($G386="No")+2*(N($I386)&gt;0)+1*(AND(ISNUMBER($H386),$H386&gt;45))+3*(AND(ISNUMBER($P386),$P386&lt;=TODAY()))-6*($S386="Yes")+(750-ROW())/100000)</f>
        <v/>
      </c>
      <c r="W386" s="47">
        <f>IF(OR($A386="",NOT(ISNUMBER($P386))),"",INT($P386-TODAY()))</f>
        <v/>
      </c>
      <c r="X386" s="47" t="n"/>
    </row>
    <row r="387">
      <c r="A387" s="50" t="n"/>
      <c r="B387" s="47" t="n"/>
      <c r="C387" s="47" t="n"/>
      <c r="D387" s="50" t="n"/>
      <c r="E387" s="50" t="n"/>
      <c r="F387" s="48" t="n"/>
      <c r="G387" s="47" t="n"/>
      <c r="H387" s="47" t="n"/>
      <c r="I387" s="47" t="n"/>
      <c r="J387" s="47" t="n"/>
      <c r="K387" s="47" t="n"/>
      <c r="L387" s="47" t="n"/>
      <c r="M387" s="50" t="n"/>
      <c r="N387" s="50" t="n"/>
      <c r="O387" s="50" t="n"/>
      <c r="P387" s="48">
        <f>IF($F387="","",IF($J387="Yes",$F387+1,IF($G387="No",$F387+2,IF(N($I387)&gt;2,$F387+3,IF(N($I387)&gt;0,$F387+5,$F387+7)))))</f>
        <v/>
      </c>
      <c r="Q387" s="48">
        <f>IF($P387="","",IF($J387="Yes",$P387+3,IF($G387="No",$P387+5,IF(N($I387)&gt;0,$P387+7,$P387+14))))</f>
        <v/>
      </c>
      <c r="R387" s="48">
        <f>IF($Q387="","",IF($J387="Yes",$Q387+7,IF($G387="No",$Q387+14,$Q387+30)))</f>
        <v/>
      </c>
      <c r="S387" s="47" t="n"/>
      <c r="T387" s="50" t="n"/>
      <c r="U387" s="47">
        <f>IF($F387="","",MIN(24,MAX(1,ROUNDUP(($F387-DayPlan!$C$2+1)/7,0))))</f>
        <v/>
      </c>
      <c r="V387" s="47">
        <f>IF($A387=""," ",4*($J387="Yes")+3*($G387="No")+2*(N($I387)&gt;0)+1*(AND(ISNUMBER($H387),$H387&gt;45))+3*(AND(ISNUMBER($P387),$P387&lt;=TODAY()))-6*($S387="Yes")+(750-ROW())/100000)</f>
        <v/>
      </c>
      <c r="W387" s="47">
        <f>IF(OR($A387="",NOT(ISNUMBER($P387))),"",INT($P387-TODAY()))</f>
        <v/>
      </c>
      <c r="X387" s="47" t="n"/>
    </row>
    <row r="388">
      <c r="A388" s="50" t="n"/>
      <c r="B388" s="47" t="n"/>
      <c r="C388" s="47" t="n"/>
      <c r="D388" s="50" t="n"/>
      <c r="E388" s="50" t="n"/>
      <c r="F388" s="48" t="n"/>
      <c r="G388" s="47" t="n"/>
      <c r="H388" s="47" t="n"/>
      <c r="I388" s="47" t="n"/>
      <c r="J388" s="47" t="n"/>
      <c r="K388" s="47" t="n"/>
      <c r="L388" s="47" t="n"/>
      <c r="M388" s="50" t="n"/>
      <c r="N388" s="50" t="n"/>
      <c r="O388" s="50" t="n"/>
      <c r="P388" s="48">
        <f>IF($F388="","",IF($J388="Yes",$F388+1,IF($G388="No",$F388+2,IF(N($I388)&gt;2,$F388+3,IF(N($I388)&gt;0,$F388+5,$F388+7)))))</f>
        <v/>
      </c>
      <c r="Q388" s="48">
        <f>IF($P388="","",IF($J388="Yes",$P388+3,IF($G388="No",$P388+5,IF(N($I388)&gt;0,$P388+7,$P388+14))))</f>
        <v/>
      </c>
      <c r="R388" s="48">
        <f>IF($Q388="","",IF($J388="Yes",$Q388+7,IF($G388="No",$Q388+14,$Q388+30)))</f>
        <v/>
      </c>
      <c r="S388" s="47" t="n"/>
      <c r="T388" s="50" t="n"/>
      <c r="U388" s="47">
        <f>IF($F388="","",MIN(24,MAX(1,ROUNDUP(($F388-DayPlan!$C$2+1)/7,0))))</f>
        <v/>
      </c>
      <c r="V388" s="47">
        <f>IF($A388=""," ",4*($J388="Yes")+3*($G388="No")+2*(N($I388)&gt;0)+1*(AND(ISNUMBER($H388),$H388&gt;45))+3*(AND(ISNUMBER($P388),$P388&lt;=TODAY()))-6*($S388="Yes")+(750-ROW())/100000)</f>
        <v/>
      </c>
      <c r="W388" s="47">
        <f>IF(OR($A388="",NOT(ISNUMBER($P388))),"",INT($P388-TODAY()))</f>
        <v/>
      </c>
      <c r="X388" s="47" t="n"/>
    </row>
    <row r="389">
      <c r="A389" s="50" t="n"/>
      <c r="B389" s="47" t="n"/>
      <c r="C389" s="47" t="n"/>
      <c r="D389" s="50" t="n"/>
      <c r="E389" s="50" t="n"/>
      <c r="F389" s="48" t="n"/>
      <c r="G389" s="47" t="n"/>
      <c r="H389" s="47" t="n"/>
      <c r="I389" s="47" t="n"/>
      <c r="J389" s="47" t="n"/>
      <c r="K389" s="47" t="n"/>
      <c r="L389" s="47" t="n"/>
      <c r="M389" s="50" t="n"/>
      <c r="N389" s="50" t="n"/>
      <c r="O389" s="50" t="n"/>
      <c r="P389" s="48">
        <f>IF($F389="","",IF($J389="Yes",$F389+1,IF($G389="No",$F389+2,IF(N($I389)&gt;2,$F389+3,IF(N($I389)&gt;0,$F389+5,$F389+7)))))</f>
        <v/>
      </c>
      <c r="Q389" s="48">
        <f>IF($P389="","",IF($J389="Yes",$P389+3,IF($G389="No",$P389+5,IF(N($I389)&gt;0,$P389+7,$P389+14))))</f>
        <v/>
      </c>
      <c r="R389" s="48">
        <f>IF($Q389="","",IF($J389="Yes",$Q389+7,IF($G389="No",$Q389+14,$Q389+30)))</f>
        <v/>
      </c>
      <c r="S389" s="47" t="n"/>
      <c r="T389" s="50" t="n"/>
      <c r="U389" s="47">
        <f>IF($F389="","",MIN(24,MAX(1,ROUNDUP(($F389-DayPlan!$C$2+1)/7,0))))</f>
        <v/>
      </c>
      <c r="V389" s="47">
        <f>IF($A389=""," ",4*($J389="Yes")+3*($G389="No")+2*(N($I389)&gt;0)+1*(AND(ISNUMBER($H389),$H389&gt;45))+3*(AND(ISNUMBER($P389),$P389&lt;=TODAY()))-6*($S389="Yes")+(750-ROW())/100000)</f>
        <v/>
      </c>
      <c r="W389" s="47">
        <f>IF(OR($A389="",NOT(ISNUMBER($P389))),"",INT($P389-TODAY()))</f>
        <v/>
      </c>
      <c r="X389" s="47" t="n"/>
    </row>
    <row r="390">
      <c r="A390" s="50" t="n"/>
      <c r="B390" s="47" t="n"/>
      <c r="C390" s="47" t="n"/>
      <c r="D390" s="50" t="n"/>
      <c r="E390" s="50" t="n"/>
      <c r="F390" s="48" t="n"/>
      <c r="G390" s="47" t="n"/>
      <c r="H390" s="47" t="n"/>
      <c r="I390" s="47" t="n"/>
      <c r="J390" s="47" t="n"/>
      <c r="K390" s="47" t="n"/>
      <c r="L390" s="47" t="n"/>
      <c r="M390" s="50" t="n"/>
      <c r="N390" s="50" t="n"/>
      <c r="O390" s="50" t="n"/>
      <c r="P390" s="48">
        <f>IF($F390="","",IF($J390="Yes",$F390+1,IF($G390="No",$F390+2,IF(N($I390)&gt;2,$F390+3,IF(N($I390)&gt;0,$F390+5,$F390+7)))))</f>
        <v/>
      </c>
      <c r="Q390" s="48">
        <f>IF($P390="","",IF($J390="Yes",$P390+3,IF($G390="No",$P390+5,IF(N($I390)&gt;0,$P390+7,$P390+14))))</f>
        <v/>
      </c>
      <c r="R390" s="48">
        <f>IF($Q390="","",IF($J390="Yes",$Q390+7,IF($G390="No",$Q390+14,$Q390+30)))</f>
        <v/>
      </c>
      <c r="S390" s="47" t="n"/>
      <c r="T390" s="50" t="n"/>
      <c r="U390" s="47">
        <f>IF($F390="","",MIN(24,MAX(1,ROUNDUP(($F390-DayPlan!$C$2+1)/7,0))))</f>
        <v/>
      </c>
      <c r="V390" s="47">
        <f>IF($A390=""," ",4*($J390="Yes")+3*($G390="No")+2*(N($I390)&gt;0)+1*(AND(ISNUMBER($H390),$H390&gt;45))+3*(AND(ISNUMBER($P390),$P390&lt;=TODAY()))-6*($S390="Yes")+(750-ROW())/100000)</f>
        <v/>
      </c>
      <c r="W390" s="47">
        <f>IF(OR($A390="",NOT(ISNUMBER($P390))),"",INT($P390-TODAY()))</f>
        <v/>
      </c>
      <c r="X390" s="47" t="n"/>
    </row>
    <row r="391">
      <c r="A391" s="50" t="n"/>
      <c r="B391" s="47" t="n"/>
      <c r="C391" s="47" t="n"/>
      <c r="D391" s="50" t="n"/>
      <c r="E391" s="50" t="n"/>
      <c r="F391" s="48" t="n"/>
      <c r="G391" s="47" t="n"/>
      <c r="H391" s="47" t="n"/>
      <c r="I391" s="47" t="n"/>
      <c r="J391" s="47" t="n"/>
      <c r="K391" s="47" t="n"/>
      <c r="L391" s="47" t="n"/>
      <c r="M391" s="50" t="n"/>
      <c r="N391" s="50" t="n"/>
      <c r="O391" s="50" t="n"/>
      <c r="P391" s="48">
        <f>IF($F391="","",IF($J391="Yes",$F391+1,IF($G391="No",$F391+2,IF(N($I391)&gt;2,$F391+3,IF(N($I391)&gt;0,$F391+5,$F391+7)))))</f>
        <v/>
      </c>
      <c r="Q391" s="48">
        <f>IF($P391="","",IF($J391="Yes",$P391+3,IF($G391="No",$P391+5,IF(N($I391)&gt;0,$P391+7,$P391+14))))</f>
        <v/>
      </c>
      <c r="R391" s="48">
        <f>IF($Q391="","",IF($J391="Yes",$Q391+7,IF($G391="No",$Q391+14,$Q391+30)))</f>
        <v/>
      </c>
      <c r="S391" s="47" t="n"/>
      <c r="T391" s="50" t="n"/>
      <c r="U391" s="47">
        <f>IF($F391="","",MIN(24,MAX(1,ROUNDUP(($F391-DayPlan!$C$2+1)/7,0))))</f>
        <v/>
      </c>
      <c r="V391" s="47">
        <f>IF($A391=""," ",4*($J391="Yes")+3*($G391="No")+2*(N($I391)&gt;0)+1*(AND(ISNUMBER($H391),$H391&gt;45))+3*(AND(ISNUMBER($P391),$P391&lt;=TODAY()))-6*($S391="Yes")+(750-ROW())/100000)</f>
        <v/>
      </c>
      <c r="W391" s="47">
        <f>IF(OR($A391="",NOT(ISNUMBER($P391))),"",INT($P391-TODAY()))</f>
        <v/>
      </c>
      <c r="X391" s="47" t="n"/>
    </row>
    <row r="392">
      <c r="A392" s="50" t="n"/>
      <c r="B392" s="47" t="n"/>
      <c r="C392" s="47" t="n"/>
      <c r="D392" s="50" t="n"/>
      <c r="E392" s="50" t="n"/>
      <c r="F392" s="48" t="n"/>
      <c r="G392" s="47" t="n"/>
      <c r="H392" s="47" t="n"/>
      <c r="I392" s="47" t="n"/>
      <c r="J392" s="47" t="n"/>
      <c r="K392" s="47" t="n"/>
      <c r="L392" s="47" t="n"/>
      <c r="M392" s="50" t="n"/>
      <c r="N392" s="50" t="n"/>
      <c r="O392" s="50" t="n"/>
      <c r="P392" s="48">
        <f>IF($F392="","",IF($J392="Yes",$F392+1,IF($G392="No",$F392+2,IF(N($I392)&gt;2,$F392+3,IF(N($I392)&gt;0,$F392+5,$F392+7)))))</f>
        <v/>
      </c>
      <c r="Q392" s="48">
        <f>IF($P392="","",IF($J392="Yes",$P392+3,IF($G392="No",$P392+5,IF(N($I392)&gt;0,$P392+7,$P392+14))))</f>
        <v/>
      </c>
      <c r="R392" s="48">
        <f>IF($Q392="","",IF($J392="Yes",$Q392+7,IF($G392="No",$Q392+14,$Q392+30)))</f>
        <v/>
      </c>
      <c r="S392" s="47" t="n"/>
      <c r="T392" s="50" t="n"/>
      <c r="U392" s="47">
        <f>IF($F392="","",MIN(24,MAX(1,ROUNDUP(($F392-DayPlan!$C$2+1)/7,0))))</f>
        <v/>
      </c>
      <c r="V392" s="47">
        <f>IF($A392=""," ",4*($J392="Yes")+3*($G392="No")+2*(N($I392)&gt;0)+1*(AND(ISNUMBER($H392),$H392&gt;45))+3*(AND(ISNUMBER($P392),$P392&lt;=TODAY()))-6*($S392="Yes")+(750-ROW())/100000)</f>
        <v/>
      </c>
      <c r="W392" s="47">
        <f>IF(OR($A392="",NOT(ISNUMBER($P392))),"",INT($P392-TODAY()))</f>
        <v/>
      </c>
      <c r="X392" s="47" t="n"/>
    </row>
    <row r="393">
      <c r="A393" s="50" t="n"/>
      <c r="B393" s="47" t="n"/>
      <c r="C393" s="47" t="n"/>
      <c r="D393" s="50" t="n"/>
      <c r="E393" s="50" t="n"/>
      <c r="F393" s="48" t="n"/>
      <c r="G393" s="47" t="n"/>
      <c r="H393" s="47" t="n"/>
      <c r="I393" s="47" t="n"/>
      <c r="J393" s="47" t="n"/>
      <c r="K393" s="47" t="n"/>
      <c r="L393" s="47" t="n"/>
      <c r="M393" s="50" t="n"/>
      <c r="N393" s="50" t="n"/>
      <c r="O393" s="50" t="n"/>
      <c r="P393" s="48">
        <f>IF($F393="","",IF($J393="Yes",$F393+1,IF($G393="No",$F393+2,IF(N($I393)&gt;2,$F393+3,IF(N($I393)&gt;0,$F393+5,$F393+7)))))</f>
        <v/>
      </c>
      <c r="Q393" s="48">
        <f>IF($P393="","",IF($J393="Yes",$P393+3,IF($G393="No",$P393+5,IF(N($I393)&gt;0,$P393+7,$P393+14))))</f>
        <v/>
      </c>
      <c r="R393" s="48">
        <f>IF($Q393="","",IF($J393="Yes",$Q393+7,IF($G393="No",$Q393+14,$Q393+30)))</f>
        <v/>
      </c>
      <c r="S393" s="47" t="n"/>
      <c r="T393" s="50" t="n"/>
      <c r="U393" s="47">
        <f>IF($F393="","",MIN(24,MAX(1,ROUNDUP(($F393-DayPlan!$C$2+1)/7,0))))</f>
        <v/>
      </c>
      <c r="V393" s="47">
        <f>IF($A393=""," ",4*($J393="Yes")+3*($G393="No")+2*(N($I393)&gt;0)+1*(AND(ISNUMBER($H393),$H393&gt;45))+3*(AND(ISNUMBER($P393),$P393&lt;=TODAY()))-6*($S393="Yes")+(750-ROW())/100000)</f>
        <v/>
      </c>
      <c r="W393" s="47">
        <f>IF(OR($A393="",NOT(ISNUMBER($P393))),"",INT($P393-TODAY()))</f>
        <v/>
      </c>
      <c r="X393" s="47" t="n"/>
    </row>
    <row r="394">
      <c r="A394" s="50" t="n"/>
      <c r="B394" s="47" t="n"/>
      <c r="C394" s="47" t="n"/>
      <c r="D394" s="50" t="n"/>
      <c r="E394" s="50" t="n"/>
      <c r="F394" s="48" t="n"/>
      <c r="G394" s="47" t="n"/>
      <c r="H394" s="47" t="n"/>
      <c r="I394" s="47" t="n"/>
      <c r="J394" s="47" t="n"/>
      <c r="K394" s="47" t="n"/>
      <c r="L394" s="47" t="n"/>
      <c r="M394" s="50" t="n"/>
      <c r="N394" s="50" t="n"/>
      <c r="O394" s="50" t="n"/>
      <c r="P394" s="48">
        <f>IF($F394="","",IF($J394="Yes",$F394+1,IF($G394="No",$F394+2,IF(N($I394)&gt;2,$F394+3,IF(N($I394)&gt;0,$F394+5,$F394+7)))))</f>
        <v/>
      </c>
      <c r="Q394" s="48">
        <f>IF($P394="","",IF($J394="Yes",$P394+3,IF($G394="No",$P394+5,IF(N($I394)&gt;0,$P394+7,$P394+14))))</f>
        <v/>
      </c>
      <c r="R394" s="48">
        <f>IF($Q394="","",IF($J394="Yes",$Q394+7,IF($G394="No",$Q394+14,$Q394+30)))</f>
        <v/>
      </c>
      <c r="S394" s="47" t="n"/>
      <c r="T394" s="50" t="n"/>
      <c r="U394" s="47">
        <f>IF($F394="","",MIN(24,MAX(1,ROUNDUP(($F394-DayPlan!$C$2+1)/7,0))))</f>
        <v/>
      </c>
      <c r="V394" s="47">
        <f>IF($A394=""," ",4*($J394="Yes")+3*($G394="No")+2*(N($I394)&gt;0)+1*(AND(ISNUMBER($H394),$H394&gt;45))+3*(AND(ISNUMBER($P394),$P394&lt;=TODAY()))-6*($S394="Yes")+(750-ROW())/100000)</f>
        <v/>
      </c>
      <c r="W394" s="47">
        <f>IF(OR($A394="",NOT(ISNUMBER($P394))),"",INT($P394-TODAY()))</f>
        <v/>
      </c>
      <c r="X394" s="47" t="n"/>
    </row>
    <row r="395">
      <c r="A395" s="50" t="n"/>
      <c r="B395" s="47" t="n"/>
      <c r="C395" s="47" t="n"/>
      <c r="D395" s="50" t="n"/>
      <c r="E395" s="50" t="n"/>
      <c r="F395" s="48" t="n"/>
      <c r="G395" s="47" t="n"/>
      <c r="H395" s="47" t="n"/>
      <c r="I395" s="47" t="n"/>
      <c r="J395" s="47" t="n"/>
      <c r="K395" s="47" t="n"/>
      <c r="L395" s="47" t="n"/>
      <c r="M395" s="50" t="n"/>
      <c r="N395" s="50" t="n"/>
      <c r="O395" s="50" t="n"/>
      <c r="P395" s="48">
        <f>IF($F395="","",IF($J395="Yes",$F395+1,IF($G395="No",$F395+2,IF(N($I395)&gt;2,$F395+3,IF(N($I395)&gt;0,$F395+5,$F395+7)))))</f>
        <v/>
      </c>
      <c r="Q395" s="48">
        <f>IF($P395="","",IF($J395="Yes",$P395+3,IF($G395="No",$P395+5,IF(N($I395)&gt;0,$P395+7,$P395+14))))</f>
        <v/>
      </c>
      <c r="R395" s="48">
        <f>IF($Q395="","",IF($J395="Yes",$Q395+7,IF($G395="No",$Q395+14,$Q395+30)))</f>
        <v/>
      </c>
      <c r="S395" s="47" t="n"/>
      <c r="T395" s="50" t="n"/>
      <c r="U395" s="47">
        <f>IF($F395="","",MIN(24,MAX(1,ROUNDUP(($F395-DayPlan!$C$2+1)/7,0))))</f>
        <v/>
      </c>
      <c r="V395" s="47">
        <f>IF($A395=""," ",4*($J395="Yes")+3*($G395="No")+2*(N($I395)&gt;0)+1*(AND(ISNUMBER($H395),$H395&gt;45))+3*(AND(ISNUMBER($P395),$P395&lt;=TODAY()))-6*($S395="Yes")+(750-ROW())/100000)</f>
        <v/>
      </c>
      <c r="W395" s="47">
        <f>IF(OR($A395="",NOT(ISNUMBER($P395))),"",INT($P395-TODAY()))</f>
        <v/>
      </c>
      <c r="X395" s="47" t="n"/>
    </row>
    <row r="396">
      <c r="A396" s="50" t="n"/>
      <c r="B396" s="47" t="n"/>
      <c r="C396" s="47" t="n"/>
      <c r="D396" s="50" t="n"/>
      <c r="E396" s="50" t="n"/>
      <c r="F396" s="48" t="n"/>
      <c r="G396" s="47" t="n"/>
      <c r="H396" s="47" t="n"/>
      <c r="I396" s="47" t="n"/>
      <c r="J396" s="47" t="n"/>
      <c r="K396" s="47" t="n"/>
      <c r="L396" s="47" t="n"/>
      <c r="M396" s="50" t="n"/>
      <c r="N396" s="50" t="n"/>
      <c r="O396" s="50" t="n"/>
      <c r="P396" s="48">
        <f>IF($F396="","",IF($J396="Yes",$F396+1,IF($G396="No",$F396+2,IF(N($I396)&gt;2,$F396+3,IF(N($I396)&gt;0,$F396+5,$F396+7)))))</f>
        <v/>
      </c>
      <c r="Q396" s="48">
        <f>IF($P396="","",IF($J396="Yes",$P396+3,IF($G396="No",$P396+5,IF(N($I396)&gt;0,$P396+7,$P396+14))))</f>
        <v/>
      </c>
      <c r="R396" s="48">
        <f>IF($Q396="","",IF($J396="Yes",$Q396+7,IF($G396="No",$Q396+14,$Q396+30)))</f>
        <v/>
      </c>
      <c r="S396" s="47" t="n"/>
      <c r="T396" s="50" t="n"/>
      <c r="U396" s="47">
        <f>IF($F396="","",MIN(24,MAX(1,ROUNDUP(($F396-DayPlan!$C$2+1)/7,0))))</f>
        <v/>
      </c>
      <c r="V396" s="47">
        <f>IF($A396=""," ",4*($J396="Yes")+3*($G396="No")+2*(N($I396)&gt;0)+1*(AND(ISNUMBER($H396),$H396&gt;45))+3*(AND(ISNUMBER($P396),$P396&lt;=TODAY()))-6*($S396="Yes")+(750-ROW())/100000)</f>
        <v/>
      </c>
      <c r="W396" s="47">
        <f>IF(OR($A396="",NOT(ISNUMBER($P396))),"",INT($P396-TODAY()))</f>
        <v/>
      </c>
      <c r="X396" s="47" t="n"/>
    </row>
    <row r="397">
      <c r="A397" s="50" t="n"/>
      <c r="B397" s="47" t="n"/>
      <c r="C397" s="47" t="n"/>
      <c r="D397" s="50" t="n"/>
      <c r="E397" s="50" t="n"/>
      <c r="F397" s="48" t="n"/>
      <c r="G397" s="47" t="n"/>
      <c r="H397" s="47" t="n"/>
      <c r="I397" s="47" t="n"/>
      <c r="J397" s="47" t="n"/>
      <c r="K397" s="47" t="n"/>
      <c r="L397" s="47" t="n"/>
      <c r="M397" s="50" t="n"/>
      <c r="N397" s="50" t="n"/>
      <c r="O397" s="50" t="n"/>
      <c r="P397" s="48">
        <f>IF($F397="","",IF($J397="Yes",$F397+1,IF($G397="No",$F397+2,IF(N($I397)&gt;2,$F397+3,IF(N($I397)&gt;0,$F397+5,$F397+7)))))</f>
        <v/>
      </c>
      <c r="Q397" s="48">
        <f>IF($P397="","",IF($J397="Yes",$P397+3,IF($G397="No",$P397+5,IF(N($I397)&gt;0,$P397+7,$P397+14))))</f>
        <v/>
      </c>
      <c r="R397" s="48">
        <f>IF($Q397="","",IF($J397="Yes",$Q397+7,IF($G397="No",$Q397+14,$Q397+30)))</f>
        <v/>
      </c>
      <c r="S397" s="47" t="n"/>
      <c r="T397" s="50" t="n"/>
      <c r="U397" s="47">
        <f>IF($F397="","",MIN(24,MAX(1,ROUNDUP(($F397-DayPlan!$C$2+1)/7,0))))</f>
        <v/>
      </c>
      <c r="V397" s="47">
        <f>IF($A397=""," ",4*($J397="Yes")+3*($G397="No")+2*(N($I397)&gt;0)+1*(AND(ISNUMBER($H397),$H397&gt;45))+3*(AND(ISNUMBER($P397),$P397&lt;=TODAY()))-6*($S397="Yes")+(750-ROW())/100000)</f>
        <v/>
      </c>
      <c r="W397" s="47">
        <f>IF(OR($A397="",NOT(ISNUMBER($P397))),"",INT($P397-TODAY()))</f>
        <v/>
      </c>
      <c r="X397" s="47" t="n"/>
    </row>
    <row r="398">
      <c r="A398" s="50" t="n"/>
      <c r="B398" s="47" t="n"/>
      <c r="C398" s="47" t="n"/>
      <c r="D398" s="50" t="n"/>
      <c r="E398" s="50" t="n"/>
      <c r="F398" s="48" t="n"/>
      <c r="G398" s="47" t="n"/>
      <c r="H398" s="47" t="n"/>
      <c r="I398" s="47" t="n"/>
      <c r="J398" s="47" t="n"/>
      <c r="K398" s="47" t="n"/>
      <c r="L398" s="47" t="n"/>
      <c r="M398" s="50" t="n"/>
      <c r="N398" s="50" t="n"/>
      <c r="O398" s="50" t="n"/>
      <c r="P398" s="48">
        <f>IF($F398="","",IF($J398="Yes",$F398+1,IF($G398="No",$F398+2,IF(N($I398)&gt;2,$F398+3,IF(N($I398)&gt;0,$F398+5,$F398+7)))))</f>
        <v/>
      </c>
      <c r="Q398" s="48">
        <f>IF($P398="","",IF($J398="Yes",$P398+3,IF($G398="No",$P398+5,IF(N($I398)&gt;0,$P398+7,$P398+14))))</f>
        <v/>
      </c>
      <c r="R398" s="48">
        <f>IF($Q398="","",IF($J398="Yes",$Q398+7,IF($G398="No",$Q398+14,$Q398+30)))</f>
        <v/>
      </c>
      <c r="S398" s="47" t="n"/>
      <c r="T398" s="50" t="n"/>
      <c r="U398" s="47">
        <f>IF($F398="","",MIN(24,MAX(1,ROUNDUP(($F398-DayPlan!$C$2+1)/7,0))))</f>
        <v/>
      </c>
      <c r="V398" s="47">
        <f>IF($A398=""," ",4*($J398="Yes")+3*($G398="No")+2*(N($I398)&gt;0)+1*(AND(ISNUMBER($H398),$H398&gt;45))+3*(AND(ISNUMBER($P398),$P398&lt;=TODAY()))-6*($S398="Yes")+(750-ROW())/100000)</f>
        <v/>
      </c>
      <c r="W398" s="47">
        <f>IF(OR($A398="",NOT(ISNUMBER($P398))),"",INT($P398-TODAY()))</f>
        <v/>
      </c>
      <c r="X398" s="47" t="n"/>
    </row>
    <row r="399">
      <c r="A399" s="50" t="n"/>
      <c r="B399" s="47" t="n"/>
      <c r="C399" s="47" t="n"/>
      <c r="D399" s="50" t="n"/>
      <c r="E399" s="50" t="n"/>
      <c r="F399" s="48" t="n"/>
      <c r="G399" s="47" t="n"/>
      <c r="H399" s="47" t="n"/>
      <c r="I399" s="47" t="n"/>
      <c r="J399" s="47" t="n"/>
      <c r="K399" s="47" t="n"/>
      <c r="L399" s="47" t="n"/>
      <c r="M399" s="50" t="n"/>
      <c r="N399" s="50" t="n"/>
      <c r="O399" s="50" t="n"/>
      <c r="P399" s="48">
        <f>IF($F399="","",IF($J399="Yes",$F399+1,IF($G399="No",$F399+2,IF(N($I399)&gt;2,$F399+3,IF(N($I399)&gt;0,$F399+5,$F399+7)))))</f>
        <v/>
      </c>
      <c r="Q399" s="48">
        <f>IF($P399="","",IF($J399="Yes",$P399+3,IF($G399="No",$P399+5,IF(N($I399)&gt;0,$P399+7,$P399+14))))</f>
        <v/>
      </c>
      <c r="R399" s="48">
        <f>IF($Q399="","",IF($J399="Yes",$Q399+7,IF($G399="No",$Q399+14,$Q399+30)))</f>
        <v/>
      </c>
      <c r="S399" s="47" t="n"/>
      <c r="T399" s="50" t="n"/>
      <c r="U399" s="47">
        <f>IF($F399="","",MIN(24,MAX(1,ROUNDUP(($F399-DayPlan!$C$2+1)/7,0))))</f>
        <v/>
      </c>
      <c r="V399" s="47">
        <f>IF($A399=""," ",4*($J399="Yes")+3*($G399="No")+2*(N($I399)&gt;0)+1*(AND(ISNUMBER($H399),$H399&gt;45))+3*(AND(ISNUMBER($P399),$P399&lt;=TODAY()))-6*($S399="Yes")+(750-ROW())/100000)</f>
        <v/>
      </c>
      <c r="W399" s="47">
        <f>IF(OR($A399="",NOT(ISNUMBER($P399))),"",INT($P399-TODAY()))</f>
        <v/>
      </c>
      <c r="X399" s="47" t="n"/>
    </row>
    <row r="400">
      <c r="A400" s="50" t="n"/>
      <c r="B400" s="47" t="n"/>
      <c r="C400" s="47" t="n"/>
      <c r="D400" s="50" t="n"/>
      <c r="E400" s="50" t="n"/>
      <c r="F400" s="48" t="n"/>
      <c r="G400" s="47" t="n"/>
      <c r="H400" s="47" t="n"/>
      <c r="I400" s="47" t="n"/>
      <c r="J400" s="47" t="n"/>
      <c r="K400" s="47" t="n"/>
      <c r="L400" s="47" t="n"/>
      <c r="M400" s="50" t="n"/>
      <c r="N400" s="50" t="n"/>
      <c r="O400" s="50" t="n"/>
      <c r="P400" s="48">
        <f>IF($F400="","",IF($J400="Yes",$F400+1,IF($G400="No",$F400+2,IF(N($I400)&gt;2,$F400+3,IF(N($I400)&gt;0,$F400+5,$F400+7)))))</f>
        <v/>
      </c>
      <c r="Q400" s="48">
        <f>IF($P400="","",IF($J400="Yes",$P400+3,IF($G400="No",$P400+5,IF(N($I400)&gt;0,$P400+7,$P400+14))))</f>
        <v/>
      </c>
      <c r="R400" s="48">
        <f>IF($Q400="","",IF($J400="Yes",$Q400+7,IF($G400="No",$Q400+14,$Q400+30)))</f>
        <v/>
      </c>
      <c r="S400" s="47" t="n"/>
      <c r="T400" s="50" t="n"/>
      <c r="U400" s="47">
        <f>IF($F400="","",MIN(24,MAX(1,ROUNDUP(($F400-DayPlan!$C$2+1)/7,0))))</f>
        <v/>
      </c>
      <c r="V400" s="47">
        <f>IF($A400=""," ",4*($J400="Yes")+3*($G400="No")+2*(N($I400)&gt;0)+1*(AND(ISNUMBER($H400),$H400&gt;45))+3*(AND(ISNUMBER($P400),$P400&lt;=TODAY()))-6*($S400="Yes")+(750-ROW())/100000)</f>
        <v/>
      </c>
      <c r="W400" s="47">
        <f>IF(OR($A400="",NOT(ISNUMBER($P400))),"",INT($P400-TODAY()))</f>
        <v/>
      </c>
      <c r="X400" s="47" t="n"/>
    </row>
    <row r="401">
      <c r="A401" s="50" t="n"/>
      <c r="B401" s="47" t="n"/>
      <c r="C401" s="47" t="n"/>
      <c r="D401" s="50" t="n"/>
      <c r="E401" s="50" t="n"/>
      <c r="F401" s="48" t="n"/>
      <c r="G401" s="47" t="n"/>
      <c r="H401" s="47" t="n"/>
      <c r="I401" s="47" t="n"/>
      <c r="J401" s="47" t="n"/>
      <c r="K401" s="47" t="n"/>
      <c r="L401" s="47" t="n"/>
      <c r="M401" s="50" t="n"/>
      <c r="N401" s="50" t="n"/>
      <c r="O401" s="50" t="n"/>
      <c r="P401" s="48">
        <f>IF($F401="","",IF($J401="Yes",$F401+1,IF($G401="No",$F401+2,IF(N($I401)&gt;2,$F401+3,IF(N($I401)&gt;0,$F401+5,$F401+7)))))</f>
        <v/>
      </c>
      <c r="Q401" s="48">
        <f>IF($P401="","",IF($J401="Yes",$P401+3,IF($G401="No",$P401+5,IF(N($I401)&gt;0,$P401+7,$P401+14))))</f>
        <v/>
      </c>
      <c r="R401" s="48">
        <f>IF($Q401="","",IF($J401="Yes",$Q401+7,IF($G401="No",$Q401+14,$Q401+30)))</f>
        <v/>
      </c>
      <c r="S401" s="47" t="n"/>
      <c r="T401" s="50" t="n"/>
      <c r="U401" s="47">
        <f>IF($F401="","",MIN(24,MAX(1,ROUNDUP(($F401-DayPlan!$C$2+1)/7,0))))</f>
        <v/>
      </c>
      <c r="V401" s="47">
        <f>IF($A401=""," ",4*($J401="Yes")+3*($G401="No")+2*(N($I401)&gt;0)+1*(AND(ISNUMBER($H401),$H401&gt;45))+3*(AND(ISNUMBER($P401),$P401&lt;=TODAY()))-6*($S401="Yes")+(750-ROW())/100000)</f>
        <v/>
      </c>
      <c r="W401" s="47">
        <f>IF(OR($A401="",NOT(ISNUMBER($P401))),"",INT($P401-TODAY()))</f>
        <v/>
      </c>
      <c r="X401" s="47" t="n"/>
    </row>
    <row r="402">
      <c r="A402" s="50" t="n"/>
      <c r="B402" s="47" t="n"/>
      <c r="C402" s="47" t="n"/>
      <c r="D402" s="50" t="n"/>
      <c r="E402" s="50" t="n"/>
      <c r="F402" s="48" t="n"/>
      <c r="G402" s="47" t="n"/>
      <c r="H402" s="47" t="n"/>
      <c r="I402" s="47" t="n"/>
      <c r="J402" s="47" t="n"/>
      <c r="K402" s="47" t="n"/>
      <c r="L402" s="47" t="n"/>
      <c r="M402" s="50" t="n"/>
      <c r="N402" s="50" t="n"/>
      <c r="O402" s="50" t="n"/>
      <c r="P402" s="48">
        <f>IF($F402="","",IF($J402="Yes",$F402+1,IF($G402="No",$F402+2,IF(N($I402)&gt;2,$F402+3,IF(N($I402)&gt;0,$F402+5,$F402+7)))))</f>
        <v/>
      </c>
      <c r="Q402" s="48">
        <f>IF($P402="","",IF($J402="Yes",$P402+3,IF($G402="No",$P402+5,IF(N($I402)&gt;0,$P402+7,$P402+14))))</f>
        <v/>
      </c>
      <c r="R402" s="48">
        <f>IF($Q402="","",IF($J402="Yes",$Q402+7,IF($G402="No",$Q402+14,$Q402+30)))</f>
        <v/>
      </c>
      <c r="S402" s="47" t="n"/>
      <c r="T402" s="50" t="n"/>
      <c r="U402" s="47">
        <f>IF($F402="","",MIN(24,MAX(1,ROUNDUP(($F402-DayPlan!$C$2+1)/7,0))))</f>
        <v/>
      </c>
      <c r="V402" s="47">
        <f>IF($A402=""," ",4*($J402="Yes")+3*($G402="No")+2*(N($I402)&gt;0)+1*(AND(ISNUMBER($H402),$H402&gt;45))+3*(AND(ISNUMBER($P402),$P402&lt;=TODAY()))-6*($S402="Yes")+(750-ROW())/100000)</f>
        <v/>
      </c>
      <c r="W402" s="47">
        <f>IF(OR($A402="",NOT(ISNUMBER($P402))),"",INT($P402-TODAY()))</f>
        <v/>
      </c>
      <c r="X402" s="47" t="n"/>
    </row>
    <row r="403">
      <c r="A403" s="50" t="n"/>
      <c r="B403" s="47" t="n"/>
      <c r="C403" s="47" t="n"/>
      <c r="D403" s="50" t="n"/>
      <c r="E403" s="50" t="n"/>
      <c r="F403" s="48" t="n"/>
      <c r="G403" s="47" t="n"/>
      <c r="H403" s="47" t="n"/>
      <c r="I403" s="47" t="n"/>
      <c r="J403" s="47" t="n"/>
      <c r="K403" s="47" t="n"/>
      <c r="L403" s="47" t="n"/>
      <c r="M403" s="50" t="n"/>
      <c r="N403" s="50" t="n"/>
      <c r="O403" s="50" t="n"/>
      <c r="P403" s="48">
        <f>IF($F403="","",IF($J403="Yes",$F403+1,IF($G403="No",$F403+2,IF(N($I403)&gt;2,$F403+3,IF(N($I403)&gt;0,$F403+5,$F403+7)))))</f>
        <v/>
      </c>
      <c r="Q403" s="48">
        <f>IF($P403="","",IF($J403="Yes",$P403+3,IF($G403="No",$P403+5,IF(N($I403)&gt;0,$P403+7,$P403+14))))</f>
        <v/>
      </c>
      <c r="R403" s="48">
        <f>IF($Q403="","",IF($J403="Yes",$Q403+7,IF($G403="No",$Q403+14,$Q403+30)))</f>
        <v/>
      </c>
      <c r="S403" s="47" t="n"/>
      <c r="T403" s="50" t="n"/>
      <c r="U403" s="47">
        <f>IF($F403="","",MIN(24,MAX(1,ROUNDUP(($F403-DayPlan!$C$2+1)/7,0))))</f>
        <v/>
      </c>
      <c r="V403" s="47">
        <f>IF($A403=""," ",4*($J403="Yes")+3*($G403="No")+2*(N($I403)&gt;0)+1*(AND(ISNUMBER($H403),$H403&gt;45))+3*(AND(ISNUMBER($P403),$P403&lt;=TODAY()))-6*($S403="Yes")+(750-ROW())/100000)</f>
        <v/>
      </c>
      <c r="W403" s="47">
        <f>IF(OR($A403="",NOT(ISNUMBER($P403))),"",INT($P403-TODAY()))</f>
        <v/>
      </c>
      <c r="X403" s="47" t="n"/>
    </row>
    <row r="404">
      <c r="A404" s="50" t="n"/>
      <c r="B404" s="47" t="n"/>
      <c r="C404" s="47" t="n"/>
      <c r="D404" s="50" t="n"/>
      <c r="E404" s="50" t="n"/>
      <c r="F404" s="48" t="n"/>
      <c r="G404" s="47" t="n"/>
      <c r="H404" s="47" t="n"/>
      <c r="I404" s="47" t="n"/>
      <c r="J404" s="47" t="n"/>
      <c r="K404" s="47" t="n"/>
      <c r="L404" s="47" t="n"/>
      <c r="M404" s="50" t="n"/>
      <c r="N404" s="50" t="n"/>
      <c r="O404" s="50" t="n"/>
      <c r="P404" s="48">
        <f>IF($F404="","",IF($J404="Yes",$F404+1,IF($G404="No",$F404+2,IF(N($I404)&gt;2,$F404+3,IF(N($I404)&gt;0,$F404+5,$F404+7)))))</f>
        <v/>
      </c>
      <c r="Q404" s="48">
        <f>IF($P404="","",IF($J404="Yes",$P404+3,IF($G404="No",$P404+5,IF(N($I404)&gt;0,$P404+7,$P404+14))))</f>
        <v/>
      </c>
      <c r="R404" s="48">
        <f>IF($Q404="","",IF($J404="Yes",$Q404+7,IF($G404="No",$Q404+14,$Q404+30)))</f>
        <v/>
      </c>
      <c r="S404" s="47" t="n"/>
      <c r="T404" s="50" t="n"/>
      <c r="U404" s="47">
        <f>IF($F404="","",MIN(24,MAX(1,ROUNDUP(($F404-DayPlan!$C$2+1)/7,0))))</f>
        <v/>
      </c>
      <c r="V404" s="47">
        <f>IF($A404=""," ",4*($J404="Yes")+3*($G404="No")+2*(N($I404)&gt;0)+1*(AND(ISNUMBER($H404),$H404&gt;45))+3*(AND(ISNUMBER($P404),$P404&lt;=TODAY()))-6*($S404="Yes")+(750-ROW())/100000)</f>
        <v/>
      </c>
      <c r="W404" s="47">
        <f>IF(OR($A404="",NOT(ISNUMBER($P404))),"",INT($P404-TODAY()))</f>
        <v/>
      </c>
      <c r="X404" s="47" t="n"/>
    </row>
    <row r="405">
      <c r="A405" s="50" t="n"/>
      <c r="B405" s="47" t="n"/>
      <c r="C405" s="47" t="n"/>
      <c r="D405" s="50" t="n"/>
      <c r="E405" s="50" t="n"/>
      <c r="F405" s="48" t="n"/>
      <c r="G405" s="47" t="n"/>
      <c r="H405" s="47" t="n"/>
      <c r="I405" s="47" t="n"/>
      <c r="J405" s="47" t="n"/>
      <c r="K405" s="47" t="n"/>
      <c r="L405" s="47" t="n"/>
      <c r="M405" s="50" t="n"/>
      <c r="N405" s="50" t="n"/>
      <c r="O405" s="50" t="n"/>
      <c r="P405" s="48">
        <f>IF($F405="","",IF($J405="Yes",$F405+1,IF($G405="No",$F405+2,IF(N($I405)&gt;2,$F405+3,IF(N($I405)&gt;0,$F405+5,$F405+7)))))</f>
        <v/>
      </c>
      <c r="Q405" s="48">
        <f>IF($P405="","",IF($J405="Yes",$P405+3,IF($G405="No",$P405+5,IF(N($I405)&gt;0,$P405+7,$P405+14))))</f>
        <v/>
      </c>
      <c r="R405" s="48">
        <f>IF($Q405="","",IF($J405="Yes",$Q405+7,IF($G405="No",$Q405+14,$Q405+30)))</f>
        <v/>
      </c>
      <c r="S405" s="47" t="n"/>
      <c r="T405" s="50" t="n"/>
      <c r="U405" s="47">
        <f>IF($F405="","",MIN(24,MAX(1,ROUNDUP(($F405-DayPlan!$C$2+1)/7,0))))</f>
        <v/>
      </c>
      <c r="V405" s="47">
        <f>IF($A405=""," ",4*($J405="Yes")+3*($G405="No")+2*(N($I405)&gt;0)+1*(AND(ISNUMBER($H405),$H405&gt;45))+3*(AND(ISNUMBER($P405),$P405&lt;=TODAY()))-6*($S405="Yes")+(750-ROW())/100000)</f>
        <v/>
      </c>
      <c r="W405" s="47">
        <f>IF(OR($A405="",NOT(ISNUMBER($P405))),"",INT($P405-TODAY()))</f>
        <v/>
      </c>
      <c r="X405" s="47" t="n"/>
    </row>
    <row r="406">
      <c r="A406" s="50" t="n"/>
      <c r="B406" s="47" t="n"/>
      <c r="C406" s="47" t="n"/>
      <c r="D406" s="50" t="n"/>
      <c r="E406" s="50" t="n"/>
      <c r="F406" s="48" t="n"/>
      <c r="G406" s="47" t="n"/>
      <c r="H406" s="47" t="n"/>
      <c r="I406" s="47" t="n"/>
      <c r="J406" s="47" t="n"/>
      <c r="K406" s="47" t="n"/>
      <c r="L406" s="47" t="n"/>
      <c r="M406" s="50" t="n"/>
      <c r="N406" s="50" t="n"/>
      <c r="O406" s="50" t="n"/>
      <c r="P406" s="48">
        <f>IF($F406="","",IF($J406="Yes",$F406+1,IF($G406="No",$F406+2,IF(N($I406)&gt;2,$F406+3,IF(N($I406)&gt;0,$F406+5,$F406+7)))))</f>
        <v/>
      </c>
      <c r="Q406" s="48">
        <f>IF($P406="","",IF($J406="Yes",$P406+3,IF($G406="No",$P406+5,IF(N($I406)&gt;0,$P406+7,$P406+14))))</f>
        <v/>
      </c>
      <c r="R406" s="48">
        <f>IF($Q406="","",IF($J406="Yes",$Q406+7,IF($G406="No",$Q406+14,$Q406+30)))</f>
        <v/>
      </c>
      <c r="S406" s="47" t="n"/>
      <c r="T406" s="50" t="n"/>
      <c r="U406" s="47">
        <f>IF($F406="","",MIN(24,MAX(1,ROUNDUP(($F406-DayPlan!$C$2+1)/7,0))))</f>
        <v/>
      </c>
      <c r="V406" s="47">
        <f>IF($A406=""," ",4*($J406="Yes")+3*($G406="No")+2*(N($I406)&gt;0)+1*(AND(ISNUMBER($H406),$H406&gt;45))+3*(AND(ISNUMBER($P406),$P406&lt;=TODAY()))-6*($S406="Yes")+(750-ROW())/100000)</f>
        <v/>
      </c>
      <c r="W406" s="47">
        <f>IF(OR($A406="",NOT(ISNUMBER($P406))),"",INT($P406-TODAY()))</f>
        <v/>
      </c>
      <c r="X406" s="47" t="n"/>
    </row>
    <row r="407">
      <c r="A407" s="50" t="n"/>
      <c r="B407" s="47" t="n"/>
      <c r="C407" s="47" t="n"/>
      <c r="D407" s="50" t="n"/>
      <c r="E407" s="50" t="n"/>
      <c r="F407" s="48" t="n"/>
      <c r="G407" s="47" t="n"/>
      <c r="H407" s="47" t="n"/>
      <c r="I407" s="47" t="n"/>
      <c r="J407" s="47" t="n"/>
      <c r="K407" s="47" t="n"/>
      <c r="L407" s="47" t="n"/>
      <c r="M407" s="50" t="n"/>
      <c r="N407" s="50" t="n"/>
      <c r="O407" s="50" t="n"/>
      <c r="P407" s="48">
        <f>IF($F407="","",IF($J407="Yes",$F407+1,IF($G407="No",$F407+2,IF(N($I407)&gt;2,$F407+3,IF(N($I407)&gt;0,$F407+5,$F407+7)))))</f>
        <v/>
      </c>
      <c r="Q407" s="48">
        <f>IF($P407="","",IF($J407="Yes",$P407+3,IF($G407="No",$P407+5,IF(N($I407)&gt;0,$P407+7,$P407+14))))</f>
        <v/>
      </c>
      <c r="R407" s="48">
        <f>IF($Q407="","",IF($J407="Yes",$Q407+7,IF($G407="No",$Q407+14,$Q407+30)))</f>
        <v/>
      </c>
      <c r="S407" s="47" t="n"/>
      <c r="T407" s="50" t="n"/>
      <c r="U407" s="47">
        <f>IF($F407="","",MIN(24,MAX(1,ROUNDUP(($F407-DayPlan!$C$2+1)/7,0))))</f>
        <v/>
      </c>
      <c r="V407" s="47">
        <f>IF($A407=""," ",4*($J407="Yes")+3*($G407="No")+2*(N($I407)&gt;0)+1*(AND(ISNUMBER($H407),$H407&gt;45))+3*(AND(ISNUMBER($P407),$P407&lt;=TODAY()))-6*($S407="Yes")+(750-ROW())/100000)</f>
        <v/>
      </c>
      <c r="W407" s="47">
        <f>IF(OR($A407="",NOT(ISNUMBER($P407))),"",INT($P407-TODAY()))</f>
        <v/>
      </c>
      <c r="X407" s="47" t="n"/>
    </row>
    <row r="408">
      <c r="A408" s="50" t="n"/>
      <c r="B408" s="47" t="n"/>
      <c r="C408" s="47" t="n"/>
      <c r="D408" s="50" t="n"/>
      <c r="E408" s="50" t="n"/>
      <c r="F408" s="48" t="n"/>
      <c r="G408" s="47" t="n"/>
      <c r="H408" s="47" t="n"/>
      <c r="I408" s="47" t="n"/>
      <c r="J408" s="47" t="n"/>
      <c r="K408" s="47" t="n"/>
      <c r="L408" s="47" t="n"/>
      <c r="M408" s="50" t="n"/>
      <c r="N408" s="50" t="n"/>
      <c r="O408" s="50" t="n"/>
      <c r="P408" s="48">
        <f>IF($F408="","",IF($J408="Yes",$F408+1,IF($G408="No",$F408+2,IF(N($I408)&gt;2,$F408+3,IF(N($I408)&gt;0,$F408+5,$F408+7)))))</f>
        <v/>
      </c>
      <c r="Q408" s="48">
        <f>IF($P408="","",IF($J408="Yes",$P408+3,IF($G408="No",$P408+5,IF(N($I408)&gt;0,$P408+7,$P408+14))))</f>
        <v/>
      </c>
      <c r="R408" s="48">
        <f>IF($Q408="","",IF($J408="Yes",$Q408+7,IF($G408="No",$Q408+14,$Q408+30)))</f>
        <v/>
      </c>
      <c r="S408" s="47" t="n"/>
      <c r="T408" s="50" t="n"/>
      <c r="U408" s="47">
        <f>IF($F408="","",MIN(24,MAX(1,ROUNDUP(($F408-DayPlan!$C$2+1)/7,0))))</f>
        <v/>
      </c>
      <c r="V408" s="47">
        <f>IF($A408=""," ",4*($J408="Yes")+3*($G408="No")+2*(N($I408)&gt;0)+1*(AND(ISNUMBER($H408),$H408&gt;45))+3*(AND(ISNUMBER($P408),$P408&lt;=TODAY()))-6*($S408="Yes")+(750-ROW())/100000)</f>
        <v/>
      </c>
      <c r="W408" s="47">
        <f>IF(OR($A408="",NOT(ISNUMBER($P408))),"",INT($P408-TODAY()))</f>
        <v/>
      </c>
      <c r="X408" s="47" t="n"/>
    </row>
    <row r="409">
      <c r="A409" s="50" t="n"/>
      <c r="B409" s="47" t="n"/>
      <c r="C409" s="47" t="n"/>
      <c r="D409" s="50" t="n"/>
      <c r="E409" s="50" t="n"/>
      <c r="F409" s="48" t="n"/>
      <c r="G409" s="47" t="n"/>
      <c r="H409" s="47" t="n"/>
      <c r="I409" s="47" t="n"/>
      <c r="J409" s="47" t="n"/>
      <c r="K409" s="47" t="n"/>
      <c r="L409" s="47" t="n"/>
      <c r="M409" s="50" t="n"/>
      <c r="N409" s="50" t="n"/>
      <c r="O409" s="50" t="n"/>
      <c r="P409" s="48">
        <f>IF($F409="","",IF($J409="Yes",$F409+1,IF($G409="No",$F409+2,IF(N($I409)&gt;2,$F409+3,IF(N($I409)&gt;0,$F409+5,$F409+7)))))</f>
        <v/>
      </c>
      <c r="Q409" s="48">
        <f>IF($P409="","",IF($J409="Yes",$P409+3,IF($G409="No",$P409+5,IF(N($I409)&gt;0,$P409+7,$P409+14))))</f>
        <v/>
      </c>
      <c r="R409" s="48">
        <f>IF($Q409="","",IF($J409="Yes",$Q409+7,IF($G409="No",$Q409+14,$Q409+30)))</f>
        <v/>
      </c>
      <c r="S409" s="47" t="n"/>
      <c r="T409" s="50" t="n"/>
      <c r="U409" s="47">
        <f>IF($F409="","",MIN(24,MAX(1,ROUNDUP(($F409-DayPlan!$C$2+1)/7,0))))</f>
        <v/>
      </c>
      <c r="V409" s="47">
        <f>IF($A409=""," ",4*($J409="Yes")+3*($G409="No")+2*(N($I409)&gt;0)+1*(AND(ISNUMBER($H409),$H409&gt;45))+3*(AND(ISNUMBER($P409),$P409&lt;=TODAY()))-6*($S409="Yes")+(750-ROW())/100000)</f>
        <v/>
      </c>
      <c r="W409" s="47">
        <f>IF(OR($A409="",NOT(ISNUMBER($P409))),"",INT($P409-TODAY()))</f>
        <v/>
      </c>
      <c r="X409" s="47" t="n"/>
    </row>
    <row r="410">
      <c r="A410" s="50" t="n"/>
      <c r="B410" s="47" t="n"/>
      <c r="C410" s="47" t="n"/>
      <c r="D410" s="50" t="n"/>
      <c r="E410" s="50" t="n"/>
      <c r="F410" s="48" t="n"/>
      <c r="G410" s="47" t="n"/>
      <c r="H410" s="47" t="n"/>
      <c r="I410" s="47" t="n"/>
      <c r="J410" s="47" t="n"/>
      <c r="K410" s="47" t="n"/>
      <c r="L410" s="47" t="n"/>
      <c r="M410" s="50" t="n"/>
      <c r="N410" s="50" t="n"/>
      <c r="O410" s="50" t="n"/>
      <c r="P410" s="48">
        <f>IF($F410="","",IF($J410="Yes",$F410+1,IF($G410="No",$F410+2,IF(N($I410)&gt;2,$F410+3,IF(N($I410)&gt;0,$F410+5,$F410+7)))))</f>
        <v/>
      </c>
      <c r="Q410" s="48">
        <f>IF($P410="","",IF($J410="Yes",$P410+3,IF($G410="No",$P410+5,IF(N($I410)&gt;0,$P410+7,$P410+14))))</f>
        <v/>
      </c>
      <c r="R410" s="48">
        <f>IF($Q410="","",IF($J410="Yes",$Q410+7,IF($G410="No",$Q410+14,$Q410+30)))</f>
        <v/>
      </c>
      <c r="S410" s="47" t="n"/>
      <c r="T410" s="50" t="n"/>
      <c r="U410" s="47">
        <f>IF($F410="","",MIN(24,MAX(1,ROUNDUP(($F410-DayPlan!$C$2+1)/7,0))))</f>
        <v/>
      </c>
      <c r="V410" s="47">
        <f>IF($A410=""," ",4*($J410="Yes")+3*($G410="No")+2*(N($I410)&gt;0)+1*(AND(ISNUMBER($H410),$H410&gt;45))+3*(AND(ISNUMBER($P410),$P410&lt;=TODAY()))-6*($S410="Yes")+(750-ROW())/100000)</f>
        <v/>
      </c>
      <c r="W410" s="47">
        <f>IF(OR($A410="",NOT(ISNUMBER($P410))),"",INT($P410-TODAY()))</f>
        <v/>
      </c>
      <c r="X410" s="47" t="n"/>
    </row>
    <row r="411">
      <c r="A411" s="50" t="n"/>
      <c r="B411" s="47" t="n"/>
      <c r="C411" s="47" t="n"/>
      <c r="D411" s="50" t="n"/>
      <c r="E411" s="50" t="n"/>
      <c r="F411" s="48" t="n"/>
      <c r="G411" s="47" t="n"/>
      <c r="H411" s="47" t="n"/>
      <c r="I411" s="47" t="n"/>
      <c r="J411" s="47" t="n"/>
      <c r="K411" s="47" t="n"/>
      <c r="L411" s="47" t="n"/>
      <c r="M411" s="50" t="n"/>
      <c r="N411" s="50" t="n"/>
      <c r="O411" s="50" t="n"/>
      <c r="P411" s="48">
        <f>IF($F411="","",IF($J411="Yes",$F411+1,IF($G411="No",$F411+2,IF(N($I411)&gt;2,$F411+3,IF(N($I411)&gt;0,$F411+5,$F411+7)))))</f>
        <v/>
      </c>
      <c r="Q411" s="48">
        <f>IF($P411="","",IF($J411="Yes",$P411+3,IF($G411="No",$P411+5,IF(N($I411)&gt;0,$P411+7,$P411+14))))</f>
        <v/>
      </c>
      <c r="R411" s="48">
        <f>IF($Q411="","",IF($J411="Yes",$Q411+7,IF($G411="No",$Q411+14,$Q411+30)))</f>
        <v/>
      </c>
      <c r="S411" s="47" t="n"/>
      <c r="T411" s="50" t="n"/>
      <c r="U411" s="47">
        <f>IF($F411="","",MIN(24,MAX(1,ROUNDUP(($F411-DayPlan!$C$2+1)/7,0))))</f>
        <v/>
      </c>
      <c r="V411" s="47">
        <f>IF($A411=""," ",4*($J411="Yes")+3*($G411="No")+2*(N($I411)&gt;0)+1*(AND(ISNUMBER($H411),$H411&gt;45))+3*(AND(ISNUMBER($P411),$P411&lt;=TODAY()))-6*($S411="Yes")+(750-ROW())/100000)</f>
        <v/>
      </c>
      <c r="W411" s="47">
        <f>IF(OR($A411="",NOT(ISNUMBER($P411))),"",INT($P411-TODAY()))</f>
        <v/>
      </c>
      <c r="X411" s="47" t="n"/>
    </row>
    <row r="412">
      <c r="A412" s="50" t="n"/>
      <c r="B412" s="47" t="n"/>
      <c r="C412" s="47" t="n"/>
      <c r="D412" s="50" t="n"/>
      <c r="E412" s="50" t="n"/>
      <c r="F412" s="48" t="n"/>
      <c r="G412" s="47" t="n"/>
      <c r="H412" s="47" t="n"/>
      <c r="I412" s="47" t="n"/>
      <c r="J412" s="47" t="n"/>
      <c r="K412" s="47" t="n"/>
      <c r="L412" s="47" t="n"/>
      <c r="M412" s="50" t="n"/>
      <c r="N412" s="50" t="n"/>
      <c r="O412" s="50" t="n"/>
      <c r="P412" s="48">
        <f>IF($F412="","",IF($J412="Yes",$F412+1,IF($G412="No",$F412+2,IF(N($I412)&gt;2,$F412+3,IF(N($I412)&gt;0,$F412+5,$F412+7)))))</f>
        <v/>
      </c>
      <c r="Q412" s="48">
        <f>IF($P412="","",IF($J412="Yes",$P412+3,IF($G412="No",$P412+5,IF(N($I412)&gt;0,$P412+7,$P412+14))))</f>
        <v/>
      </c>
      <c r="R412" s="48">
        <f>IF($Q412="","",IF($J412="Yes",$Q412+7,IF($G412="No",$Q412+14,$Q412+30)))</f>
        <v/>
      </c>
      <c r="S412" s="47" t="n"/>
      <c r="T412" s="50" t="n"/>
      <c r="U412" s="47">
        <f>IF($F412="","",MIN(24,MAX(1,ROUNDUP(($F412-DayPlan!$C$2+1)/7,0))))</f>
        <v/>
      </c>
      <c r="V412" s="47">
        <f>IF($A412=""," ",4*($J412="Yes")+3*($G412="No")+2*(N($I412)&gt;0)+1*(AND(ISNUMBER($H412),$H412&gt;45))+3*(AND(ISNUMBER($P412),$P412&lt;=TODAY()))-6*($S412="Yes")+(750-ROW())/100000)</f>
        <v/>
      </c>
      <c r="W412" s="47">
        <f>IF(OR($A412="",NOT(ISNUMBER($P412))),"",INT($P412-TODAY()))</f>
        <v/>
      </c>
      <c r="X412" s="47" t="n"/>
    </row>
    <row r="413">
      <c r="A413" s="50" t="n"/>
      <c r="B413" s="47" t="n"/>
      <c r="C413" s="47" t="n"/>
      <c r="D413" s="50" t="n"/>
      <c r="E413" s="50" t="n"/>
      <c r="F413" s="48" t="n"/>
      <c r="G413" s="47" t="n"/>
      <c r="H413" s="47" t="n"/>
      <c r="I413" s="47" t="n"/>
      <c r="J413" s="47" t="n"/>
      <c r="K413" s="47" t="n"/>
      <c r="L413" s="47" t="n"/>
      <c r="M413" s="50" t="n"/>
      <c r="N413" s="50" t="n"/>
      <c r="O413" s="50" t="n"/>
      <c r="P413" s="48">
        <f>IF($F413="","",IF($J413="Yes",$F413+1,IF($G413="No",$F413+2,IF(N($I413)&gt;2,$F413+3,IF(N($I413)&gt;0,$F413+5,$F413+7)))))</f>
        <v/>
      </c>
      <c r="Q413" s="48">
        <f>IF($P413="","",IF($J413="Yes",$P413+3,IF($G413="No",$P413+5,IF(N($I413)&gt;0,$P413+7,$P413+14))))</f>
        <v/>
      </c>
      <c r="R413" s="48">
        <f>IF($Q413="","",IF($J413="Yes",$Q413+7,IF($G413="No",$Q413+14,$Q413+30)))</f>
        <v/>
      </c>
      <c r="S413" s="47" t="n"/>
      <c r="T413" s="50" t="n"/>
      <c r="U413" s="47">
        <f>IF($F413="","",MIN(24,MAX(1,ROUNDUP(($F413-DayPlan!$C$2+1)/7,0))))</f>
        <v/>
      </c>
      <c r="V413" s="47">
        <f>IF($A413=""," ",4*($J413="Yes")+3*($G413="No")+2*(N($I413)&gt;0)+1*(AND(ISNUMBER($H413),$H413&gt;45))+3*(AND(ISNUMBER($P413),$P413&lt;=TODAY()))-6*($S413="Yes")+(750-ROW())/100000)</f>
        <v/>
      </c>
      <c r="W413" s="47">
        <f>IF(OR($A413="",NOT(ISNUMBER($P413))),"",INT($P413-TODAY()))</f>
        <v/>
      </c>
      <c r="X413" s="47" t="n"/>
    </row>
    <row r="414">
      <c r="A414" s="50" t="n"/>
      <c r="B414" s="47" t="n"/>
      <c r="C414" s="47" t="n"/>
      <c r="D414" s="50" t="n"/>
      <c r="E414" s="50" t="n"/>
      <c r="F414" s="48" t="n"/>
      <c r="G414" s="47" t="n"/>
      <c r="H414" s="47" t="n"/>
      <c r="I414" s="47" t="n"/>
      <c r="J414" s="47" t="n"/>
      <c r="K414" s="47" t="n"/>
      <c r="L414" s="47" t="n"/>
      <c r="M414" s="50" t="n"/>
      <c r="N414" s="50" t="n"/>
      <c r="O414" s="50" t="n"/>
      <c r="P414" s="48">
        <f>IF($F414="","",IF($J414="Yes",$F414+1,IF($G414="No",$F414+2,IF(N($I414)&gt;2,$F414+3,IF(N($I414)&gt;0,$F414+5,$F414+7)))))</f>
        <v/>
      </c>
      <c r="Q414" s="48">
        <f>IF($P414="","",IF($J414="Yes",$P414+3,IF($G414="No",$P414+5,IF(N($I414)&gt;0,$P414+7,$P414+14))))</f>
        <v/>
      </c>
      <c r="R414" s="48">
        <f>IF($Q414="","",IF($J414="Yes",$Q414+7,IF($G414="No",$Q414+14,$Q414+30)))</f>
        <v/>
      </c>
      <c r="S414" s="47" t="n"/>
      <c r="T414" s="50" t="n"/>
      <c r="U414" s="47">
        <f>IF($F414="","",MIN(24,MAX(1,ROUNDUP(($F414-DayPlan!$C$2+1)/7,0))))</f>
        <v/>
      </c>
      <c r="V414" s="47">
        <f>IF($A414=""," ",4*($J414="Yes")+3*($G414="No")+2*(N($I414)&gt;0)+1*(AND(ISNUMBER($H414),$H414&gt;45))+3*(AND(ISNUMBER($P414),$P414&lt;=TODAY()))-6*($S414="Yes")+(750-ROW())/100000)</f>
        <v/>
      </c>
      <c r="W414" s="47">
        <f>IF(OR($A414="",NOT(ISNUMBER($P414))),"",INT($P414-TODAY()))</f>
        <v/>
      </c>
      <c r="X414" s="47" t="n"/>
    </row>
    <row r="415">
      <c r="A415" s="50" t="n"/>
      <c r="B415" s="47" t="n"/>
      <c r="C415" s="47" t="n"/>
      <c r="D415" s="50" t="n"/>
      <c r="E415" s="50" t="n"/>
      <c r="F415" s="48" t="n"/>
      <c r="G415" s="47" t="n"/>
      <c r="H415" s="47" t="n"/>
      <c r="I415" s="47" t="n"/>
      <c r="J415" s="47" t="n"/>
      <c r="K415" s="47" t="n"/>
      <c r="L415" s="47" t="n"/>
      <c r="M415" s="50" t="n"/>
      <c r="N415" s="50" t="n"/>
      <c r="O415" s="50" t="n"/>
      <c r="P415" s="48">
        <f>IF($F415="","",IF($J415="Yes",$F415+1,IF($G415="No",$F415+2,IF(N($I415)&gt;2,$F415+3,IF(N($I415)&gt;0,$F415+5,$F415+7)))))</f>
        <v/>
      </c>
      <c r="Q415" s="48">
        <f>IF($P415="","",IF($J415="Yes",$P415+3,IF($G415="No",$P415+5,IF(N($I415)&gt;0,$P415+7,$P415+14))))</f>
        <v/>
      </c>
      <c r="R415" s="48">
        <f>IF($Q415="","",IF($J415="Yes",$Q415+7,IF($G415="No",$Q415+14,$Q415+30)))</f>
        <v/>
      </c>
      <c r="S415" s="47" t="n"/>
      <c r="T415" s="50" t="n"/>
      <c r="U415" s="47">
        <f>IF($F415="","",MIN(24,MAX(1,ROUNDUP(($F415-DayPlan!$C$2+1)/7,0))))</f>
        <v/>
      </c>
      <c r="V415" s="47">
        <f>IF($A415=""," ",4*($J415="Yes")+3*($G415="No")+2*(N($I415)&gt;0)+1*(AND(ISNUMBER($H415),$H415&gt;45))+3*(AND(ISNUMBER($P415),$P415&lt;=TODAY()))-6*($S415="Yes")+(750-ROW())/100000)</f>
        <v/>
      </c>
      <c r="W415" s="47">
        <f>IF(OR($A415="",NOT(ISNUMBER($P415))),"",INT($P415-TODAY()))</f>
        <v/>
      </c>
      <c r="X415" s="47" t="n"/>
    </row>
    <row r="416">
      <c r="A416" s="50" t="n"/>
      <c r="B416" s="47" t="n"/>
      <c r="C416" s="47" t="n"/>
      <c r="D416" s="50" t="n"/>
      <c r="E416" s="50" t="n"/>
      <c r="F416" s="48" t="n"/>
      <c r="G416" s="47" t="n"/>
      <c r="H416" s="47" t="n"/>
      <c r="I416" s="47" t="n"/>
      <c r="J416" s="47" t="n"/>
      <c r="K416" s="47" t="n"/>
      <c r="L416" s="47" t="n"/>
      <c r="M416" s="50" t="n"/>
      <c r="N416" s="50" t="n"/>
      <c r="O416" s="50" t="n"/>
      <c r="P416" s="48">
        <f>IF($F416="","",IF($J416="Yes",$F416+1,IF($G416="No",$F416+2,IF(N($I416)&gt;2,$F416+3,IF(N($I416)&gt;0,$F416+5,$F416+7)))))</f>
        <v/>
      </c>
      <c r="Q416" s="48">
        <f>IF($P416="","",IF($J416="Yes",$P416+3,IF($G416="No",$P416+5,IF(N($I416)&gt;0,$P416+7,$P416+14))))</f>
        <v/>
      </c>
      <c r="R416" s="48">
        <f>IF($Q416="","",IF($J416="Yes",$Q416+7,IF($G416="No",$Q416+14,$Q416+30)))</f>
        <v/>
      </c>
      <c r="S416" s="47" t="n"/>
      <c r="T416" s="50" t="n"/>
      <c r="U416" s="47">
        <f>IF($F416="","",MIN(24,MAX(1,ROUNDUP(($F416-DayPlan!$C$2+1)/7,0))))</f>
        <v/>
      </c>
      <c r="V416" s="47">
        <f>IF($A416=""," ",4*($J416="Yes")+3*($G416="No")+2*(N($I416)&gt;0)+1*(AND(ISNUMBER($H416),$H416&gt;45))+3*(AND(ISNUMBER($P416),$P416&lt;=TODAY()))-6*($S416="Yes")+(750-ROW())/100000)</f>
        <v/>
      </c>
      <c r="W416" s="47">
        <f>IF(OR($A416="",NOT(ISNUMBER($P416))),"",INT($P416-TODAY()))</f>
        <v/>
      </c>
      <c r="X416" s="47" t="n"/>
    </row>
    <row r="417">
      <c r="A417" s="50" t="n"/>
      <c r="B417" s="47" t="n"/>
      <c r="C417" s="47" t="n"/>
      <c r="D417" s="50" t="n"/>
      <c r="E417" s="50" t="n"/>
      <c r="F417" s="48" t="n"/>
      <c r="G417" s="47" t="n"/>
      <c r="H417" s="47" t="n"/>
      <c r="I417" s="47" t="n"/>
      <c r="J417" s="47" t="n"/>
      <c r="K417" s="47" t="n"/>
      <c r="L417" s="47" t="n"/>
      <c r="M417" s="50" t="n"/>
      <c r="N417" s="50" t="n"/>
      <c r="O417" s="50" t="n"/>
      <c r="P417" s="48">
        <f>IF($F417="","",IF($J417="Yes",$F417+1,IF($G417="No",$F417+2,IF(N($I417)&gt;2,$F417+3,IF(N($I417)&gt;0,$F417+5,$F417+7)))))</f>
        <v/>
      </c>
      <c r="Q417" s="48">
        <f>IF($P417="","",IF($J417="Yes",$P417+3,IF($G417="No",$P417+5,IF(N($I417)&gt;0,$P417+7,$P417+14))))</f>
        <v/>
      </c>
      <c r="R417" s="48">
        <f>IF($Q417="","",IF($J417="Yes",$Q417+7,IF($G417="No",$Q417+14,$Q417+30)))</f>
        <v/>
      </c>
      <c r="S417" s="47" t="n"/>
      <c r="T417" s="50" t="n"/>
      <c r="U417" s="47">
        <f>IF($F417="","",MIN(24,MAX(1,ROUNDUP(($F417-DayPlan!$C$2+1)/7,0))))</f>
        <v/>
      </c>
      <c r="V417" s="47">
        <f>IF($A417=""," ",4*($J417="Yes")+3*($G417="No")+2*(N($I417)&gt;0)+1*(AND(ISNUMBER($H417),$H417&gt;45))+3*(AND(ISNUMBER($P417),$P417&lt;=TODAY()))-6*($S417="Yes")+(750-ROW())/100000)</f>
        <v/>
      </c>
      <c r="W417" s="47">
        <f>IF(OR($A417="",NOT(ISNUMBER($P417))),"",INT($P417-TODAY()))</f>
        <v/>
      </c>
      <c r="X417" s="47" t="n"/>
    </row>
    <row r="418">
      <c r="A418" s="50" t="n"/>
      <c r="B418" s="47" t="n"/>
      <c r="C418" s="47" t="n"/>
      <c r="D418" s="50" t="n"/>
      <c r="E418" s="50" t="n"/>
      <c r="F418" s="48" t="n"/>
      <c r="G418" s="47" t="n"/>
      <c r="H418" s="47" t="n"/>
      <c r="I418" s="47" t="n"/>
      <c r="J418" s="47" t="n"/>
      <c r="K418" s="47" t="n"/>
      <c r="L418" s="47" t="n"/>
      <c r="M418" s="50" t="n"/>
      <c r="N418" s="50" t="n"/>
      <c r="O418" s="50" t="n"/>
      <c r="P418" s="48">
        <f>IF($F418="","",IF($J418="Yes",$F418+1,IF($G418="No",$F418+2,IF(N($I418)&gt;2,$F418+3,IF(N($I418)&gt;0,$F418+5,$F418+7)))))</f>
        <v/>
      </c>
      <c r="Q418" s="48">
        <f>IF($P418="","",IF($J418="Yes",$P418+3,IF($G418="No",$P418+5,IF(N($I418)&gt;0,$P418+7,$P418+14))))</f>
        <v/>
      </c>
      <c r="R418" s="48">
        <f>IF($Q418="","",IF($J418="Yes",$Q418+7,IF($G418="No",$Q418+14,$Q418+30)))</f>
        <v/>
      </c>
      <c r="S418" s="47" t="n"/>
      <c r="T418" s="50" t="n"/>
      <c r="U418" s="47">
        <f>IF($F418="","",MIN(24,MAX(1,ROUNDUP(($F418-DayPlan!$C$2+1)/7,0))))</f>
        <v/>
      </c>
      <c r="V418" s="47">
        <f>IF($A418=""," ",4*($J418="Yes")+3*($G418="No")+2*(N($I418)&gt;0)+1*(AND(ISNUMBER($H418),$H418&gt;45))+3*(AND(ISNUMBER($P418),$P418&lt;=TODAY()))-6*($S418="Yes")+(750-ROW())/100000)</f>
        <v/>
      </c>
      <c r="W418" s="47">
        <f>IF(OR($A418="",NOT(ISNUMBER($P418))),"",INT($P418-TODAY()))</f>
        <v/>
      </c>
      <c r="X418" s="47" t="n"/>
    </row>
    <row r="419">
      <c r="A419" s="50" t="n"/>
      <c r="B419" s="47" t="n"/>
      <c r="C419" s="47" t="n"/>
      <c r="D419" s="50" t="n"/>
      <c r="E419" s="50" t="n"/>
      <c r="F419" s="48" t="n"/>
      <c r="G419" s="47" t="n"/>
      <c r="H419" s="47" t="n"/>
      <c r="I419" s="47" t="n"/>
      <c r="J419" s="47" t="n"/>
      <c r="K419" s="47" t="n"/>
      <c r="L419" s="47" t="n"/>
      <c r="M419" s="50" t="n"/>
      <c r="N419" s="50" t="n"/>
      <c r="O419" s="50" t="n"/>
      <c r="P419" s="48">
        <f>IF($F419="","",IF($J419="Yes",$F419+1,IF($G419="No",$F419+2,IF(N($I419)&gt;2,$F419+3,IF(N($I419)&gt;0,$F419+5,$F419+7)))))</f>
        <v/>
      </c>
      <c r="Q419" s="48">
        <f>IF($P419="","",IF($J419="Yes",$P419+3,IF($G419="No",$P419+5,IF(N($I419)&gt;0,$P419+7,$P419+14))))</f>
        <v/>
      </c>
      <c r="R419" s="48">
        <f>IF($Q419="","",IF($J419="Yes",$Q419+7,IF($G419="No",$Q419+14,$Q419+30)))</f>
        <v/>
      </c>
      <c r="S419" s="47" t="n"/>
      <c r="T419" s="50" t="n"/>
      <c r="U419" s="47">
        <f>IF($F419="","",MIN(24,MAX(1,ROUNDUP(($F419-DayPlan!$C$2+1)/7,0))))</f>
        <v/>
      </c>
      <c r="V419" s="47">
        <f>IF($A419=""," ",4*($J419="Yes")+3*($G419="No")+2*(N($I419)&gt;0)+1*(AND(ISNUMBER($H419),$H419&gt;45))+3*(AND(ISNUMBER($P419),$P419&lt;=TODAY()))-6*($S419="Yes")+(750-ROW())/100000)</f>
        <v/>
      </c>
      <c r="W419" s="47">
        <f>IF(OR($A419="",NOT(ISNUMBER($P419))),"",INT($P419-TODAY()))</f>
        <v/>
      </c>
      <c r="X419" s="47" t="n"/>
    </row>
    <row r="420">
      <c r="A420" s="50" t="n"/>
      <c r="B420" s="47" t="n"/>
      <c r="C420" s="47" t="n"/>
      <c r="D420" s="50" t="n"/>
      <c r="E420" s="50" t="n"/>
      <c r="F420" s="48" t="n"/>
      <c r="G420" s="47" t="n"/>
      <c r="H420" s="47" t="n"/>
      <c r="I420" s="47" t="n"/>
      <c r="J420" s="47" t="n"/>
      <c r="K420" s="47" t="n"/>
      <c r="L420" s="47" t="n"/>
      <c r="M420" s="50" t="n"/>
      <c r="N420" s="50" t="n"/>
      <c r="O420" s="50" t="n"/>
      <c r="P420" s="48">
        <f>IF($F420="","",IF($J420="Yes",$F420+1,IF($G420="No",$F420+2,IF(N($I420)&gt;2,$F420+3,IF(N($I420)&gt;0,$F420+5,$F420+7)))))</f>
        <v/>
      </c>
      <c r="Q420" s="48">
        <f>IF($P420="","",IF($J420="Yes",$P420+3,IF($G420="No",$P420+5,IF(N($I420)&gt;0,$P420+7,$P420+14))))</f>
        <v/>
      </c>
      <c r="R420" s="48">
        <f>IF($Q420="","",IF($J420="Yes",$Q420+7,IF($G420="No",$Q420+14,$Q420+30)))</f>
        <v/>
      </c>
      <c r="S420" s="47" t="n"/>
      <c r="T420" s="50" t="n"/>
      <c r="U420" s="47">
        <f>IF($F420="","",MIN(24,MAX(1,ROUNDUP(($F420-DayPlan!$C$2+1)/7,0))))</f>
        <v/>
      </c>
      <c r="V420" s="47">
        <f>IF($A420=""," ",4*($J420="Yes")+3*($G420="No")+2*(N($I420)&gt;0)+1*(AND(ISNUMBER($H420),$H420&gt;45))+3*(AND(ISNUMBER($P420),$P420&lt;=TODAY()))-6*($S420="Yes")+(750-ROW())/100000)</f>
        <v/>
      </c>
      <c r="W420" s="47">
        <f>IF(OR($A420="",NOT(ISNUMBER($P420))),"",INT($P420-TODAY()))</f>
        <v/>
      </c>
      <c r="X420" s="47" t="n"/>
    </row>
    <row r="421">
      <c r="A421" s="50" t="n"/>
      <c r="B421" s="47" t="n"/>
      <c r="C421" s="47" t="n"/>
      <c r="D421" s="50" t="n"/>
      <c r="E421" s="50" t="n"/>
      <c r="F421" s="48" t="n"/>
      <c r="G421" s="47" t="n"/>
      <c r="H421" s="47" t="n"/>
      <c r="I421" s="47" t="n"/>
      <c r="J421" s="47" t="n"/>
      <c r="K421" s="47" t="n"/>
      <c r="L421" s="47" t="n"/>
      <c r="M421" s="50" t="n"/>
      <c r="N421" s="50" t="n"/>
      <c r="O421" s="50" t="n"/>
      <c r="P421" s="48">
        <f>IF($F421="","",IF($J421="Yes",$F421+1,IF($G421="No",$F421+2,IF(N($I421)&gt;2,$F421+3,IF(N($I421)&gt;0,$F421+5,$F421+7)))))</f>
        <v/>
      </c>
      <c r="Q421" s="48">
        <f>IF($P421="","",IF($J421="Yes",$P421+3,IF($G421="No",$P421+5,IF(N($I421)&gt;0,$P421+7,$P421+14))))</f>
        <v/>
      </c>
      <c r="R421" s="48">
        <f>IF($Q421="","",IF($J421="Yes",$Q421+7,IF($G421="No",$Q421+14,$Q421+30)))</f>
        <v/>
      </c>
      <c r="S421" s="47" t="n"/>
      <c r="T421" s="50" t="n"/>
      <c r="U421" s="47">
        <f>IF($F421="","",MIN(24,MAX(1,ROUNDUP(($F421-DayPlan!$C$2+1)/7,0))))</f>
        <v/>
      </c>
      <c r="V421" s="47">
        <f>IF($A421=""," ",4*($J421="Yes")+3*($G421="No")+2*(N($I421)&gt;0)+1*(AND(ISNUMBER($H421),$H421&gt;45))+3*(AND(ISNUMBER($P421),$P421&lt;=TODAY()))-6*($S421="Yes")+(750-ROW())/100000)</f>
        <v/>
      </c>
      <c r="W421" s="47">
        <f>IF(OR($A421="",NOT(ISNUMBER($P421))),"",INT($P421-TODAY()))</f>
        <v/>
      </c>
      <c r="X421" s="47" t="n"/>
    </row>
    <row r="422">
      <c r="A422" s="50" t="n"/>
      <c r="B422" s="47" t="n"/>
      <c r="C422" s="47" t="n"/>
      <c r="D422" s="50" t="n"/>
      <c r="E422" s="50" t="n"/>
      <c r="F422" s="48" t="n"/>
      <c r="G422" s="47" t="n"/>
      <c r="H422" s="47" t="n"/>
      <c r="I422" s="47" t="n"/>
      <c r="J422" s="47" t="n"/>
      <c r="K422" s="47" t="n"/>
      <c r="L422" s="47" t="n"/>
      <c r="M422" s="50" t="n"/>
      <c r="N422" s="50" t="n"/>
      <c r="O422" s="50" t="n"/>
      <c r="P422" s="48">
        <f>IF($F422="","",IF($J422="Yes",$F422+1,IF($G422="No",$F422+2,IF(N($I422)&gt;2,$F422+3,IF(N($I422)&gt;0,$F422+5,$F422+7)))))</f>
        <v/>
      </c>
      <c r="Q422" s="48">
        <f>IF($P422="","",IF($J422="Yes",$P422+3,IF($G422="No",$P422+5,IF(N($I422)&gt;0,$P422+7,$P422+14))))</f>
        <v/>
      </c>
      <c r="R422" s="48">
        <f>IF($Q422="","",IF($J422="Yes",$Q422+7,IF($G422="No",$Q422+14,$Q422+30)))</f>
        <v/>
      </c>
      <c r="S422" s="47" t="n"/>
      <c r="T422" s="50" t="n"/>
      <c r="U422" s="47">
        <f>IF($F422="","",MIN(24,MAX(1,ROUNDUP(($F422-DayPlan!$C$2+1)/7,0))))</f>
        <v/>
      </c>
      <c r="V422" s="47">
        <f>IF($A422=""," ",4*($J422="Yes")+3*($G422="No")+2*(N($I422)&gt;0)+1*(AND(ISNUMBER($H422),$H422&gt;45))+3*(AND(ISNUMBER($P422),$P422&lt;=TODAY()))-6*($S422="Yes")+(750-ROW())/100000)</f>
        <v/>
      </c>
      <c r="W422" s="47">
        <f>IF(OR($A422="",NOT(ISNUMBER($P422))),"",INT($P422-TODAY()))</f>
        <v/>
      </c>
      <c r="X422" s="47" t="n"/>
    </row>
    <row r="423">
      <c r="A423" s="50" t="n"/>
      <c r="B423" s="47" t="n"/>
      <c r="C423" s="47" t="n"/>
      <c r="D423" s="50" t="n"/>
      <c r="E423" s="50" t="n"/>
      <c r="F423" s="48" t="n"/>
      <c r="G423" s="47" t="n"/>
      <c r="H423" s="47" t="n"/>
      <c r="I423" s="47" t="n"/>
      <c r="J423" s="47" t="n"/>
      <c r="K423" s="47" t="n"/>
      <c r="L423" s="47" t="n"/>
      <c r="M423" s="50" t="n"/>
      <c r="N423" s="50" t="n"/>
      <c r="O423" s="50" t="n"/>
      <c r="P423" s="48">
        <f>IF($F423="","",IF($J423="Yes",$F423+1,IF($G423="No",$F423+2,IF(N($I423)&gt;2,$F423+3,IF(N($I423)&gt;0,$F423+5,$F423+7)))))</f>
        <v/>
      </c>
      <c r="Q423" s="48">
        <f>IF($P423="","",IF($J423="Yes",$P423+3,IF($G423="No",$P423+5,IF(N($I423)&gt;0,$P423+7,$P423+14))))</f>
        <v/>
      </c>
      <c r="R423" s="48">
        <f>IF($Q423="","",IF($J423="Yes",$Q423+7,IF($G423="No",$Q423+14,$Q423+30)))</f>
        <v/>
      </c>
      <c r="S423" s="47" t="n"/>
      <c r="T423" s="50" t="n"/>
      <c r="U423" s="47">
        <f>IF($F423="","",MIN(24,MAX(1,ROUNDUP(($F423-DayPlan!$C$2+1)/7,0))))</f>
        <v/>
      </c>
      <c r="V423" s="47">
        <f>IF($A423=""," ",4*($J423="Yes")+3*($G423="No")+2*(N($I423)&gt;0)+1*(AND(ISNUMBER($H423),$H423&gt;45))+3*(AND(ISNUMBER($P423),$P423&lt;=TODAY()))-6*($S423="Yes")+(750-ROW())/100000)</f>
        <v/>
      </c>
      <c r="W423" s="47">
        <f>IF(OR($A423="",NOT(ISNUMBER($P423))),"",INT($P423-TODAY()))</f>
        <v/>
      </c>
      <c r="X423" s="47" t="n"/>
    </row>
    <row r="424">
      <c r="A424" s="50" t="n"/>
      <c r="B424" s="47" t="n"/>
      <c r="C424" s="47" t="n"/>
      <c r="D424" s="50" t="n"/>
      <c r="E424" s="50" t="n"/>
      <c r="F424" s="48" t="n"/>
      <c r="G424" s="47" t="n"/>
      <c r="H424" s="47" t="n"/>
      <c r="I424" s="47" t="n"/>
      <c r="J424" s="47" t="n"/>
      <c r="K424" s="47" t="n"/>
      <c r="L424" s="47" t="n"/>
      <c r="M424" s="50" t="n"/>
      <c r="N424" s="50" t="n"/>
      <c r="O424" s="50" t="n"/>
      <c r="P424" s="48">
        <f>IF($F424="","",IF($J424="Yes",$F424+1,IF($G424="No",$F424+2,IF(N($I424)&gt;2,$F424+3,IF(N($I424)&gt;0,$F424+5,$F424+7)))))</f>
        <v/>
      </c>
      <c r="Q424" s="48">
        <f>IF($P424="","",IF($J424="Yes",$P424+3,IF($G424="No",$P424+5,IF(N($I424)&gt;0,$P424+7,$P424+14))))</f>
        <v/>
      </c>
      <c r="R424" s="48">
        <f>IF($Q424="","",IF($J424="Yes",$Q424+7,IF($G424="No",$Q424+14,$Q424+30)))</f>
        <v/>
      </c>
      <c r="S424" s="47" t="n"/>
      <c r="T424" s="50" t="n"/>
      <c r="U424" s="47">
        <f>IF($F424="","",MIN(24,MAX(1,ROUNDUP(($F424-DayPlan!$C$2+1)/7,0))))</f>
        <v/>
      </c>
      <c r="V424" s="47">
        <f>IF($A424=""," ",4*($J424="Yes")+3*($G424="No")+2*(N($I424)&gt;0)+1*(AND(ISNUMBER($H424),$H424&gt;45))+3*(AND(ISNUMBER($P424),$P424&lt;=TODAY()))-6*($S424="Yes")+(750-ROW())/100000)</f>
        <v/>
      </c>
      <c r="W424" s="47">
        <f>IF(OR($A424="",NOT(ISNUMBER($P424))),"",INT($P424-TODAY()))</f>
        <v/>
      </c>
      <c r="X424" s="47" t="n"/>
    </row>
    <row r="425">
      <c r="A425" s="50" t="n"/>
      <c r="B425" s="47" t="n"/>
      <c r="C425" s="47" t="n"/>
      <c r="D425" s="50" t="n"/>
      <c r="E425" s="50" t="n"/>
      <c r="F425" s="48" t="n"/>
      <c r="G425" s="47" t="n"/>
      <c r="H425" s="47" t="n"/>
      <c r="I425" s="47" t="n"/>
      <c r="J425" s="47" t="n"/>
      <c r="K425" s="47" t="n"/>
      <c r="L425" s="47" t="n"/>
      <c r="M425" s="50" t="n"/>
      <c r="N425" s="50" t="n"/>
      <c r="O425" s="50" t="n"/>
      <c r="P425" s="48">
        <f>IF($F425="","",IF($J425="Yes",$F425+1,IF($G425="No",$F425+2,IF(N($I425)&gt;2,$F425+3,IF(N($I425)&gt;0,$F425+5,$F425+7)))))</f>
        <v/>
      </c>
      <c r="Q425" s="48">
        <f>IF($P425="","",IF($J425="Yes",$P425+3,IF($G425="No",$P425+5,IF(N($I425)&gt;0,$P425+7,$P425+14))))</f>
        <v/>
      </c>
      <c r="R425" s="48">
        <f>IF($Q425="","",IF($J425="Yes",$Q425+7,IF($G425="No",$Q425+14,$Q425+30)))</f>
        <v/>
      </c>
      <c r="S425" s="47" t="n"/>
      <c r="T425" s="50" t="n"/>
      <c r="U425" s="47">
        <f>IF($F425="","",MIN(24,MAX(1,ROUNDUP(($F425-DayPlan!$C$2+1)/7,0))))</f>
        <v/>
      </c>
      <c r="V425" s="47">
        <f>IF($A425=""," ",4*($J425="Yes")+3*($G425="No")+2*(N($I425)&gt;0)+1*(AND(ISNUMBER($H425),$H425&gt;45))+3*(AND(ISNUMBER($P425),$P425&lt;=TODAY()))-6*($S425="Yes")+(750-ROW())/100000)</f>
        <v/>
      </c>
      <c r="W425" s="47">
        <f>IF(OR($A425="",NOT(ISNUMBER($P425))),"",INT($P425-TODAY()))</f>
        <v/>
      </c>
      <c r="X425" s="47" t="n"/>
    </row>
    <row r="426">
      <c r="A426" s="50" t="n"/>
      <c r="B426" s="47" t="n"/>
      <c r="C426" s="47" t="n"/>
      <c r="D426" s="50" t="n"/>
      <c r="E426" s="50" t="n"/>
      <c r="F426" s="48" t="n"/>
      <c r="G426" s="47" t="n"/>
      <c r="H426" s="47" t="n"/>
      <c r="I426" s="47" t="n"/>
      <c r="J426" s="47" t="n"/>
      <c r="K426" s="47" t="n"/>
      <c r="L426" s="47" t="n"/>
      <c r="M426" s="50" t="n"/>
      <c r="N426" s="50" t="n"/>
      <c r="O426" s="50" t="n"/>
      <c r="P426" s="48">
        <f>IF($F426="","",IF($J426="Yes",$F426+1,IF($G426="No",$F426+2,IF(N($I426)&gt;2,$F426+3,IF(N($I426)&gt;0,$F426+5,$F426+7)))))</f>
        <v/>
      </c>
      <c r="Q426" s="48">
        <f>IF($P426="","",IF($J426="Yes",$P426+3,IF($G426="No",$P426+5,IF(N($I426)&gt;0,$P426+7,$P426+14))))</f>
        <v/>
      </c>
      <c r="R426" s="48">
        <f>IF($Q426="","",IF($J426="Yes",$Q426+7,IF($G426="No",$Q426+14,$Q426+30)))</f>
        <v/>
      </c>
      <c r="S426" s="47" t="n"/>
      <c r="T426" s="50" t="n"/>
      <c r="U426" s="47">
        <f>IF($F426="","",MIN(24,MAX(1,ROUNDUP(($F426-DayPlan!$C$2+1)/7,0))))</f>
        <v/>
      </c>
      <c r="V426" s="47">
        <f>IF($A426=""," ",4*($J426="Yes")+3*($G426="No")+2*(N($I426)&gt;0)+1*(AND(ISNUMBER($H426),$H426&gt;45))+3*(AND(ISNUMBER($P426),$P426&lt;=TODAY()))-6*($S426="Yes")+(750-ROW())/100000)</f>
        <v/>
      </c>
      <c r="W426" s="47">
        <f>IF(OR($A426="",NOT(ISNUMBER($P426))),"",INT($P426-TODAY()))</f>
        <v/>
      </c>
      <c r="X426" s="47" t="n"/>
    </row>
    <row r="427">
      <c r="A427" s="50" t="n"/>
      <c r="B427" s="47" t="n"/>
      <c r="C427" s="47" t="n"/>
      <c r="D427" s="50" t="n"/>
      <c r="E427" s="50" t="n"/>
      <c r="F427" s="48" t="n"/>
      <c r="G427" s="47" t="n"/>
      <c r="H427" s="47" t="n"/>
      <c r="I427" s="47" t="n"/>
      <c r="J427" s="47" t="n"/>
      <c r="K427" s="47" t="n"/>
      <c r="L427" s="47" t="n"/>
      <c r="M427" s="50" t="n"/>
      <c r="N427" s="50" t="n"/>
      <c r="O427" s="50" t="n"/>
      <c r="P427" s="48">
        <f>IF($F427="","",IF($J427="Yes",$F427+1,IF($G427="No",$F427+2,IF(N($I427)&gt;2,$F427+3,IF(N($I427)&gt;0,$F427+5,$F427+7)))))</f>
        <v/>
      </c>
      <c r="Q427" s="48">
        <f>IF($P427="","",IF($J427="Yes",$P427+3,IF($G427="No",$P427+5,IF(N($I427)&gt;0,$P427+7,$P427+14))))</f>
        <v/>
      </c>
      <c r="R427" s="48">
        <f>IF($Q427="","",IF($J427="Yes",$Q427+7,IF($G427="No",$Q427+14,$Q427+30)))</f>
        <v/>
      </c>
      <c r="S427" s="47" t="n"/>
      <c r="T427" s="50" t="n"/>
      <c r="U427" s="47">
        <f>IF($F427="","",MIN(24,MAX(1,ROUNDUP(($F427-DayPlan!$C$2+1)/7,0))))</f>
        <v/>
      </c>
      <c r="V427" s="47">
        <f>IF($A427=""," ",4*($J427="Yes")+3*($G427="No")+2*(N($I427)&gt;0)+1*(AND(ISNUMBER($H427),$H427&gt;45))+3*(AND(ISNUMBER($P427),$P427&lt;=TODAY()))-6*($S427="Yes")+(750-ROW())/100000)</f>
        <v/>
      </c>
      <c r="W427" s="47">
        <f>IF(OR($A427="",NOT(ISNUMBER($P427))),"",INT($P427-TODAY()))</f>
        <v/>
      </c>
      <c r="X427" s="47" t="n"/>
    </row>
    <row r="428">
      <c r="A428" s="50" t="n"/>
      <c r="B428" s="47" t="n"/>
      <c r="C428" s="47" t="n"/>
      <c r="D428" s="50" t="n"/>
      <c r="E428" s="50" t="n"/>
      <c r="F428" s="48" t="n"/>
      <c r="G428" s="47" t="n"/>
      <c r="H428" s="47" t="n"/>
      <c r="I428" s="47" t="n"/>
      <c r="J428" s="47" t="n"/>
      <c r="K428" s="47" t="n"/>
      <c r="L428" s="47" t="n"/>
      <c r="M428" s="50" t="n"/>
      <c r="N428" s="50" t="n"/>
      <c r="O428" s="50" t="n"/>
      <c r="P428" s="48">
        <f>IF($F428="","",IF($J428="Yes",$F428+1,IF($G428="No",$F428+2,IF(N($I428)&gt;2,$F428+3,IF(N($I428)&gt;0,$F428+5,$F428+7)))))</f>
        <v/>
      </c>
      <c r="Q428" s="48">
        <f>IF($P428="","",IF($J428="Yes",$P428+3,IF($G428="No",$P428+5,IF(N($I428)&gt;0,$P428+7,$P428+14))))</f>
        <v/>
      </c>
      <c r="R428" s="48">
        <f>IF($Q428="","",IF($J428="Yes",$Q428+7,IF($G428="No",$Q428+14,$Q428+30)))</f>
        <v/>
      </c>
      <c r="S428" s="47" t="n"/>
      <c r="T428" s="50" t="n"/>
      <c r="U428" s="47">
        <f>IF($F428="","",MIN(24,MAX(1,ROUNDUP(($F428-DayPlan!$C$2+1)/7,0))))</f>
        <v/>
      </c>
      <c r="V428" s="47">
        <f>IF($A428=""," ",4*($J428="Yes")+3*($G428="No")+2*(N($I428)&gt;0)+1*(AND(ISNUMBER($H428),$H428&gt;45))+3*(AND(ISNUMBER($P428),$P428&lt;=TODAY()))-6*($S428="Yes")+(750-ROW())/100000)</f>
        <v/>
      </c>
      <c r="W428" s="47">
        <f>IF(OR($A428="",NOT(ISNUMBER($P428))),"",INT($P428-TODAY()))</f>
        <v/>
      </c>
      <c r="X428" s="47" t="n"/>
    </row>
    <row r="429">
      <c r="A429" s="50" t="n"/>
      <c r="B429" s="47" t="n"/>
      <c r="C429" s="47" t="n"/>
      <c r="D429" s="50" t="n"/>
      <c r="E429" s="50" t="n"/>
      <c r="F429" s="48" t="n"/>
      <c r="G429" s="47" t="n"/>
      <c r="H429" s="47" t="n"/>
      <c r="I429" s="47" t="n"/>
      <c r="J429" s="47" t="n"/>
      <c r="K429" s="47" t="n"/>
      <c r="L429" s="47" t="n"/>
      <c r="M429" s="50" t="n"/>
      <c r="N429" s="50" t="n"/>
      <c r="O429" s="50" t="n"/>
      <c r="P429" s="48">
        <f>IF($F429="","",IF($J429="Yes",$F429+1,IF($G429="No",$F429+2,IF(N($I429)&gt;2,$F429+3,IF(N($I429)&gt;0,$F429+5,$F429+7)))))</f>
        <v/>
      </c>
      <c r="Q429" s="48">
        <f>IF($P429="","",IF($J429="Yes",$P429+3,IF($G429="No",$P429+5,IF(N($I429)&gt;0,$P429+7,$P429+14))))</f>
        <v/>
      </c>
      <c r="R429" s="48">
        <f>IF($Q429="","",IF($J429="Yes",$Q429+7,IF($G429="No",$Q429+14,$Q429+30)))</f>
        <v/>
      </c>
      <c r="S429" s="47" t="n"/>
      <c r="T429" s="50" t="n"/>
      <c r="U429" s="47">
        <f>IF($F429="","",MIN(24,MAX(1,ROUNDUP(($F429-DayPlan!$C$2+1)/7,0))))</f>
        <v/>
      </c>
      <c r="V429" s="47">
        <f>IF($A429=""," ",4*($J429="Yes")+3*($G429="No")+2*(N($I429)&gt;0)+1*(AND(ISNUMBER($H429),$H429&gt;45))+3*(AND(ISNUMBER($P429),$P429&lt;=TODAY()))-6*($S429="Yes")+(750-ROW())/100000)</f>
        <v/>
      </c>
      <c r="W429" s="47">
        <f>IF(OR($A429="",NOT(ISNUMBER($P429))),"",INT($P429-TODAY()))</f>
        <v/>
      </c>
      <c r="X429" s="47" t="n"/>
    </row>
    <row r="430">
      <c r="A430" s="50" t="n"/>
      <c r="B430" s="47" t="n"/>
      <c r="C430" s="47" t="n"/>
      <c r="D430" s="50" t="n"/>
      <c r="E430" s="50" t="n"/>
      <c r="F430" s="48" t="n"/>
      <c r="G430" s="47" t="n"/>
      <c r="H430" s="47" t="n"/>
      <c r="I430" s="47" t="n"/>
      <c r="J430" s="47" t="n"/>
      <c r="K430" s="47" t="n"/>
      <c r="L430" s="47" t="n"/>
      <c r="M430" s="50" t="n"/>
      <c r="N430" s="50" t="n"/>
      <c r="O430" s="50" t="n"/>
      <c r="P430" s="48">
        <f>IF($F430="","",IF($J430="Yes",$F430+1,IF($G430="No",$F430+2,IF(N($I430)&gt;2,$F430+3,IF(N($I430)&gt;0,$F430+5,$F430+7)))))</f>
        <v/>
      </c>
      <c r="Q430" s="48">
        <f>IF($P430="","",IF($J430="Yes",$P430+3,IF($G430="No",$P430+5,IF(N($I430)&gt;0,$P430+7,$P430+14))))</f>
        <v/>
      </c>
      <c r="R430" s="48">
        <f>IF($Q430="","",IF($J430="Yes",$Q430+7,IF($G430="No",$Q430+14,$Q430+30)))</f>
        <v/>
      </c>
      <c r="S430" s="47" t="n"/>
      <c r="T430" s="50" t="n"/>
      <c r="U430" s="47">
        <f>IF($F430="","",MIN(24,MAX(1,ROUNDUP(($F430-DayPlan!$C$2+1)/7,0))))</f>
        <v/>
      </c>
      <c r="V430" s="47">
        <f>IF($A430=""," ",4*($J430="Yes")+3*($G430="No")+2*(N($I430)&gt;0)+1*(AND(ISNUMBER($H430),$H430&gt;45))+3*(AND(ISNUMBER($P430),$P430&lt;=TODAY()))-6*($S430="Yes")+(750-ROW())/100000)</f>
        <v/>
      </c>
      <c r="W430" s="47">
        <f>IF(OR($A430="",NOT(ISNUMBER($P430))),"",INT($P430-TODAY()))</f>
        <v/>
      </c>
      <c r="X430" s="47" t="n"/>
    </row>
    <row r="431">
      <c r="A431" s="50" t="n"/>
      <c r="B431" s="47" t="n"/>
      <c r="C431" s="47" t="n"/>
      <c r="D431" s="50" t="n"/>
      <c r="E431" s="50" t="n"/>
      <c r="F431" s="48" t="n"/>
      <c r="G431" s="47" t="n"/>
      <c r="H431" s="47" t="n"/>
      <c r="I431" s="47" t="n"/>
      <c r="J431" s="47" t="n"/>
      <c r="K431" s="47" t="n"/>
      <c r="L431" s="47" t="n"/>
      <c r="M431" s="50" t="n"/>
      <c r="N431" s="50" t="n"/>
      <c r="O431" s="50" t="n"/>
      <c r="P431" s="48">
        <f>IF($F431="","",IF($J431="Yes",$F431+1,IF($G431="No",$F431+2,IF(N($I431)&gt;2,$F431+3,IF(N($I431)&gt;0,$F431+5,$F431+7)))))</f>
        <v/>
      </c>
      <c r="Q431" s="48">
        <f>IF($P431="","",IF($J431="Yes",$P431+3,IF($G431="No",$P431+5,IF(N($I431)&gt;0,$P431+7,$P431+14))))</f>
        <v/>
      </c>
      <c r="R431" s="48">
        <f>IF($Q431="","",IF($J431="Yes",$Q431+7,IF($G431="No",$Q431+14,$Q431+30)))</f>
        <v/>
      </c>
      <c r="S431" s="47" t="n"/>
      <c r="T431" s="50" t="n"/>
      <c r="U431" s="47">
        <f>IF($F431="","",MIN(24,MAX(1,ROUNDUP(($F431-DayPlan!$C$2+1)/7,0))))</f>
        <v/>
      </c>
      <c r="V431" s="47">
        <f>IF($A431=""," ",4*($J431="Yes")+3*($G431="No")+2*(N($I431)&gt;0)+1*(AND(ISNUMBER($H431),$H431&gt;45))+3*(AND(ISNUMBER($P431),$P431&lt;=TODAY()))-6*($S431="Yes")+(750-ROW())/100000)</f>
        <v/>
      </c>
      <c r="W431" s="47">
        <f>IF(OR($A431="",NOT(ISNUMBER($P431))),"",INT($P431-TODAY()))</f>
        <v/>
      </c>
      <c r="X431" s="47" t="n"/>
    </row>
    <row r="432">
      <c r="A432" s="50" t="n"/>
      <c r="B432" s="47" t="n"/>
      <c r="C432" s="47" t="n"/>
      <c r="D432" s="50" t="n"/>
      <c r="E432" s="50" t="n"/>
      <c r="F432" s="48" t="n"/>
      <c r="G432" s="47" t="n"/>
      <c r="H432" s="47" t="n"/>
      <c r="I432" s="47" t="n"/>
      <c r="J432" s="47" t="n"/>
      <c r="K432" s="47" t="n"/>
      <c r="L432" s="47" t="n"/>
      <c r="M432" s="50" t="n"/>
      <c r="N432" s="50" t="n"/>
      <c r="O432" s="50" t="n"/>
      <c r="P432" s="48">
        <f>IF($F432="","",IF($J432="Yes",$F432+1,IF($G432="No",$F432+2,IF(N($I432)&gt;2,$F432+3,IF(N($I432)&gt;0,$F432+5,$F432+7)))))</f>
        <v/>
      </c>
      <c r="Q432" s="48">
        <f>IF($P432="","",IF($J432="Yes",$P432+3,IF($G432="No",$P432+5,IF(N($I432)&gt;0,$P432+7,$P432+14))))</f>
        <v/>
      </c>
      <c r="R432" s="48">
        <f>IF($Q432="","",IF($J432="Yes",$Q432+7,IF($G432="No",$Q432+14,$Q432+30)))</f>
        <v/>
      </c>
      <c r="S432" s="47" t="n"/>
      <c r="T432" s="50" t="n"/>
      <c r="U432" s="47">
        <f>IF($F432="","",MIN(24,MAX(1,ROUNDUP(($F432-DayPlan!$C$2+1)/7,0))))</f>
        <v/>
      </c>
      <c r="V432" s="47">
        <f>IF($A432=""," ",4*($J432="Yes")+3*($G432="No")+2*(N($I432)&gt;0)+1*(AND(ISNUMBER($H432),$H432&gt;45))+3*(AND(ISNUMBER($P432),$P432&lt;=TODAY()))-6*($S432="Yes")+(750-ROW())/100000)</f>
        <v/>
      </c>
      <c r="W432" s="47">
        <f>IF(OR($A432="",NOT(ISNUMBER($P432))),"",INT($P432-TODAY()))</f>
        <v/>
      </c>
      <c r="X432" s="47" t="n"/>
    </row>
    <row r="433">
      <c r="A433" s="50" t="n"/>
      <c r="B433" s="47" t="n"/>
      <c r="C433" s="47" t="n"/>
      <c r="D433" s="50" t="n"/>
      <c r="E433" s="50" t="n"/>
      <c r="F433" s="48" t="n"/>
      <c r="G433" s="47" t="n"/>
      <c r="H433" s="47" t="n"/>
      <c r="I433" s="47" t="n"/>
      <c r="J433" s="47" t="n"/>
      <c r="K433" s="47" t="n"/>
      <c r="L433" s="47" t="n"/>
      <c r="M433" s="50" t="n"/>
      <c r="N433" s="50" t="n"/>
      <c r="O433" s="50" t="n"/>
      <c r="P433" s="48">
        <f>IF($F433="","",IF($J433="Yes",$F433+1,IF($G433="No",$F433+2,IF(N($I433)&gt;2,$F433+3,IF(N($I433)&gt;0,$F433+5,$F433+7)))))</f>
        <v/>
      </c>
      <c r="Q433" s="48">
        <f>IF($P433="","",IF($J433="Yes",$P433+3,IF($G433="No",$P433+5,IF(N($I433)&gt;0,$P433+7,$P433+14))))</f>
        <v/>
      </c>
      <c r="R433" s="48">
        <f>IF($Q433="","",IF($J433="Yes",$Q433+7,IF($G433="No",$Q433+14,$Q433+30)))</f>
        <v/>
      </c>
      <c r="S433" s="47" t="n"/>
      <c r="T433" s="50" t="n"/>
      <c r="U433" s="47">
        <f>IF($F433="","",MIN(24,MAX(1,ROUNDUP(($F433-DayPlan!$C$2+1)/7,0))))</f>
        <v/>
      </c>
      <c r="V433" s="47">
        <f>IF($A433=""," ",4*($J433="Yes")+3*($G433="No")+2*(N($I433)&gt;0)+1*(AND(ISNUMBER($H433),$H433&gt;45))+3*(AND(ISNUMBER($P433),$P433&lt;=TODAY()))-6*($S433="Yes")+(750-ROW())/100000)</f>
        <v/>
      </c>
      <c r="W433" s="47">
        <f>IF(OR($A433="",NOT(ISNUMBER($P433))),"",INT($P433-TODAY()))</f>
        <v/>
      </c>
      <c r="X433" s="47" t="n"/>
    </row>
    <row r="434">
      <c r="A434" s="50" t="n"/>
      <c r="B434" s="47" t="n"/>
      <c r="C434" s="47" t="n"/>
      <c r="D434" s="50" t="n"/>
      <c r="E434" s="50" t="n"/>
      <c r="F434" s="48" t="n"/>
      <c r="G434" s="47" t="n"/>
      <c r="H434" s="47" t="n"/>
      <c r="I434" s="47" t="n"/>
      <c r="J434" s="47" t="n"/>
      <c r="K434" s="47" t="n"/>
      <c r="L434" s="47" t="n"/>
      <c r="M434" s="50" t="n"/>
      <c r="N434" s="50" t="n"/>
      <c r="O434" s="50" t="n"/>
      <c r="P434" s="48">
        <f>IF($F434="","",IF($J434="Yes",$F434+1,IF($G434="No",$F434+2,IF(N($I434)&gt;2,$F434+3,IF(N($I434)&gt;0,$F434+5,$F434+7)))))</f>
        <v/>
      </c>
      <c r="Q434" s="48">
        <f>IF($P434="","",IF($J434="Yes",$P434+3,IF($G434="No",$P434+5,IF(N($I434)&gt;0,$P434+7,$P434+14))))</f>
        <v/>
      </c>
      <c r="R434" s="48">
        <f>IF($Q434="","",IF($J434="Yes",$Q434+7,IF($G434="No",$Q434+14,$Q434+30)))</f>
        <v/>
      </c>
      <c r="S434" s="47" t="n"/>
      <c r="T434" s="50" t="n"/>
      <c r="U434" s="47">
        <f>IF($F434="","",MIN(24,MAX(1,ROUNDUP(($F434-DayPlan!$C$2+1)/7,0))))</f>
        <v/>
      </c>
      <c r="V434" s="47">
        <f>IF($A434=""," ",4*($J434="Yes")+3*($G434="No")+2*(N($I434)&gt;0)+1*(AND(ISNUMBER($H434),$H434&gt;45))+3*(AND(ISNUMBER($P434),$P434&lt;=TODAY()))-6*($S434="Yes")+(750-ROW())/100000)</f>
        <v/>
      </c>
      <c r="W434" s="47">
        <f>IF(OR($A434="",NOT(ISNUMBER($P434))),"",INT($P434-TODAY()))</f>
        <v/>
      </c>
      <c r="X434" s="47" t="n"/>
    </row>
    <row r="435">
      <c r="A435" s="50" t="n"/>
      <c r="B435" s="47" t="n"/>
      <c r="C435" s="47" t="n"/>
      <c r="D435" s="50" t="n"/>
      <c r="E435" s="50" t="n"/>
      <c r="F435" s="48" t="n"/>
      <c r="G435" s="47" t="n"/>
      <c r="H435" s="47" t="n"/>
      <c r="I435" s="47" t="n"/>
      <c r="J435" s="47" t="n"/>
      <c r="K435" s="47" t="n"/>
      <c r="L435" s="47" t="n"/>
      <c r="M435" s="50" t="n"/>
      <c r="N435" s="50" t="n"/>
      <c r="O435" s="50" t="n"/>
      <c r="P435" s="48">
        <f>IF($F435="","",IF($J435="Yes",$F435+1,IF($G435="No",$F435+2,IF(N($I435)&gt;2,$F435+3,IF(N($I435)&gt;0,$F435+5,$F435+7)))))</f>
        <v/>
      </c>
      <c r="Q435" s="48">
        <f>IF($P435="","",IF($J435="Yes",$P435+3,IF($G435="No",$P435+5,IF(N($I435)&gt;0,$P435+7,$P435+14))))</f>
        <v/>
      </c>
      <c r="R435" s="48">
        <f>IF($Q435="","",IF($J435="Yes",$Q435+7,IF($G435="No",$Q435+14,$Q435+30)))</f>
        <v/>
      </c>
      <c r="S435" s="47" t="n"/>
      <c r="T435" s="50" t="n"/>
      <c r="U435" s="47">
        <f>IF($F435="","",MIN(24,MAX(1,ROUNDUP(($F435-DayPlan!$C$2+1)/7,0))))</f>
        <v/>
      </c>
      <c r="V435" s="47">
        <f>IF($A435=""," ",4*($J435="Yes")+3*($G435="No")+2*(N($I435)&gt;0)+1*(AND(ISNUMBER($H435),$H435&gt;45))+3*(AND(ISNUMBER($P435),$P435&lt;=TODAY()))-6*($S435="Yes")+(750-ROW())/100000)</f>
        <v/>
      </c>
      <c r="W435" s="47">
        <f>IF(OR($A435="",NOT(ISNUMBER($P435))),"",INT($P435-TODAY()))</f>
        <v/>
      </c>
      <c r="X435" s="47" t="n"/>
    </row>
    <row r="436">
      <c r="A436" s="50" t="n"/>
      <c r="B436" s="47" t="n"/>
      <c r="C436" s="47" t="n"/>
      <c r="D436" s="50" t="n"/>
      <c r="E436" s="50" t="n"/>
      <c r="F436" s="48" t="n"/>
      <c r="G436" s="47" t="n"/>
      <c r="H436" s="47" t="n"/>
      <c r="I436" s="47" t="n"/>
      <c r="J436" s="47" t="n"/>
      <c r="K436" s="47" t="n"/>
      <c r="L436" s="47" t="n"/>
      <c r="M436" s="50" t="n"/>
      <c r="N436" s="50" t="n"/>
      <c r="O436" s="50" t="n"/>
      <c r="P436" s="48">
        <f>IF($F436="","",IF($J436="Yes",$F436+1,IF($G436="No",$F436+2,IF(N($I436)&gt;2,$F436+3,IF(N($I436)&gt;0,$F436+5,$F436+7)))))</f>
        <v/>
      </c>
      <c r="Q436" s="48">
        <f>IF($P436="","",IF($J436="Yes",$P436+3,IF($G436="No",$P436+5,IF(N($I436)&gt;0,$P436+7,$P436+14))))</f>
        <v/>
      </c>
      <c r="R436" s="48">
        <f>IF($Q436="","",IF($J436="Yes",$Q436+7,IF($G436="No",$Q436+14,$Q436+30)))</f>
        <v/>
      </c>
      <c r="S436" s="47" t="n"/>
      <c r="T436" s="50" t="n"/>
      <c r="U436" s="47">
        <f>IF($F436="","",MIN(24,MAX(1,ROUNDUP(($F436-DayPlan!$C$2+1)/7,0))))</f>
        <v/>
      </c>
      <c r="V436" s="47">
        <f>IF($A436=""," ",4*($J436="Yes")+3*($G436="No")+2*(N($I436)&gt;0)+1*(AND(ISNUMBER($H436),$H436&gt;45))+3*(AND(ISNUMBER($P436),$P436&lt;=TODAY()))-6*($S436="Yes")+(750-ROW())/100000)</f>
        <v/>
      </c>
      <c r="W436" s="47">
        <f>IF(OR($A436="",NOT(ISNUMBER($P436))),"",INT($P436-TODAY()))</f>
        <v/>
      </c>
      <c r="X436" s="47" t="n"/>
    </row>
    <row r="437">
      <c r="A437" s="50" t="n"/>
      <c r="B437" s="47" t="n"/>
      <c r="C437" s="47" t="n"/>
      <c r="D437" s="50" t="n"/>
      <c r="E437" s="50" t="n"/>
      <c r="F437" s="48" t="n"/>
      <c r="G437" s="47" t="n"/>
      <c r="H437" s="47" t="n"/>
      <c r="I437" s="47" t="n"/>
      <c r="J437" s="47" t="n"/>
      <c r="K437" s="47" t="n"/>
      <c r="L437" s="47" t="n"/>
      <c r="M437" s="50" t="n"/>
      <c r="N437" s="50" t="n"/>
      <c r="O437" s="50" t="n"/>
      <c r="P437" s="48">
        <f>IF($F437="","",IF($J437="Yes",$F437+1,IF($G437="No",$F437+2,IF(N($I437)&gt;2,$F437+3,IF(N($I437)&gt;0,$F437+5,$F437+7)))))</f>
        <v/>
      </c>
      <c r="Q437" s="48">
        <f>IF($P437="","",IF($J437="Yes",$P437+3,IF($G437="No",$P437+5,IF(N($I437)&gt;0,$P437+7,$P437+14))))</f>
        <v/>
      </c>
      <c r="R437" s="48">
        <f>IF($Q437="","",IF($J437="Yes",$Q437+7,IF($G437="No",$Q437+14,$Q437+30)))</f>
        <v/>
      </c>
      <c r="S437" s="47" t="n"/>
      <c r="T437" s="50" t="n"/>
      <c r="U437" s="47">
        <f>IF($F437="","",MIN(24,MAX(1,ROUNDUP(($F437-DayPlan!$C$2+1)/7,0))))</f>
        <v/>
      </c>
      <c r="V437" s="47">
        <f>IF($A437=""," ",4*($J437="Yes")+3*($G437="No")+2*(N($I437)&gt;0)+1*(AND(ISNUMBER($H437),$H437&gt;45))+3*(AND(ISNUMBER($P437),$P437&lt;=TODAY()))-6*($S437="Yes")+(750-ROW())/100000)</f>
        <v/>
      </c>
      <c r="W437" s="47">
        <f>IF(OR($A437="",NOT(ISNUMBER($P437))),"",INT($P437-TODAY()))</f>
        <v/>
      </c>
      <c r="X437" s="47" t="n"/>
    </row>
    <row r="438">
      <c r="A438" s="50" t="n"/>
      <c r="B438" s="47" t="n"/>
      <c r="C438" s="47" t="n"/>
      <c r="D438" s="50" t="n"/>
      <c r="E438" s="50" t="n"/>
      <c r="F438" s="48" t="n"/>
      <c r="G438" s="47" t="n"/>
      <c r="H438" s="47" t="n"/>
      <c r="I438" s="47" t="n"/>
      <c r="J438" s="47" t="n"/>
      <c r="K438" s="47" t="n"/>
      <c r="L438" s="47" t="n"/>
      <c r="M438" s="50" t="n"/>
      <c r="N438" s="50" t="n"/>
      <c r="O438" s="50" t="n"/>
      <c r="P438" s="48">
        <f>IF($F438="","",IF($J438="Yes",$F438+1,IF($G438="No",$F438+2,IF(N($I438)&gt;2,$F438+3,IF(N($I438)&gt;0,$F438+5,$F438+7)))))</f>
        <v/>
      </c>
      <c r="Q438" s="48">
        <f>IF($P438="","",IF($J438="Yes",$P438+3,IF($G438="No",$P438+5,IF(N($I438)&gt;0,$P438+7,$P438+14))))</f>
        <v/>
      </c>
      <c r="R438" s="48">
        <f>IF($Q438="","",IF($J438="Yes",$Q438+7,IF($G438="No",$Q438+14,$Q438+30)))</f>
        <v/>
      </c>
      <c r="S438" s="47" t="n"/>
      <c r="T438" s="50" t="n"/>
      <c r="U438" s="47">
        <f>IF($F438="","",MIN(24,MAX(1,ROUNDUP(($F438-DayPlan!$C$2+1)/7,0))))</f>
        <v/>
      </c>
      <c r="V438" s="47">
        <f>IF($A438=""," ",4*($J438="Yes")+3*($G438="No")+2*(N($I438)&gt;0)+1*(AND(ISNUMBER($H438),$H438&gt;45))+3*(AND(ISNUMBER($P438),$P438&lt;=TODAY()))-6*($S438="Yes")+(750-ROW())/100000)</f>
        <v/>
      </c>
      <c r="W438" s="47">
        <f>IF(OR($A438="",NOT(ISNUMBER($P438))),"",INT($P438-TODAY()))</f>
        <v/>
      </c>
      <c r="X438" s="47" t="n"/>
    </row>
    <row r="439">
      <c r="A439" s="50" t="n"/>
      <c r="B439" s="47" t="n"/>
      <c r="C439" s="47" t="n"/>
      <c r="D439" s="50" t="n"/>
      <c r="E439" s="50" t="n"/>
      <c r="F439" s="48" t="n"/>
      <c r="G439" s="47" t="n"/>
      <c r="H439" s="47" t="n"/>
      <c r="I439" s="47" t="n"/>
      <c r="J439" s="47" t="n"/>
      <c r="K439" s="47" t="n"/>
      <c r="L439" s="47" t="n"/>
      <c r="M439" s="50" t="n"/>
      <c r="N439" s="50" t="n"/>
      <c r="O439" s="50" t="n"/>
      <c r="P439" s="48">
        <f>IF($F439="","",IF($J439="Yes",$F439+1,IF($G439="No",$F439+2,IF(N($I439)&gt;2,$F439+3,IF(N($I439)&gt;0,$F439+5,$F439+7)))))</f>
        <v/>
      </c>
      <c r="Q439" s="48">
        <f>IF($P439="","",IF($J439="Yes",$P439+3,IF($G439="No",$P439+5,IF(N($I439)&gt;0,$P439+7,$P439+14))))</f>
        <v/>
      </c>
      <c r="R439" s="48">
        <f>IF($Q439="","",IF($J439="Yes",$Q439+7,IF($G439="No",$Q439+14,$Q439+30)))</f>
        <v/>
      </c>
      <c r="S439" s="47" t="n"/>
      <c r="T439" s="50" t="n"/>
      <c r="U439" s="47">
        <f>IF($F439="","",MIN(24,MAX(1,ROUNDUP(($F439-DayPlan!$C$2+1)/7,0))))</f>
        <v/>
      </c>
      <c r="V439" s="47">
        <f>IF($A439=""," ",4*($J439="Yes")+3*($G439="No")+2*(N($I439)&gt;0)+1*(AND(ISNUMBER($H439),$H439&gt;45))+3*(AND(ISNUMBER($P439),$P439&lt;=TODAY()))-6*($S439="Yes")+(750-ROW())/100000)</f>
        <v/>
      </c>
      <c r="W439" s="47">
        <f>IF(OR($A439="",NOT(ISNUMBER($P439))),"",INT($P439-TODAY()))</f>
        <v/>
      </c>
      <c r="X439" s="47" t="n"/>
    </row>
    <row r="440">
      <c r="A440" s="50" t="n"/>
      <c r="B440" s="47" t="n"/>
      <c r="C440" s="47" t="n"/>
      <c r="D440" s="50" t="n"/>
      <c r="E440" s="50" t="n"/>
      <c r="F440" s="48" t="n"/>
      <c r="G440" s="47" t="n"/>
      <c r="H440" s="47" t="n"/>
      <c r="I440" s="47" t="n"/>
      <c r="J440" s="47" t="n"/>
      <c r="K440" s="47" t="n"/>
      <c r="L440" s="47" t="n"/>
      <c r="M440" s="50" t="n"/>
      <c r="N440" s="50" t="n"/>
      <c r="O440" s="50" t="n"/>
      <c r="P440" s="48">
        <f>IF($F440="","",IF($J440="Yes",$F440+1,IF($G440="No",$F440+2,IF(N($I440)&gt;2,$F440+3,IF(N($I440)&gt;0,$F440+5,$F440+7)))))</f>
        <v/>
      </c>
      <c r="Q440" s="48">
        <f>IF($P440="","",IF($J440="Yes",$P440+3,IF($G440="No",$P440+5,IF(N($I440)&gt;0,$P440+7,$P440+14))))</f>
        <v/>
      </c>
      <c r="R440" s="48">
        <f>IF($Q440="","",IF($J440="Yes",$Q440+7,IF($G440="No",$Q440+14,$Q440+30)))</f>
        <v/>
      </c>
      <c r="S440" s="47" t="n"/>
      <c r="T440" s="50" t="n"/>
      <c r="U440" s="47">
        <f>IF($F440="","",MIN(24,MAX(1,ROUNDUP(($F440-DayPlan!$C$2+1)/7,0))))</f>
        <v/>
      </c>
      <c r="V440" s="47">
        <f>IF($A440=""," ",4*($J440="Yes")+3*($G440="No")+2*(N($I440)&gt;0)+1*(AND(ISNUMBER($H440),$H440&gt;45))+3*(AND(ISNUMBER($P440),$P440&lt;=TODAY()))-6*($S440="Yes")+(750-ROW())/100000)</f>
        <v/>
      </c>
      <c r="W440" s="47">
        <f>IF(OR($A440="",NOT(ISNUMBER($P440))),"",INT($P440-TODAY()))</f>
        <v/>
      </c>
      <c r="X440" s="47" t="n"/>
    </row>
    <row r="441">
      <c r="A441" s="50" t="n"/>
      <c r="B441" s="47" t="n"/>
      <c r="C441" s="47" t="n"/>
      <c r="D441" s="50" t="n"/>
      <c r="E441" s="50" t="n"/>
      <c r="F441" s="48" t="n"/>
      <c r="G441" s="47" t="n"/>
      <c r="H441" s="47" t="n"/>
      <c r="I441" s="47" t="n"/>
      <c r="J441" s="47" t="n"/>
      <c r="K441" s="47" t="n"/>
      <c r="L441" s="47" t="n"/>
      <c r="M441" s="50" t="n"/>
      <c r="N441" s="50" t="n"/>
      <c r="O441" s="50" t="n"/>
      <c r="P441" s="48">
        <f>IF($F441="","",IF($J441="Yes",$F441+1,IF($G441="No",$F441+2,IF(N($I441)&gt;2,$F441+3,IF(N($I441)&gt;0,$F441+5,$F441+7)))))</f>
        <v/>
      </c>
      <c r="Q441" s="48">
        <f>IF($P441="","",IF($J441="Yes",$P441+3,IF($G441="No",$P441+5,IF(N($I441)&gt;0,$P441+7,$P441+14))))</f>
        <v/>
      </c>
      <c r="R441" s="48">
        <f>IF($Q441="","",IF($J441="Yes",$Q441+7,IF($G441="No",$Q441+14,$Q441+30)))</f>
        <v/>
      </c>
      <c r="S441" s="47" t="n"/>
      <c r="T441" s="50" t="n"/>
      <c r="U441" s="47">
        <f>IF($F441="","",MIN(24,MAX(1,ROUNDUP(($F441-DayPlan!$C$2+1)/7,0))))</f>
        <v/>
      </c>
      <c r="V441" s="47">
        <f>IF($A441=""," ",4*($J441="Yes")+3*($G441="No")+2*(N($I441)&gt;0)+1*(AND(ISNUMBER($H441),$H441&gt;45))+3*(AND(ISNUMBER($P441),$P441&lt;=TODAY()))-6*($S441="Yes")+(750-ROW())/100000)</f>
        <v/>
      </c>
      <c r="W441" s="47">
        <f>IF(OR($A441="",NOT(ISNUMBER($P441))),"",INT($P441-TODAY()))</f>
        <v/>
      </c>
      <c r="X441" s="47" t="n"/>
    </row>
    <row r="442">
      <c r="A442" s="50" t="n"/>
      <c r="B442" s="47" t="n"/>
      <c r="C442" s="47" t="n"/>
      <c r="D442" s="50" t="n"/>
      <c r="E442" s="50" t="n"/>
      <c r="F442" s="48" t="n"/>
      <c r="G442" s="47" t="n"/>
      <c r="H442" s="47" t="n"/>
      <c r="I442" s="47" t="n"/>
      <c r="J442" s="47" t="n"/>
      <c r="K442" s="47" t="n"/>
      <c r="L442" s="47" t="n"/>
      <c r="M442" s="50" t="n"/>
      <c r="N442" s="50" t="n"/>
      <c r="O442" s="50" t="n"/>
      <c r="P442" s="48">
        <f>IF($F442="","",IF($J442="Yes",$F442+1,IF($G442="No",$F442+2,IF(N($I442)&gt;2,$F442+3,IF(N($I442)&gt;0,$F442+5,$F442+7)))))</f>
        <v/>
      </c>
      <c r="Q442" s="48">
        <f>IF($P442="","",IF($J442="Yes",$P442+3,IF($G442="No",$P442+5,IF(N($I442)&gt;0,$P442+7,$P442+14))))</f>
        <v/>
      </c>
      <c r="R442" s="48">
        <f>IF($Q442="","",IF($J442="Yes",$Q442+7,IF($G442="No",$Q442+14,$Q442+30)))</f>
        <v/>
      </c>
      <c r="S442" s="47" t="n"/>
      <c r="T442" s="50" t="n"/>
      <c r="U442" s="47">
        <f>IF($F442="","",MIN(24,MAX(1,ROUNDUP(($F442-DayPlan!$C$2+1)/7,0))))</f>
        <v/>
      </c>
      <c r="V442" s="47">
        <f>IF($A442=""," ",4*($J442="Yes")+3*($G442="No")+2*(N($I442)&gt;0)+1*(AND(ISNUMBER($H442),$H442&gt;45))+3*(AND(ISNUMBER($P442),$P442&lt;=TODAY()))-6*($S442="Yes")+(750-ROW())/100000)</f>
        <v/>
      </c>
      <c r="W442" s="47">
        <f>IF(OR($A442="",NOT(ISNUMBER($P442))),"",INT($P442-TODAY()))</f>
        <v/>
      </c>
      <c r="X442" s="47" t="n"/>
    </row>
    <row r="443">
      <c r="A443" s="50" t="n"/>
      <c r="B443" s="47" t="n"/>
      <c r="C443" s="47" t="n"/>
      <c r="D443" s="50" t="n"/>
      <c r="E443" s="50" t="n"/>
      <c r="F443" s="48" t="n"/>
      <c r="G443" s="47" t="n"/>
      <c r="H443" s="47" t="n"/>
      <c r="I443" s="47" t="n"/>
      <c r="J443" s="47" t="n"/>
      <c r="K443" s="47" t="n"/>
      <c r="L443" s="47" t="n"/>
      <c r="M443" s="50" t="n"/>
      <c r="N443" s="50" t="n"/>
      <c r="O443" s="50" t="n"/>
      <c r="P443" s="48">
        <f>IF($F443="","",IF($J443="Yes",$F443+1,IF($G443="No",$F443+2,IF(N($I443)&gt;2,$F443+3,IF(N($I443)&gt;0,$F443+5,$F443+7)))))</f>
        <v/>
      </c>
      <c r="Q443" s="48">
        <f>IF($P443="","",IF($J443="Yes",$P443+3,IF($G443="No",$P443+5,IF(N($I443)&gt;0,$P443+7,$P443+14))))</f>
        <v/>
      </c>
      <c r="R443" s="48">
        <f>IF($Q443="","",IF($J443="Yes",$Q443+7,IF($G443="No",$Q443+14,$Q443+30)))</f>
        <v/>
      </c>
      <c r="S443" s="47" t="n"/>
      <c r="T443" s="50" t="n"/>
      <c r="U443" s="47">
        <f>IF($F443="","",MIN(24,MAX(1,ROUNDUP(($F443-DayPlan!$C$2+1)/7,0))))</f>
        <v/>
      </c>
      <c r="V443" s="47">
        <f>IF($A443=""," ",4*($J443="Yes")+3*($G443="No")+2*(N($I443)&gt;0)+1*(AND(ISNUMBER($H443),$H443&gt;45))+3*(AND(ISNUMBER($P443),$P443&lt;=TODAY()))-6*($S443="Yes")+(750-ROW())/100000)</f>
        <v/>
      </c>
      <c r="W443" s="47">
        <f>IF(OR($A443="",NOT(ISNUMBER($P443))),"",INT($P443-TODAY()))</f>
        <v/>
      </c>
      <c r="X443" s="47" t="n"/>
    </row>
    <row r="444">
      <c r="A444" s="50" t="n"/>
      <c r="B444" s="47" t="n"/>
      <c r="C444" s="47" t="n"/>
      <c r="D444" s="50" t="n"/>
      <c r="E444" s="50" t="n"/>
      <c r="F444" s="48" t="n"/>
      <c r="G444" s="47" t="n"/>
      <c r="H444" s="47" t="n"/>
      <c r="I444" s="47" t="n"/>
      <c r="J444" s="47" t="n"/>
      <c r="K444" s="47" t="n"/>
      <c r="L444" s="47" t="n"/>
      <c r="M444" s="50" t="n"/>
      <c r="N444" s="50" t="n"/>
      <c r="O444" s="50" t="n"/>
      <c r="P444" s="48">
        <f>IF($F444="","",IF($J444="Yes",$F444+1,IF($G444="No",$F444+2,IF(N($I444)&gt;2,$F444+3,IF(N($I444)&gt;0,$F444+5,$F444+7)))))</f>
        <v/>
      </c>
      <c r="Q444" s="48">
        <f>IF($P444="","",IF($J444="Yes",$P444+3,IF($G444="No",$P444+5,IF(N($I444)&gt;0,$P444+7,$P444+14))))</f>
        <v/>
      </c>
      <c r="R444" s="48">
        <f>IF($Q444="","",IF($J444="Yes",$Q444+7,IF($G444="No",$Q444+14,$Q444+30)))</f>
        <v/>
      </c>
      <c r="S444" s="47" t="n"/>
      <c r="T444" s="50" t="n"/>
      <c r="U444" s="47">
        <f>IF($F444="","",MIN(24,MAX(1,ROUNDUP(($F444-DayPlan!$C$2+1)/7,0))))</f>
        <v/>
      </c>
      <c r="V444" s="47">
        <f>IF($A444=""," ",4*($J444="Yes")+3*($G444="No")+2*(N($I444)&gt;0)+1*(AND(ISNUMBER($H444),$H444&gt;45))+3*(AND(ISNUMBER($P444),$P444&lt;=TODAY()))-6*($S444="Yes")+(750-ROW())/100000)</f>
        <v/>
      </c>
      <c r="W444" s="47">
        <f>IF(OR($A444="",NOT(ISNUMBER($P444))),"",INT($P444-TODAY()))</f>
        <v/>
      </c>
      <c r="X444" s="47" t="n"/>
    </row>
    <row r="445">
      <c r="A445" s="50" t="n"/>
      <c r="B445" s="47" t="n"/>
      <c r="C445" s="47" t="n"/>
      <c r="D445" s="50" t="n"/>
      <c r="E445" s="50" t="n"/>
      <c r="F445" s="48" t="n"/>
      <c r="G445" s="47" t="n"/>
      <c r="H445" s="47" t="n"/>
      <c r="I445" s="47" t="n"/>
      <c r="J445" s="47" t="n"/>
      <c r="K445" s="47" t="n"/>
      <c r="L445" s="47" t="n"/>
      <c r="M445" s="50" t="n"/>
      <c r="N445" s="50" t="n"/>
      <c r="O445" s="50" t="n"/>
      <c r="P445" s="48">
        <f>IF($F445="","",IF($J445="Yes",$F445+1,IF($G445="No",$F445+2,IF(N($I445)&gt;2,$F445+3,IF(N($I445)&gt;0,$F445+5,$F445+7)))))</f>
        <v/>
      </c>
      <c r="Q445" s="48">
        <f>IF($P445="","",IF($J445="Yes",$P445+3,IF($G445="No",$P445+5,IF(N($I445)&gt;0,$P445+7,$P445+14))))</f>
        <v/>
      </c>
      <c r="R445" s="48">
        <f>IF($Q445="","",IF($J445="Yes",$Q445+7,IF($G445="No",$Q445+14,$Q445+30)))</f>
        <v/>
      </c>
      <c r="S445" s="47" t="n"/>
      <c r="T445" s="50" t="n"/>
      <c r="U445" s="47">
        <f>IF($F445="","",MIN(24,MAX(1,ROUNDUP(($F445-DayPlan!$C$2+1)/7,0))))</f>
        <v/>
      </c>
      <c r="V445" s="47">
        <f>IF($A445=""," ",4*($J445="Yes")+3*($G445="No")+2*(N($I445)&gt;0)+1*(AND(ISNUMBER($H445),$H445&gt;45))+3*(AND(ISNUMBER($P445),$P445&lt;=TODAY()))-6*($S445="Yes")+(750-ROW())/100000)</f>
        <v/>
      </c>
      <c r="W445" s="47">
        <f>IF(OR($A445="",NOT(ISNUMBER($P445))),"",INT($P445-TODAY()))</f>
        <v/>
      </c>
      <c r="X445" s="47" t="n"/>
    </row>
    <row r="446">
      <c r="A446" s="50" t="n"/>
      <c r="B446" s="47" t="n"/>
      <c r="C446" s="47" t="n"/>
      <c r="D446" s="50" t="n"/>
      <c r="E446" s="50" t="n"/>
      <c r="F446" s="48" t="n"/>
      <c r="G446" s="47" t="n"/>
      <c r="H446" s="47" t="n"/>
      <c r="I446" s="47" t="n"/>
      <c r="J446" s="47" t="n"/>
      <c r="K446" s="47" t="n"/>
      <c r="L446" s="47" t="n"/>
      <c r="M446" s="50" t="n"/>
      <c r="N446" s="50" t="n"/>
      <c r="O446" s="50" t="n"/>
      <c r="P446" s="48">
        <f>IF($F446="","",IF($J446="Yes",$F446+1,IF($G446="No",$F446+2,IF(N($I446)&gt;2,$F446+3,IF(N($I446)&gt;0,$F446+5,$F446+7)))))</f>
        <v/>
      </c>
      <c r="Q446" s="48">
        <f>IF($P446="","",IF($J446="Yes",$P446+3,IF($G446="No",$P446+5,IF(N($I446)&gt;0,$P446+7,$P446+14))))</f>
        <v/>
      </c>
      <c r="R446" s="48">
        <f>IF($Q446="","",IF($J446="Yes",$Q446+7,IF($G446="No",$Q446+14,$Q446+30)))</f>
        <v/>
      </c>
      <c r="S446" s="47" t="n"/>
      <c r="T446" s="50" t="n"/>
      <c r="U446" s="47">
        <f>IF($F446="","",MIN(24,MAX(1,ROUNDUP(($F446-DayPlan!$C$2+1)/7,0))))</f>
        <v/>
      </c>
      <c r="V446" s="47">
        <f>IF($A446=""," ",4*($J446="Yes")+3*($G446="No")+2*(N($I446)&gt;0)+1*(AND(ISNUMBER($H446),$H446&gt;45))+3*(AND(ISNUMBER($P446),$P446&lt;=TODAY()))-6*($S446="Yes")+(750-ROW())/100000)</f>
        <v/>
      </c>
      <c r="W446" s="47">
        <f>IF(OR($A446="",NOT(ISNUMBER($P446))),"",INT($P446-TODAY()))</f>
        <v/>
      </c>
      <c r="X446" s="47" t="n"/>
    </row>
    <row r="447">
      <c r="A447" s="50" t="n"/>
      <c r="B447" s="47" t="n"/>
      <c r="C447" s="47" t="n"/>
      <c r="D447" s="50" t="n"/>
      <c r="E447" s="50" t="n"/>
      <c r="F447" s="48" t="n"/>
      <c r="G447" s="47" t="n"/>
      <c r="H447" s="47" t="n"/>
      <c r="I447" s="47" t="n"/>
      <c r="J447" s="47" t="n"/>
      <c r="K447" s="47" t="n"/>
      <c r="L447" s="47" t="n"/>
      <c r="M447" s="50" t="n"/>
      <c r="N447" s="50" t="n"/>
      <c r="O447" s="50" t="n"/>
      <c r="P447" s="48">
        <f>IF($F447="","",IF($J447="Yes",$F447+1,IF($G447="No",$F447+2,IF(N($I447)&gt;2,$F447+3,IF(N($I447)&gt;0,$F447+5,$F447+7)))))</f>
        <v/>
      </c>
      <c r="Q447" s="48">
        <f>IF($P447="","",IF($J447="Yes",$P447+3,IF($G447="No",$P447+5,IF(N($I447)&gt;0,$P447+7,$P447+14))))</f>
        <v/>
      </c>
      <c r="R447" s="48">
        <f>IF($Q447="","",IF($J447="Yes",$Q447+7,IF($G447="No",$Q447+14,$Q447+30)))</f>
        <v/>
      </c>
      <c r="S447" s="47" t="n"/>
      <c r="T447" s="50" t="n"/>
      <c r="U447" s="47">
        <f>IF($F447="","",MIN(24,MAX(1,ROUNDUP(($F447-DayPlan!$C$2+1)/7,0))))</f>
        <v/>
      </c>
      <c r="V447" s="47">
        <f>IF($A447=""," ",4*($J447="Yes")+3*($G447="No")+2*(N($I447)&gt;0)+1*(AND(ISNUMBER($H447),$H447&gt;45))+3*(AND(ISNUMBER($P447),$P447&lt;=TODAY()))-6*($S447="Yes")+(750-ROW())/100000)</f>
        <v/>
      </c>
      <c r="W447" s="47">
        <f>IF(OR($A447="",NOT(ISNUMBER($P447))),"",INT($P447-TODAY()))</f>
        <v/>
      </c>
      <c r="X447" s="47" t="n"/>
    </row>
    <row r="448">
      <c r="A448" s="50" t="n"/>
      <c r="B448" s="47" t="n"/>
      <c r="C448" s="47" t="n"/>
      <c r="D448" s="50" t="n"/>
      <c r="E448" s="50" t="n"/>
      <c r="F448" s="48" t="n"/>
      <c r="G448" s="47" t="n"/>
      <c r="H448" s="47" t="n"/>
      <c r="I448" s="47" t="n"/>
      <c r="J448" s="47" t="n"/>
      <c r="K448" s="47" t="n"/>
      <c r="L448" s="47" t="n"/>
      <c r="M448" s="50" t="n"/>
      <c r="N448" s="50" t="n"/>
      <c r="O448" s="50" t="n"/>
      <c r="P448" s="48">
        <f>IF($F448="","",IF($J448="Yes",$F448+1,IF($G448="No",$F448+2,IF(N($I448)&gt;2,$F448+3,IF(N($I448)&gt;0,$F448+5,$F448+7)))))</f>
        <v/>
      </c>
      <c r="Q448" s="48">
        <f>IF($P448="","",IF($J448="Yes",$P448+3,IF($G448="No",$P448+5,IF(N($I448)&gt;0,$P448+7,$P448+14))))</f>
        <v/>
      </c>
      <c r="R448" s="48">
        <f>IF($Q448="","",IF($J448="Yes",$Q448+7,IF($G448="No",$Q448+14,$Q448+30)))</f>
        <v/>
      </c>
      <c r="S448" s="47" t="n"/>
      <c r="T448" s="50" t="n"/>
      <c r="U448" s="47">
        <f>IF($F448="","",MIN(24,MAX(1,ROUNDUP(($F448-DayPlan!$C$2+1)/7,0))))</f>
        <v/>
      </c>
      <c r="V448" s="47">
        <f>IF($A448=""," ",4*($J448="Yes")+3*($G448="No")+2*(N($I448)&gt;0)+1*(AND(ISNUMBER($H448),$H448&gt;45))+3*(AND(ISNUMBER($P448),$P448&lt;=TODAY()))-6*($S448="Yes")+(750-ROW())/100000)</f>
        <v/>
      </c>
      <c r="W448" s="47">
        <f>IF(OR($A448="",NOT(ISNUMBER($P448))),"",INT($P448-TODAY()))</f>
        <v/>
      </c>
      <c r="X448" s="47" t="n"/>
    </row>
    <row r="449">
      <c r="A449" s="50" t="n"/>
      <c r="B449" s="47" t="n"/>
      <c r="C449" s="47" t="n"/>
      <c r="D449" s="50" t="n"/>
      <c r="E449" s="50" t="n"/>
      <c r="F449" s="48" t="n"/>
      <c r="G449" s="47" t="n"/>
      <c r="H449" s="47" t="n"/>
      <c r="I449" s="47" t="n"/>
      <c r="J449" s="47" t="n"/>
      <c r="K449" s="47" t="n"/>
      <c r="L449" s="47" t="n"/>
      <c r="M449" s="50" t="n"/>
      <c r="N449" s="50" t="n"/>
      <c r="O449" s="50" t="n"/>
      <c r="P449" s="48">
        <f>IF($F449="","",IF($J449="Yes",$F449+1,IF($G449="No",$F449+2,IF(N($I449)&gt;2,$F449+3,IF(N($I449)&gt;0,$F449+5,$F449+7)))))</f>
        <v/>
      </c>
      <c r="Q449" s="48">
        <f>IF($P449="","",IF($J449="Yes",$P449+3,IF($G449="No",$P449+5,IF(N($I449)&gt;0,$P449+7,$P449+14))))</f>
        <v/>
      </c>
      <c r="R449" s="48">
        <f>IF($Q449="","",IF($J449="Yes",$Q449+7,IF($G449="No",$Q449+14,$Q449+30)))</f>
        <v/>
      </c>
      <c r="S449" s="47" t="n"/>
      <c r="T449" s="50" t="n"/>
      <c r="U449" s="47">
        <f>IF($F449="","",MIN(24,MAX(1,ROUNDUP(($F449-DayPlan!$C$2+1)/7,0))))</f>
        <v/>
      </c>
      <c r="V449" s="47">
        <f>IF($A449=""," ",4*($J449="Yes")+3*($G449="No")+2*(N($I449)&gt;0)+1*(AND(ISNUMBER($H449),$H449&gt;45))+3*(AND(ISNUMBER($P449),$P449&lt;=TODAY()))-6*($S449="Yes")+(750-ROW())/100000)</f>
        <v/>
      </c>
      <c r="W449" s="47">
        <f>IF(OR($A449="",NOT(ISNUMBER($P449))),"",INT($P449-TODAY()))</f>
        <v/>
      </c>
      <c r="X449" s="47" t="n"/>
    </row>
    <row r="450">
      <c r="A450" s="50" t="n"/>
      <c r="B450" s="47" t="n"/>
      <c r="C450" s="47" t="n"/>
      <c r="D450" s="50" t="n"/>
      <c r="E450" s="50" t="n"/>
      <c r="F450" s="48" t="n"/>
      <c r="G450" s="47" t="n"/>
      <c r="H450" s="47" t="n"/>
      <c r="I450" s="47" t="n"/>
      <c r="J450" s="47" t="n"/>
      <c r="K450" s="47" t="n"/>
      <c r="L450" s="47" t="n"/>
      <c r="M450" s="50" t="n"/>
      <c r="N450" s="50" t="n"/>
      <c r="O450" s="50" t="n"/>
      <c r="P450" s="48">
        <f>IF($F450="","",IF($J450="Yes",$F450+1,IF($G450="No",$F450+2,IF(N($I450)&gt;2,$F450+3,IF(N($I450)&gt;0,$F450+5,$F450+7)))))</f>
        <v/>
      </c>
      <c r="Q450" s="48">
        <f>IF($P450="","",IF($J450="Yes",$P450+3,IF($G450="No",$P450+5,IF(N($I450)&gt;0,$P450+7,$P450+14))))</f>
        <v/>
      </c>
      <c r="R450" s="48">
        <f>IF($Q450="","",IF($J450="Yes",$Q450+7,IF($G450="No",$Q450+14,$Q450+30)))</f>
        <v/>
      </c>
      <c r="S450" s="47" t="n"/>
      <c r="T450" s="50" t="n"/>
      <c r="U450" s="47">
        <f>IF($F450="","",MIN(24,MAX(1,ROUNDUP(($F450-DayPlan!$C$2+1)/7,0))))</f>
        <v/>
      </c>
      <c r="V450" s="47">
        <f>IF($A450=""," ",4*($J450="Yes")+3*($G450="No")+2*(N($I450)&gt;0)+1*(AND(ISNUMBER($H450),$H450&gt;45))+3*(AND(ISNUMBER($P450),$P450&lt;=TODAY()))-6*($S450="Yes")+(750-ROW())/100000)</f>
        <v/>
      </c>
      <c r="W450" s="47">
        <f>IF(OR($A450="",NOT(ISNUMBER($P450))),"",INT($P450-TODAY()))</f>
        <v/>
      </c>
      <c r="X450" s="47" t="n"/>
    </row>
    <row r="451">
      <c r="A451" s="50" t="n"/>
      <c r="B451" s="47" t="n"/>
      <c r="C451" s="47" t="n"/>
      <c r="D451" s="50" t="n"/>
      <c r="E451" s="50" t="n"/>
      <c r="F451" s="48" t="n"/>
      <c r="G451" s="47" t="n"/>
      <c r="H451" s="47" t="n"/>
      <c r="I451" s="47" t="n"/>
      <c r="J451" s="47" t="n"/>
      <c r="K451" s="47" t="n"/>
      <c r="L451" s="47" t="n"/>
      <c r="M451" s="50" t="n"/>
      <c r="N451" s="50" t="n"/>
      <c r="O451" s="50" t="n"/>
      <c r="P451" s="48">
        <f>IF($F451="","",IF($J451="Yes",$F451+1,IF($G451="No",$F451+2,IF(N($I451)&gt;2,$F451+3,IF(N($I451)&gt;0,$F451+5,$F451+7)))))</f>
        <v/>
      </c>
      <c r="Q451" s="48">
        <f>IF($P451="","",IF($J451="Yes",$P451+3,IF($G451="No",$P451+5,IF(N($I451)&gt;0,$P451+7,$P451+14))))</f>
        <v/>
      </c>
      <c r="R451" s="48">
        <f>IF($Q451="","",IF($J451="Yes",$Q451+7,IF($G451="No",$Q451+14,$Q451+30)))</f>
        <v/>
      </c>
      <c r="S451" s="47" t="n"/>
      <c r="T451" s="50" t="n"/>
      <c r="U451" s="47">
        <f>IF($F451="","",MIN(24,MAX(1,ROUNDUP(($F451-DayPlan!$C$2+1)/7,0))))</f>
        <v/>
      </c>
      <c r="V451" s="47">
        <f>IF($A451=""," ",4*($J451="Yes")+3*($G451="No")+2*(N($I451)&gt;0)+1*(AND(ISNUMBER($H451),$H451&gt;45))+3*(AND(ISNUMBER($P451),$P451&lt;=TODAY()))-6*($S451="Yes")+(750-ROW())/100000)</f>
        <v/>
      </c>
      <c r="W451" s="47">
        <f>IF(OR($A451="",NOT(ISNUMBER($P451))),"",INT($P451-TODAY()))</f>
        <v/>
      </c>
      <c r="X451" s="47" t="n"/>
    </row>
    <row r="452">
      <c r="A452" s="50" t="n"/>
      <c r="B452" s="47" t="n"/>
      <c r="C452" s="47" t="n"/>
      <c r="D452" s="50" t="n"/>
      <c r="E452" s="50" t="n"/>
      <c r="F452" s="48" t="n"/>
      <c r="G452" s="47" t="n"/>
      <c r="H452" s="47" t="n"/>
      <c r="I452" s="47" t="n"/>
      <c r="J452" s="47" t="n"/>
      <c r="K452" s="47" t="n"/>
      <c r="L452" s="47" t="n"/>
      <c r="M452" s="50" t="n"/>
      <c r="N452" s="50" t="n"/>
      <c r="O452" s="50" t="n"/>
      <c r="P452" s="48">
        <f>IF($F452="","",IF($J452="Yes",$F452+1,IF($G452="No",$F452+2,IF(N($I452)&gt;2,$F452+3,IF(N($I452)&gt;0,$F452+5,$F452+7)))))</f>
        <v/>
      </c>
      <c r="Q452" s="48">
        <f>IF($P452="","",IF($J452="Yes",$P452+3,IF($G452="No",$P452+5,IF(N($I452)&gt;0,$P452+7,$P452+14))))</f>
        <v/>
      </c>
      <c r="R452" s="48">
        <f>IF($Q452="","",IF($J452="Yes",$Q452+7,IF($G452="No",$Q452+14,$Q452+30)))</f>
        <v/>
      </c>
      <c r="S452" s="47" t="n"/>
      <c r="T452" s="50" t="n"/>
      <c r="U452" s="47">
        <f>IF($F452="","",MIN(24,MAX(1,ROUNDUP(($F452-DayPlan!$C$2+1)/7,0))))</f>
        <v/>
      </c>
      <c r="V452" s="47">
        <f>IF($A452=""," ",4*($J452="Yes")+3*($G452="No")+2*(N($I452)&gt;0)+1*(AND(ISNUMBER($H452),$H452&gt;45))+3*(AND(ISNUMBER($P452),$P452&lt;=TODAY()))-6*($S452="Yes")+(750-ROW())/100000)</f>
        <v/>
      </c>
      <c r="W452" s="47">
        <f>IF(OR($A452="",NOT(ISNUMBER($P452))),"",INT($P452-TODAY()))</f>
        <v/>
      </c>
      <c r="X452" s="47" t="n"/>
    </row>
    <row r="453">
      <c r="A453" s="50" t="n"/>
      <c r="B453" s="47" t="n"/>
      <c r="C453" s="47" t="n"/>
      <c r="D453" s="50" t="n"/>
      <c r="E453" s="50" t="n"/>
      <c r="F453" s="48" t="n"/>
      <c r="G453" s="47" t="n"/>
      <c r="H453" s="47" t="n"/>
      <c r="I453" s="47" t="n"/>
      <c r="J453" s="47" t="n"/>
      <c r="K453" s="47" t="n"/>
      <c r="L453" s="47" t="n"/>
      <c r="M453" s="50" t="n"/>
      <c r="N453" s="50" t="n"/>
      <c r="O453" s="50" t="n"/>
      <c r="P453" s="48">
        <f>IF($F453="","",IF($J453="Yes",$F453+1,IF($G453="No",$F453+2,IF(N($I453)&gt;2,$F453+3,IF(N($I453)&gt;0,$F453+5,$F453+7)))))</f>
        <v/>
      </c>
      <c r="Q453" s="48">
        <f>IF($P453="","",IF($J453="Yes",$P453+3,IF($G453="No",$P453+5,IF(N($I453)&gt;0,$P453+7,$P453+14))))</f>
        <v/>
      </c>
      <c r="R453" s="48">
        <f>IF($Q453="","",IF($J453="Yes",$Q453+7,IF($G453="No",$Q453+14,$Q453+30)))</f>
        <v/>
      </c>
      <c r="S453" s="47" t="n"/>
      <c r="T453" s="50" t="n"/>
      <c r="U453" s="47">
        <f>IF($F453="","",MIN(24,MAX(1,ROUNDUP(($F453-DayPlan!$C$2+1)/7,0))))</f>
        <v/>
      </c>
      <c r="V453" s="47">
        <f>IF($A453=""," ",4*($J453="Yes")+3*($G453="No")+2*(N($I453)&gt;0)+1*(AND(ISNUMBER($H453),$H453&gt;45))+3*(AND(ISNUMBER($P453),$P453&lt;=TODAY()))-6*($S453="Yes")+(750-ROW())/100000)</f>
        <v/>
      </c>
      <c r="W453" s="47">
        <f>IF(OR($A453="",NOT(ISNUMBER($P453))),"",INT($P453-TODAY()))</f>
        <v/>
      </c>
      <c r="X453" s="47" t="n"/>
    </row>
    <row r="454">
      <c r="A454" s="50" t="n"/>
      <c r="B454" s="47" t="n"/>
      <c r="C454" s="47" t="n"/>
      <c r="D454" s="50" t="n"/>
      <c r="E454" s="50" t="n"/>
      <c r="F454" s="48" t="n"/>
      <c r="G454" s="47" t="n"/>
      <c r="H454" s="47" t="n"/>
      <c r="I454" s="47" t="n"/>
      <c r="J454" s="47" t="n"/>
      <c r="K454" s="47" t="n"/>
      <c r="L454" s="47" t="n"/>
      <c r="M454" s="50" t="n"/>
      <c r="N454" s="50" t="n"/>
      <c r="O454" s="50" t="n"/>
      <c r="P454" s="48">
        <f>IF($F454="","",IF($J454="Yes",$F454+1,IF($G454="No",$F454+2,IF(N($I454)&gt;2,$F454+3,IF(N($I454)&gt;0,$F454+5,$F454+7)))))</f>
        <v/>
      </c>
      <c r="Q454" s="48">
        <f>IF($P454="","",IF($J454="Yes",$P454+3,IF($G454="No",$P454+5,IF(N($I454)&gt;0,$P454+7,$P454+14))))</f>
        <v/>
      </c>
      <c r="R454" s="48">
        <f>IF($Q454="","",IF($J454="Yes",$Q454+7,IF($G454="No",$Q454+14,$Q454+30)))</f>
        <v/>
      </c>
      <c r="S454" s="47" t="n"/>
      <c r="T454" s="50" t="n"/>
      <c r="U454" s="47">
        <f>IF($F454="","",MIN(24,MAX(1,ROUNDUP(($F454-DayPlan!$C$2+1)/7,0))))</f>
        <v/>
      </c>
      <c r="V454" s="47">
        <f>IF($A454=""," ",4*($J454="Yes")+3*($G454="No")+2*(N($I454)&gt;0)+1*(AND(ISNUMBER($H454),$H454&gt;45))+3*(AND(ISNUMBER($P454),$P454&lt;=TODAY()))-6*($S454="Yes")+(750-ROW())/100000)</f>
        <v/>
      </c>
      <c r="W454" s="47">
        <f>IF(OR($A454="",NOT(ISNUMBER($P454))),"",INT($P454-TODAY()))</f>
        <v/>
      </c>
      <c r="X454" s="47" t="n"/>
    </row>
    <row r="455">
      <c r="A455" s="50" t="n"/>
      <c r="B455" s="47" t="n"/>
      <c r="C455" s="47" t="n"/>
      <c r="D455" s="50" t="n"/>
      <c r="E455" s="50" t="n"/>
      <c r="F455" s="48" t="n"/>
      <c r="G455" s="47" t="n"/>
      <c r="H455" s="47" t="n"/>
      <c r="I455" s="47" t="n"/>
      <c r="J455" s="47" t="n"/>
      <c r="K455" s="47" t="n"/>
      <c r="L455" s="47" t="n"/>
      <c r="M455" s="50" t="n"/>
      <c r="N455" s="50" t="n"/>
      <c r="O455" s="50" t="n"/>
      <c r="P455" s="48">
        <f>IF($F455="","",IF($J455="Yes",$F455+1,IF($G455="No",$F455+2,IF(N($I455)&gt;2,$F455+3,IF(N($I455)&gt;0,$F455+5,$F455+7)))))</f>
        <v/>
      </c>
      <c r="Q455" s="48">
        <f>IF($P455="","",IF($J455="Yes",$P455+3,IF($G455="No",$P455+5,IF(N($I455)&gt;0,$P455+7,$P455+14))))</f>
        <v/>
      </c>
      <c r="R455" s="48">
        <f>IF($Q455="","",IF($J455="Yes",$Q455+7,IF($G455="No",$Q455+14,$Q455+30)))</f>
        <v/>
      </c>
      <c r="S455" s="47" t="n"/>
      <c r="T455" s="50" t="n"/>
      <c r="U455" s="47">
        <f>IF($F455="","",MIN(24,MAX(1,ROUNDUP(($F455-DayPlan!$C$2+1)/7,0))))</f>
        <v/>
      </c>
      <c r="V455" s="47">
        <f>IF($A455=""," ",4*($J455="Yes")+3*($G455="No")+2*(N($I455)&gt;0)+1*(AND(ISNUMBER($H455),$H455&gt;45))+3*(AND(ISNUMBER($P455),$P455&lt;=TODAY()))-6*($S455="Yes")+(750-ROW())/100000)</f>
        <v/>
      </c>
      <c r="W455" s="47">
        <f>IF(OR($A455="",NOT(ISNUMBER($P455))),"",INT($P455-TODAY()))</f>
        <v/>
      </c>
      <c r="X455" s="47" t="n"/>
    </row>
    <row r="456">
      <c r="A456" s="50" t="n"/>
      <c r="B456" s="47" t="n"/>
      <c r="C456" s="47" t="n"/>
      <c r="D456" s="50" t="n"/>
      <c r="E456" s="50" t="n"/>
      <c r="F456" s="48" t="n"/>
      <c r="G456" s="47" t="n"/>
      <c r="H456" s="47" t="n"/>
      <c r="I456" s="47" t="n"/>
      <c r="J456" s="47" t="n"/>
      <c r="K456" s="47" t="n"/>
      <c r="L456" s="47" t="n"/>
      <c r="M456" s="50" t="n"/>
      <c r="N456" s="50" t="n"/>
      <c r="O456" s="50" t="n"/>
      <c r="P456" s="48">
        <f>IF($F456="","",IF($J456="Yes",$F456+1,IF($G456="No",$F456+2,IF(N($I456)&gt;2,$F456+3,IF(N($I456)&gt;0,$F456+5,$F456+7)))))</f>
        <v/>
      </c>
      <c r="Q456" s="48">
        <f>IF($P456="","",IF($J456="Yes",$P456+3,IF($G456="No",$P456+5,IF(N($I456)&gt;0,$P456+7,$P456+14))))</f>
        <v/>
      </c>
      <c r="R456" s="48">
        <f>IF($Q456="","",IF($J456="Yes",$Q456+7,IF($G456="No",$Q456+14,$Q456+30)))</f>
        <v/>
      </c>
      <c r="S456" s="47" t="n"/>
      <c r="T456" s="50" t="n"/>
      <c r="U456" s="47">
        <f>IF($F456="","",MIN(24,MAX(1,ROUNDUP(($F456-DayPlan!$C$2+1)/7,0))))</f>
        <v/>
      </c>
      <c r="V456" s="47">
        <f>IF($A456=""," ",4*($J456="Yes")+3*($G456="No")+2*(N($I456)&gt;0)+1*(AND(ISNUMBER($H456),$H456&gt;45))+3*(AND(ISNUMBER($P456),$P456&lt;=TODAY()))-6*($S456="Yes")+(750-ROW())/100000)</f>
        <v/>
      </c>
      <c r="W456" s="47">
        <f>IF(OR($A456="",NOT(ISNUMBER($P456))),"",INT($P456-TODAY()))</f>
        <v/>
      </c>
      <c r="X456" s="47" t="n"/>
    </row>
    <row r="457">
      <c r="A457" s="50" t="n"/>
      <c r="B457" s="47" t="n"/>
      <c r="C457" s="47" t="n"/>
      <c r="D457" s="50" t="n"/>
      <c r="E457" s="50" t="n"/>
      <c r="F457" s="48" t="n"/>
      <c r="G457" s="47" t="n"/>
      <c r="H457" s="47" t="n"/>
      <c r="I457" s="47" t="n"/>
      <c r="J457" s="47" t="n"/>
      <c r="K457" s="47" t="n"/>
      <c r="L457" s="47" t="n"/>
      <c r="M457" s="50" t="n"/>
      <c r="N457" s="50" t="n"/>
      <c r="O457" s="50" t="n"/>
      <c r="P457" s="48">
        <f>IF($F457="","",IF($J457="Yes",$F457+1,IF($G457="No",$F457+2,IF(N($I457)&gt;2,$F457+3,IF(N($I457)&gt;0,$F457+5,$F457+7)))))</f>
        <v/>
      </c>
      <c r="Q457" s="48">
        <f>IF($P457="","",IF($J457="Yes",$P457+3,IF($G457="No",$P457+5,IF(N($I457)&gt;0,$P457+7,$P457+14))))</f>
        <v/>
      </c>
      <c r="R457" s="48">
        <f>IF($Q457="","",IF($J457="Yes",$Q457+7,IF($G457="No",$Q457+14,$Q457+30)))</f>
        <v/>
      </c>
      <c r="S457" s="47" t="n"/>
      <c r="T457" s="50" t="n"/>
      <c r="U457" s="47">
        <f>IF($F457="","",MIN(24,MAX(1,ROUNDUP(($F457-DayPlan!$C$2+1)/7,0))))</f>
        <v/>
      </c>
      <c r="V457" s="47">
        <f>IF($A457=""," ",4*($J457="Yes")+3*($G457="No")+2*(N($I457)&gt;0)+1*(AND(ISNUMBER($H457),$H457&gt;45))+3*(AND(ISNUMBER($P457),$P457&lt;=TODAY()))-6*($S457="Yes")+(750-ROW())/100000)</f>
        <v/>
      </c>
      <c r="W457" s="47">
        <f>IF(OR($A457="",NOT(ISNUMBER($P457))),"",INT($P457-TODAY()))</f>
        <v/>
      </c>
      <c r="X457" s="47" t="n"/>
    </row>
    <row r="458">
      <c r="A458" s="50" t="n"/>
      <c r="B458" s="47" t="n"/>
      <c r="C458" s="47" t="n"/>
      <c r="D458" s="50" t="n"/>
      <c r="E458" s="50" t="n"/>
      <c r="F458" s="48" t="n"/>
      <c r="G458" s="47" t="n"/>
      <c r="H458" s="47" t="n"/>
      <c r="I458" s="47" t="n"/>
      <c r="J458" s="47" t="n"/>
      <c r="K458" s="47" t="n"/>
      <c r="L458" s="47" t="n"/>
      <c r="M458" s="50" t="n"/>
      <c r="N458" s="50" t="n"/>
      <c r="O458" s="50" t="n"/>
      <c r="P458" s="48">
        <f>IF($F458="","",IF($J458="Yes",$F458+1,IF($G458="No",$F458+2,IF(N($I458)&gt;2,$F458+3,IF(N($I458)&gt;0,$F458+5,$F458+7)))))</f>
        <v/>
      </c>
      <c r="Q458" s="48">
        <f>IF($P458="","",IF($J458="Yes",$P458+3,IF($G458="No",$P458+5,IF(N($I458)&gt;0,$P458+7,$P458+14))))</f>
        <v/>
      </c>
      <c r="R458" s="48">
        <f>IF($Q458="","",IF($J458="Yes",$Q458+7,IF($G458="No",$Q458+14,$Q458+30)))</f>
        <v/>
      </c>
      <c r="S458" s="47" t="n"/>
      <c r="T458" s="50" t="n"/>
      <c r="U458" s="47">
        <f>IF($F458="","",MIN(24,MAX(1,ROUNDUP(($F458-DayPlan!$C$2+1)/7,0))))</f>
        <v/>
      </c>
      <c r="V458" s="47">
        <f>IF($A458=""," ",4*($J458="Yes")+3*($G458="No")+2*(N($I458)&gt;0)+1*(AND(ISNUMBER($H458),$H458&gt;45))+3*(AND(ISNUMBER($P458),$P458&lt;=TODAY()))-6*($S458="Yes")+(750-ROW())/100000)</f>
        <v/>
      </c>
      <c r="W458" s="47">
        <f>IF(OR($A458="",NOT(ISNUMBER($P458))),"",INT($P458-TODAY()))</f>
        <v/>
      </c>
      <c r="X458" s="47" t="n"/>
    </row>
    <row r="459">
      <c r="A459" s="50" t="n"/>
      <c r="B459" s="47" t="n"/>
      <c r="C459" s="47" t="n"/>
      <c r="D459" s="50" t="n"/>
      <c r="E459" s="50" t="n"/>
      <c r="F459" s="48" t="n"/>
      <c r="G459" s="47" t="n"/>
      <c r="H459" s="47" t="n"/>
      <c r="I459" s="47" t="n"/>
      <c r="J459" s="47" t="n"/>
      <c r="K459" s="47" t="n"/>
      <c r="L459" s="47" t="n"/>
      <c r="M459" s="50" t="n"/>
      <c r="N459" s="50" t="n"/>
      <c r="O459" s="50" t="n"/>
      <c r="P459" s="48">
        <f>IF($F459="","",IF($J459="Yes",$F459+1,IF($G459="No",$F459+2,IF(N($I459)&gt;2,$F459+3,IF(N($I459)&gt;0,$F459+5,$F459+7)))))</f>
        <v/>
      </c>
      <c r="Q459" s="48">
        <f>IF($P459="","",IF($J459="Yes",$P459+3,IF($G459="No",$P459+5,IF(N($I459)&gt;0,$P459+7,$P459+14))))</f>
        <v/>
      </c>
      <c r="R459" s="48">
        <f>IF($Q459="","",IF($J459="Yes",$Q459+7,IF($G459="No",$Q459+14,$Q459+30)))</f>
        <v/>
      </c>
      <c r="S459" s="47" t="n"/>
      <c r="T459" s="50" t="n"/>
      <c r="U459" s="47">
        <f>IF($F459="","",MIN(24,MAX(1,ROUNDUP(($F459-DayPlan!$C$2+1)/7,0))))</f>
        <v/>
      </c>
      <c r="V459" s="47">
        <f>IF($A459=""," ",4*($J459="Yes")+3*($G459="No")+2*(N($I459)&gt;0)+1*(AND(ISNUMBER($H459),$H459&gt;45))+3*(AND(ISNUMBER($P459),$P459&lt;=TODAY()))-6*($S459="Yes")+(750-ROW())/100000)</f>
        <v/>
      </c>
      <c r="W459" s="47">
        <f>IF(OR($A459="",NOT(ISNUMBER($P459))),"",INT($P459-TODAY()))</f>
        <v/>
      </c>
      <c r="X459" s="47" t="n"/>
    </row>
    <row r="460">
      <c r="A460" s="50" t="n"/>
      <c r="B460" s="47" t="n"/>
      <c r="C460" s="47" t="n"/>
      <c r="D460" s="50" t="n"/>
      <c r="E460" s="50" t="n"/>
      <c r="F460" s="48" t="n"/>
      <c r="G460" s="47" t="n"/>
      <c r="H460" s="47" t="n"/>
      <c r="I460" s="47" t="n"/>
      <c r="J460" s="47" t="n"/>
      <c r="K460" s="47" t="n"/>
      <c r="L460" s="47" t="n"/>
      <c r="M460" s="50" t="n"/>
      <c r="N460" s="50" t="n"/>
      <c r="O460" s="50" t="n"/>
      <c r="P460" s="48">
        <f>IF($F460="","",IF($J460="Yes",$F460+1,IF($G460="No",$F460+2,IF(N($I460)&gt;2,$F460+3,IF(N($I460)&gt;0,$F460+5,$F460+7)))))</f>
        <v/>
      </c>
      <c r="Q460" s="48">
        <f>IF($P460="","",IF($J460="Yes",$P460+3,IF($G460="No",$P460+5,IF(N($I460)&gt;0,$P460+7,$P460+14))))</f>
        <v/>
      </c>
      <c r="R460" s="48">
        <f>IF($Q460="","",IF($J460="Yes",$Q460+7,IF($G460="No",$Q460+14,$Q460+30)))</f>
        <v/>
      </c>
      <c r="S460" s="47" t="n"/>
      <c r="T460" s="50" t="n"/>
      <c r="U460" s="47">
        <f>IF($F460="","",MIN(24,MAX(1,ROUNDUP(($F460-DayPlan!$C$2+1)/7,0))))</f>
        <v/>
      </c>
      <c r="V460" s="47">
        <f>IF($A460=""," ",4*($J460="Yes")+3*($G460="No")+2*(N($I460)&gt;0)+1*(AND(ISNUMBER($H460),$H460&gt;45))+3*(AND(ISNUMBER($P460),$P460&lt;=TODAY()))-6*($S460="Yes")+(750-ROW())/100000)</f>
        <v/>
      </c>
      <c r="W460" s="47">
        <f>IF(OR($A460="",NOT(ISNUMBER($P460))),"",INT($P460-TODAY()))</f>
        <v/>
      </c>
      <c r="X460" s="47" t="n"/>
    </row>
    <row r="461">
      <c r="A461" s="50" t="n"/>
      <c r="B461" s="47" t="n"/>
      <c r="C461" s="47" t="n"/>
      <c r="D461" s="50" t="n"/>
      <c r="E461" s="50" t="n"/>
      <c r="F461" s="48" t="n"/>
      <c r="G461" s="47" t="n"/>
      <c r="H461" s="47" t="n"/>
      <c r="I461" s="47" t="n"/>
      <c r="J461" s="47" t="n"/>
      <c r="K461" s="47" t="n"/>
      <c r="L461" s="47" t="n"/>
      <c r="M461" s="50" t="n"/>
      <c r="N461" s="50" t="n"/>
      <c r="O461" s="50" t="n"/>
      <c r="P461" s="48">
        <f>IF($F461="","",IF($J461="Yes",$F461+1,IF($G461="No",$F461+2,IF(N($I461)&gt;2,$F461+3,IF(N($I461)&gt;0,$F461+5,$F461+7)))))</f>
        <v/>
      </c>
      <c r="Q461" s="48">
        <f>IF($P461="","",IF($J461="Yes",$P461+3,IF($G461="No",$P461+5,IF(N($I461)&gt;0,$P461+7,$P461+14))))</f>
        <v/>
      </c>
      <c r="R461" s="48">
        <f>IF($Q461="","",IF($J461="Yes",$Q461+7,IF($G461="No",$Q461+14,$Q461+30)))</f>
        <v/>
      </c>
      <c r="S461" s="47" t="n"/>
      <c r="T461" s="50" t="n"/>
      <c r="U461" s="47">
        <f>IF($F461="","",MIN(24,MAX(1,ROUNDUP(($F461-DayPlan!$C$2+1)/7,0))))</f>
        <v/>
      </c>
      <c r="V461" s="47">
        <f>IF($A461=""," ",4*($J461="Yes")+3*($G461="No")+2*(N($I461)&gt;0)+1*(AND(ISNUMBER($H461),$H461&gt;45))+3*(AND(ISNUMBER($P461),$P461&lt;=TODAY()))-6*($S461="Yes")+(750-ROW())/100000)</f>
        <v/>
      </c>
      <c r="W461" s="47">
        <f>IF(OR($A461="",NOT(ISNUMBER($P461))),"",INT($P461-TODAY()))</f>
        <v/>
      </c>
      <c r="X461" s="47" t="n"/>
    </row>
    <row r="462">
      <c r="A462" s="50" t="n"/>
      <c r="B462" s="47" t="n"/>
      <c r="C462" s="47" t="n"/>
      <c r="D462" s="50" t="n"/>
      <c r="E462" s="50" t="n"/>
      <c r="F462" s="48" t="n"/>
      <c r="G462" s="47" t="n"/>
      <c r="H462" s="47" t="n"/>
      <c r="I462" s="47" t="n"/>
      <c r="J462" s="47" t="n"/>
      <c r="K462" s="47" t="n"/>
      <c r="L462" s="47" t="n"/>
      <c r="M462" s="50" t="n"/>
      <c r="N462" s="50" t="n"/>
      <c r="O462" s="50" t="n"/>
      <c r="P462" s="48">
        <f>IF($F462="","",IF($J462="Yes",$F462+1,IF($G462="No",$F462+2,IF(N($I462)&gt;2,$F462+3,IF(N($I462)&gt;0,$F462+5,$F462+7)))))</f>
        <v/>
      </c>
      <c r="Q462" s="48">
        <f>IF($P462="","",IF($J462="Yes",$P462+3,IF($G462="No",$P462+5,IF(N($I462)&gt;0,$P462+7,$P462+14))))</f>
        <v/>
      </c>
      <c r="R462" s="48">
        <f>IF($Q462="","",IF($J462="Yes",$Q462+7,IF($G462="No",$Q462+14,$Q462+30)))</f>
        <v/>
      </c>
      <c r="S462" s="47" t="n"/>
      <c r="T462" s="50" t="n"/>
      <c r="U462" s="47">
        <f>IF($F462="","",MIN(24,MAX(1,ROUNDUP(($F462-DayPlan!$C$2+1)/7,0))))</f>
        <v/>
      </c>
      <c r="V462" s="47">
        <f>IF($A462=""," ",4*($J462="Yes")+3*($G462="No")+2*(N($I462)&gt;0)+1*(AND(ISNUMBER($H462),$H462&gt;45))+3*(AND(ISNUMBER($P462),$P462&lt;=TODAY()))-6*($S462="Yes")+(750-ROW())/100000)</f>
        <v/>
      </c>
      <c r="W462" s="47">
        <f>IF(OR($A462="",NOT(ISNUMBER($P462))),"",INT($P462-TODAY()))</f>
        <v/>
      </c>
      <c r="X462" s="47" t="n"/>
    </row>
    <row r="463">
      <c r="A463" s="50" t="n"/>
      <c r="B463" s="47" t="n"/>
      <c r="C463" s="47" t="n"/>
      <c r="D463" s="50" t="n"/>
      <c r="E463" s="50" t="n"/>
      <c r="F463" s="48" t="n"/>
      <c r="G463" s="47" t="n"/>
      <c r="H463" s="47" t="n"/>
      <c r="I463" s="47" t="n"/>
      <c r="J463" s="47" t="n"/>
      <c r="K463" s="47" t="n"/>
      <c r="L463" s="47" t="n"/>
      <c r="M463" s="50" t="n"/>
      <c r="N463" s="50" t="n"/>
      <c r="O463" s="50" t="n"/>
      <c r="P463" s="48">
        <f>IF($F463="","",IF($J463="Yes",$F463+1,IF($G463="No",$F463+2,IF(N($I463)&gt;2,$F463+3,IF(N($I463)&gt;0,$F463+5,$F463+7)))))</f>
        <v/>
      </c>
      <c r="Q463" s="48">
        <f>IF($P463="","",IF($J463="Yes",$P463+3,IF($G463="No",$P463+5,IF(N($I463)&gt;0,$P463+7,$P463+14))))</f>
        <v/>
      </c>
      <c r="R463" s="48">
        <f>IF($Q463="","",IF($J463="Yes",$Q463+7,IF($G463="No",$Q463+14,$Q463+30)))</f>
        <v/>
      </c>
      <c r="S463" s="47" t="n"/>
      <c r="T463" s="50" t="n"/>
      <c r="U463" s="47">
        <f>IF($F463="","",MIN(24,MAX(1,ROUNDUP(($F463-DayPlan!$C$2+1)/7,0))))</f>
        <v/>
      </c>
      <c r="V463" s="47">
        <f>IF($A463=""," ",4*($J463="Yes")+3*($G463="No")+2*(N($I463)&gt;0)+1*(AND(ISNUMBER($H463),$H463&gt;45))+3*(AND(ISNUMBER($P463),$P463&lt;=TODAY()))-6*($S463="Yes")+(750-ROW())/100000)</f>
        <v/>
      </c>
      <c r="W463" s="47">
        <f>IF(OR($A463="",NOT(ISNUMBER($P463))),"",INT($P463-TODAY()))</f>
        <v/>
      </c>
      <c r="X463" s="47" t="n"/>
    </row>
    <row r="464">
      <c r="A464" s="50" t="n"/>
      <c r="B464" s="47" t="n"/>
      <c r="C464" s="47" t="n"/>
      <c r="D464" s="50" t="n"/>
      <c r="E464" s="50" t="n"/>
      <c r="F464" s="48" t="n"/>
      <c r="G464" s="47" t="n"/>
      <c r="H464" s="47" t="n"/>
      <c r="I464" s="47" t="n"/>
      <c r="J464" s="47" t="n"/>
      <c r="K464" s="47" t="n"/>
      <c r="L464" s="47" t="n"/>
      <c r="M464" s="50" t="n"/>
      <c r="N464" s="50" t="n"/>
      <c r="O464" s="50" t="n"/>
      <c r="P464" s="48">
        <f>IF($F464="","",IF($J464="Yes",$F464+1,IF($G464="No",$F464+2,IF(N($I464)&gt;2,$F464+3,IF(N($I464)&gt;0,$F464+5,$F464+7)))))</f>
        <v/>
      </c>
      <c r="Q464" s="48">
        <f>IF($P464="","",IF($J464="Yes",$P464+3,IF($G464="No",$P464+5,IF(N($I464)&gt;0,$P464+7,$P464+14))))</f>
        <v/>
      </c>
      <c r="R464" s="48">
        <f>IF($Q464="","",IF($J464="Yes",$Q464+7,IF($G464="No",$Q464+14,$Q464+30)))</f>
        <v/>
      </c>
      <c r="S464" s="47" t="n"/>
      <c r="T464" s="50" t="n"/>
      <c r="U464" s="47">
        <f>IF($F464="","",MIN(24,MAX(1,ROUNDUP(($F464-DayPlan!$C$2+1)/7,0))))</f>
        <v/>
      </c>
      <c r="V464" s="47">
        <f>IF($A464=""," ",4*($J464="Yes")+3*($G464="No")+2*(N($I464)&gt;0)+1*(AND(ISNUMBER($H464),$H464&gt;45))+3*(AND(ISNUMBER($P464),$P464&lt;=TODAY()))-6*($S464="Yes")+(750-ROW())/100000)</f>
        <v/>
      </c>
      <c r="W464" s="47">
        <f>IF(OR($A464="",NOT(ISNUMBER($P464))),"",INT($P464-TODAY()))</f>
        <v/>
      </c>
      <c r="X464" s="47" t="n"/>
    </row>
    <row r="465">
      <c r="A465" s="50" t="n"/>
      <c r="B465" s="47" t="n"/>
      <c r="C465" s="47" t="n"/>
      <c r="D465" s="50" t="n"/>
      <c r="E465" s="50" t="n"/>
      <c r="F465" s="48" t="n"/>
      <c r="G465" s="47" t="n"/>
      <c r="H465" s="47" t="n"/>
      <c r="I465" s="47" t="n"/>
      <c r="J465" s="47" t="n"/>
      <c r="K465" s="47" t="n"/>
      <c r="L465" s="47" t="n"/>
      <c r="M465" s="50" t="n"/>
      <c r="N465" s="50" t="n"/>
      <c r="O465" s="50" t="n"/>
      <c r="P465" s="48">
        <f>IF($F465="","",IF($J465="Yes",$F465+1,IF($G465="No",$F465+2,IF(N($I465)&gt;2,$F465+3,IF(N($I465)&gt;0,$F465+5,$F465+7)))))</f>
        <v/>
      </c>
      <c r="Q465" s="48">
        <f>IF($P465="","",IF($J465="Yes",$P465+3,IF($G465="No",$P465+5,IF(N($I465)&gt;0,$P465+7,$P465+14))))</f>
        <v/>
      </c>
      <c r="R465" s="48">
        <f>IF($Q465="","",IF($J465="Yes",$Q465+7,IF($G465="No",$Q465+14,$Q465+30)))</f>
        <v/>
      </c>
      <c r="S465" s="47" t="n"/>
      <c r="T465" s="50" t="n"/>
      <c r="U465" s="47">
        <f>IF($F465="","",MIN(24,MAX(1,ROUNDUP(($F465-DayPlan!$C$2+1)/7,0))))</f>
        <v/>
      </c>
      <c r="V465" s="47">
        <f>IF($A465=""," ",4*($J465="Yes")+3*($G465="No")+2*(N($I465)&gt;0)+1*(AND(ISNUMBER($H465),$H465&gt;45))+3*(AND(ISNUMBER($P465),$P465&lt;=TODAY()))-6*($S465="Yes")+(750-ROW())/100000)</f>
        <v/>
      </c>
      <c r="W465" s="47">
        <f>IF(OR($A465="",NOT(ISNUMBER($P465))),"",INT($P465-TODAY()))</f>
        <v/>
      </c>
      <c r="X465" s="47" t="n"/>
    </row>
    <row r="466">
      <c r="A466" s="50" t="n"/>
      <c r="B466" s="47" t="n"/>
      <c r="C466" s="47" t="n"/>
      <c r="D466" s="50" t="n"/>
      <c r="E466" s="50" t="n"/>
      <c r="F466" s="48" t="n"/>
      <c r="G466" s="47" t="n"/>
      <c r="H466" s="47" t="n"/>
      <c r="I466" s="47" t="n"/>
      <c r="J466" s="47" t="n"/>
      <c r="K466" s="47" t="n"/>
      <c r="L466" s="47" t="n"/>
      <c r="M466" s="50" t="n"/>
      <c r="N466" s="50" t="n"/>
      <c r="O466" s="50" t="n"/>
      <c r="P466" s="48">
        <f>IF($F466="","",IF($J466="Yes",$F466+1,IF($G466="No",$F466+2,IF(N($I466)&gt;2,$F466+3,IF(N($I466)&gt;0,$F466+5,$F466+7)))))</f>
        <v/>
      </c>
      <c r="Q466" s="48">
        <f>IF($P466="","",IF($J466="Yes",$P466+3,IF($G466="No",$P466+5,IF(N($I466)&gt;0,$P466+7,$P466+14))))</f>
        <v/>
      </c>
      <c r="R466" s="48">
        <f>IF($Q466="","",IF($J466="Yes",$Q466+7,IF($G466="No",$Q466+14,$Q466+30)))</f>
        <v/>
      </c>
      <c r="S466" s="47" t="n"/>
      <c r="T466" s="50" t="n"/>
      <c r="U466" s="47">
        <f>IF($F466="","",MIN(24,MAX(1,ROUNDUP(($F466-DayPlan!$C$2+1)/7,0))))</f>
        <v/>
      </c>
      <c r="V466" s="47">
        <f>IF($A466=""," ",4*($J466="Yes")+3*($G466="No")+2*(N($I466)&gt;0)+1*(AND(ISNUMBER($H466),$H466&gt;45))+3*(AND(ISNUMBER($P466),$P466&lt;=TODAY()))-6*($S466="Yes")+(750-ROW())/100000)</f>
        <v/>
      </c>
      <c r="W466" s="47">
        <f>IF(OR($A466="",NOT(ISNUMBER($P466))),"",INT($P466-TODAY()))</f>
        <v/>
      </c>
      <c r="X466" s="47" t="n"/>
    </row>
    <row r="467">
      <c r="A467" s="50" t="n"/>
      <c r="B467" s="47" t="n"/>
      <c r="C467" s="47" t="n"/>
      <c r="D467" s="50" t="n"/>
      <c r="E467" s="50" t="n"/>
      <c r="F467" s="48" t="n"/>
      <c r="G467" s="47" t="n"/>
      <c r="H467" s="47" t="n"/>
      <c r="I467" s="47" t="n"/>
      <c r="J467" s="47" t="n"/>
      <c r="K467" s="47" t="n"/>
      <c r="L467" s="47" t="n"/>
      <c r="M467" s="50" t="n"/>
      <c r="N467" s="50" t="n"/>
      <c r="O467" s="50" t="n"/>
      <c r="P467" s="48">
        <f>IF($F467="","",IF($J467="Yes",$F467+1,IF($G467="No",$F467+2,IF(N($I467)&gt;2,$F467+3,IF(N($I467)&gt;0,$F467+5,$F467+7)))))</f>
        <v/>
      </c>
      <c r="Q467" s="48">
        <f>IF($P467="","",IF($J467="Yes",$P467+3,IF($G467="No",$P467+5,IF(N($I467)&gt;0,$P467+7,$P467+14))))</f>
        <v/>
      </c>
      <c r="R467" s="48">
        <f>IF($Q467="","",IF($J467="Yes",$Q467+7,IF($G467="No",$Q467+14,$Q467+30)))</f>
        <v/>
      </c>
      <c r="S467" s="47" t="n"/>
      <c r="T467" s="50" t="n"/>
      <c r="U467" s="47">
        <f>IF($F467="","",MIN(24,MAX(1,ROUNDUP(($F467-DayPlan!$C$2+1)/7,0))))</f>
        <v/>
      </c>
      <c r="V467" s="47">
        <f>IF($A467=""," ",4*($J467="Yes")+3*($G467="No")+2*(N($I467)&gt;0)+1*(AND(ISNUMBER($H467),$H467&gt;45))+3*(AND(ISNUMBER($P467),$P467&lt;=TODAY()))-6*($S467="Yes")+(750-ROW())/100000)</f>
        <v/>
      </c>
      <c r="W467" s="47">
        <f>IF(OR($A467="",NOT(ISNUMBER($P467))),"",INT($P467-TODAY()))</f>
        <v/>
      </c>
      <c r="X467" s="47" t="n"/>
    </row>
    <row r="468">
      <c r="A468" s="50" t="n"/>
      <c r="B468" s="47" t="n"/>
      <c r="C468" s="47" t="n"/>
      <c r="D468" s="50" t="n"/>
      <c r="E468" s="50" t="n"/>
      <c r="F468" s="48" t="n"/>
      <c r="G468" s="47" t="n"/>
      <c r="H468" s="47" t="n"/>
      <c r="I468" s="47" t="n"/>
      <c r="J468" s="47" t="n"/>
      <c r="K468" s="47" t="n"/>
      <c r="L468" s="47" t="n"/>
      <c r="M468" s="50" t="n"/>
      <c r="N468" s="50" t="n"/>
      <c r="O468" s="50" t="n"/>
      <c r="P468" s="48">
        <f>IF($F468="","",IF($J468="Yes",$F468+1,IF($G468="No",$F468+2,IF(N($I468)&gt;2,$F468+3,IF(N($I468)&gt;0,$F468+5,$F468+7)))))</f>
        <v/>
      </c>
      <c r="Q468" s="48">
        <f>IF($P468="","",IF($J468="Yes",$P468+3,IF($G468="No",$P468+5,IF(N($I468)&gt;0,$P468+7,$P468+14))))</f>
        <v/>
      </c>
      <c r="R468" s="48">
        <f>IF($Q468="","",IF($J468="Yes",$Q468+7,IF($G468="No",$Q468+14,$Q468+30)))</f>
        <v/>
      </c>
      <c r="S468" s="47" t="n"/>
      <c r="T468" s="50" t="n"/>
      <c r="U468" s="47">
        <f>IF($F468="","",MIN(24,MAX(1,ROUNDUP(($F468-DayPlan!$C$2+1)/7,0))))</f>
        <v/>
      </c>
      <c r="V468" s="47">
        <f>IF($A468=""," ",4*($J468="Yes")+3*($G468="No")+2*(N($I468)&gt;0)+1*(AND(ISNUMBER($H468),$H468&gt;45))+3*(AND(ISNUMBER($P468),$P468&lt;=TODAY()))-6*($S468="Yes")+(750-ROW())/100000)</f>
        <v/>
      </c>
      <c r="W468" s="47">
        <f>IF(OR($A468="",NOT(ISNUMBER($P468))),"",INT($P468-TODAY()))</f>
        <v/>
      </c>
      <c r="X468" s="47" t="n"/>
    </row>
    <row r="469">
      <c r="A469" s="50" t="n"/>
      <c r="B469" s="47" t="n"/>
      <c r="C469" s="47" t="n"/>
      <c r="D469" s="50" t="n"/>
      <c r="E469" s="50" t="n"/>
      <c r="F469" s="48" t="n"/>
      <c r="G469" s="47" t="n"/>
      <c r="H469" s="47" t="n"/>
      <c r="I469" s="47" t="n"/>
      <c r="J469" s="47" t="n"/>
      <c r="K469" s="47" t="n"/>
      <c r="L469" s="47" t="n"/>
      <c r="M469" s="50" t="n"/>
      <c r="N469" s="50" t="n"/>
      <c r="O469" s="50" t="n"/>
      <c r="P469" s="48">
        <f>IF($F469="","",IF($J469="Yes",$F469+1,IF($G469="No",$F469+2,IF(N($I469)&gt;2,$F469+3,IF(N($I469)&gt;0,$F469+5,$F469+7)))))</f>
        <v/>
      </c>
      <c r="Q469" s="48">
        <f>IF($P469="","",IF($J469="Yes",$P469+3,IF($G469="No",$P469+5,IF(N($I469)&gt;0,$P469+7,$P469+14))))</f>
        <v/>
      </c>
      <c r="R469" s="48">
        <f>IF($Q469="","",IF($J469="Yes",$Q469+7,IF($G469="No",$Q469+14,$Q469+30)))</f>
        <v/>
      </c>
      <c r="S469" s="47" t="n"/>
      <c r="T469" s="50" t="n"/>
      <c r="U469" s="47">
        <f>IF($F469="","",MIN(24,MAX(1,ROUNDUP(($F469-DayPlan!$C$2+1)/7,0))))</f>
        <v/>
      </c>
      <c r="V469" s="47">
        <f>IF($A469=""," ",4*($J469="Yes")+3*($G469="No")+2*(N($I469)&gt;0)+1*(AND(ISNUMBER($H469),$H469&gt;45))+3*(AND(ISNUMBER($P469),$P469&lt;=TODAY()))-6*($S469="Yes")+(750-ROW())/100000)</f>
        <v/>
      </c>
      <c r="W469" s="47">
        <f>IF(OR($A469="",NOT(ISNUMBER($P469))),"",INT($P469-TODAY()))</f>
        <v/>
      </c>
      <c r="X469" s="47" t="n"/>
    </row>
    <row r="470">
      <c r="A470" s="50" t="n"/>
      <c r="B470" s="47" t="n"/>
      <c r="C470" s="47" t="n"/>
      <c r="D470" s="50" t="n"/>
      <c r="E470" s="50" t="n"/>
      <c r="F470" s="48" t="n"/>
      <c r="G470" s="47" t="n"/>
      <c r="H470" s="47" t="n"/>
      <c r="I470" s="47" t="n"/>
      <c r="J470" s="47" t="n"/>
      <c r="K470" s="47" t="n"/>
      <c r="L470" s="47" t="n"/>
      <c r="M470" s="50" t="n"/>
      <c r="N470" s="50" t="n"/>
      <c r="O470" s="50" t="n"/>
      <c r="P470" s="48">
        <f>IF($F470="","",IF($J470="Yes",$F470+1,IF($G470="No",$F470+2,IF(N($I470)&gt;2,$F470+3,IF(N($I470)&gt;0,$F470+5,$F470+7)))))</f>
        <v/>
      </c>
      <c r="Q470" s="48">
        <f>IF($P470="","",IF($J470="Yes",$P470+3,IF($G470="No",$P470+5,IF(N($I470)&gt;0,$P470+7,$P470+14))))</f>
        <v/>
      </c>
      <c r="R470" s="48">
        <f>IF($Q470="","",IF($J470="Yes",$Q470+7,IF($G470="No",$Q470+14,$Q470+30)))</f>
        <v/>
      </c>
      <c r="S470" s="47" t="n"/>
      <c r="T470" s="50" t="n"/>
      <c r="U470" s="47">
        <f>IF($F470="","",MIN(24,MAX(1,ROUNDUP(($F470-DayPlan!$C$2+1)/7,0))))</f>
        <v/>
      </c>
      <c r="V470" s="47">
        <f>IF($A470=""," ",4*($J470="Yes")+3*($G470="No")+2*(N($I470)&gt;0)+1*(AND(ISNUMBER($H470),$H470&gt;45))+3*(AND(ISNUMBER($P470),$P470&lt;=TODAY()))-6*($S470="Yes")+(750-ROW())/100000)</f>
        <v/>
      </c>
      <c r="W470" s="47">
        <f>IF(OR($A470="",NOT(ISNUMBER($P470))),"",INT($P470-TODAY()))</f>
        <v/>
      </c>
      <c r="X470" s="47" t="n"/>
    </row>
    <row r="471">
      <c r="A471" s="50" t="n"/>
      <c r="B471" s="47" t="n"/>
      <c r="C471" s="47" t="n"/>
      <c r="D471" s="50" t="n"/>
      <c r="E471" s="50" t="n"/>
      <c r="F471" s="48" t="n"/>
      <c r="G471" s="47" t="n"/>
      <c r="H471" s="47" t="n"/>
      <c r="I471" s="47" t="n"/>
      <c r="J471" s="47" t="n"/>
      <c r="K471" s="47" t="n"/>
      <c r="L471" s="47" t="n"/>
      <c r="M471" s="50" t="n"/>
      <c r="N471" s="50" t="n"/>
      <c r="O471" s="50" t="n"/>
      <c r="P471" s="48">
        <f>IF($F471="","",IF($J471="Yes",$F471+1,IF($G471="No",$F471+2,IF(N($I471)&gt;2,$F471+3,IF(N($I471)&gt;0,$F471+5,$F471+7)))))</f>
        <v/>
      </c>
      <c r="Q471" s="48">
        <f>IF($P471="","",IF($J471="Yes",$P471+3,IF($G471="No",$P471+5,IF(N($I471)&gt;0,$P471+7,$P471+14))))</f>
        <v/>
      </c>
      <c r="R471" s="48">
        <f>IF($Q471="","",IF($J471="Yes",$Q471+7,IF($G471="No",$Q471+14,$Q471+30)))</f>
        <v/>
      </c>
      <c r="S471" s="47" t="n"/>
      <c r="T471" s="50" t="n"/>
      <c r="U471" s="47">
        <f>IF($F471="","",MIN(24,MAX(1,ROUNDUP(($F471-DayPlan!$C$2+1)/7,0))))</f>
        <v/>
      </c>
      <c r="V471" s="47">
        <f>IF($A471=""," ",4*($J471="Yes")+3*($G471="No")+2*(N($I471)&gt;0)+1*(AND(ISNUMBER($H471),$H471&gt;45))+3*(AND(ISNUMBER($P471),$P471&lt;=TODAY()))-6*($S471="Yes")+(750-ROW())/100000)</f>
        <v/>
      </c>
      <c r="W471" s="47">
        <f>IF(OR($A471="",NOT(ISNUMBER($P471))),"",INT($P471-TODAY()))</f>
        <v/>
      </c>
      <c r="X471" s="47" t="n"/>
    </row>
    <row r="472">
      <c r="A472" s="50" t="n"/>
      <c r="B472" s="47" t="n"/>
      <c r="C472" s="47" t="n"/>
      <c r="D472" s="50" t="n"/>
      <c r="E472" s="50" t="n"/>
      <c r="F472" s="48" t="n"/>
      <c r="G472" s="47" t="n"/>
      <c r="H472" s="47" t="n"/>
      <c r="I472" s="47" t="n"/>
      <c r="J472" s="47" t="n"/>
      <c r="K472" s="47" t="n"/>
      <c r="L472" s="47" t="n"/>
      <c r="M472" s="50" t="n"/>
      <c r="N472" s="50" t="n"/>
      <c r="O472" s="50" t="n"/>
      <c r="P472" s="48">
        <f>IF($F472="","",IF($J472="Yes",$F472+1,IF($G472="No",$F472+2,IF(N($I472)&gt;2,$F472+3,IF(N($I472)&gt;0,$F472+5,$F472+7)))))</f>
        <v/>
      </c>
      <c r="Q472" s="48">
        <f>IF($P472="","",IF($J472="Yes",$P472+3,IF($G472="No",$P472+5,IF(N($I472)&gt;0,$P472+7,$P472+14))))</f>
        <v/>
      </c>
      <c r="R472" s="48">
        <f>IF($Q472="","",IF($J472="Yes",$Q472+7,IF($G472="No",$Q472+14,$Q472+30)))</f>
        <v/>
      </c>
      <c r="S472" s="47" t="n"/>
      <c r="T472" s="50" t="n"/>
      <c r="U472" s="47">
        <f>IF($F472="","",MIN(24,MAX(1,ROUNDUP(($F472-DayPlan!$C$2+1)/7,0))))</f>
        <v/>
      </c>
      <c r="V472" s="47">
        <f>IF($A472=""," ",4*($J472="Yes")+3*($G472="No")+2*(N($I472)&gt;0)+1*(AND(ISNUMBER($H472),$H472&gt;45))+3*(AND(ISNUMBER($P472),$P472&lt;=TODAY()))-6*($S472="Yes")+(750-ROW())/100000)</f>
        <v/>
      </c>
      <c r="W472" s="47">
        <f>IF(OR($A472="",NOT(ISNUMBER($P472))),"",INT($P472-TODAY()))</f>
        <v/>
      </c>
      <c r="X472" s="47" t="n"/>
    </row>
    <row r="473">
      <c r="A473" s="50" t="n"/>
      <c r="B473" s="47" t="n"/>
      <c r="C473" s="47" t="n"/>
      <c r="D473" s="50" t="n"/>
      <c r="E473" s="50" t="n"/>
      <c r="F473" s="48" t="n"/>
      <c r="G473" s="47" t="n"/>
      <c r="H473" s="47" t="n"/>
      <c r="I473" s="47" t="n"/>
      <c r="J473" s="47" t="n"/>
      <c r="K473" s="47" t="n"/>
      <c r="L473" s="47" t="n"/>
      <c r="M473" s="50" t="n"/>
      <c r="N473" s="50" t="n"/>
      <c r="O473" s="50" t="n"/>
      <c r="P473" s="48">
        <f>IF($F473="","",IF($J473="Yes",$F473+1,IF($G473="No",$F473+2,IF(N($I473)&gt;2,$F473+3,IF(N($I473)&gt;0,$F473+5,$F473+7)))))</f>
        <v/>
      </c>
      <c r="Q473" s="48">
        <f>IF($P473="","",IF($J473="Yes",$P473+3,IF($G473="No",$P473+5,IF(N($I473)&gt;0,$P473+7,$P473+14))))</f>
        <v/>
      </c>
      <c r="R473" s="48">
        <f>IF($Q473="","",IF($J473="Yes",$Q473+7,IF($G473="No",$Q473+14,$Q473+30)))</f>
        <v/>
      </c>
      <c r="S473" s="47" t="n"/>
      <c r="T473" s="50" t="n"/>
      <c r="U473" s="47">
        <f>IF($F473="","",MIN(24,MAX(1,ROUNDUP(($F473-DayPlan!$C$2+1)/7,0))))</f>
        <v/>
      </c>
      <c r="V473" s="47">
        <f>IF($A473=""," ",4*($J473="Yes")+3*($G473="No")+2*(N($I473)&gt;0)+1*(AND(ISNUMBER($H473),$H473&gt;45))+3*(AND(ISNUMBER($P473),$P473&lt;=TODAY()))-6*($S473="Yes")+(750-ROW())/100000)</f>
        <v/>
      </c>
      <c r="W473" s="47">
        <f>IF(OR($A473="",NOT(ISNUMBER($P473))),"",INT($P473-TODAY()))</f>
        <v/>
      </c>
      <c r="X473" s="47" t="n"/>
    </row>
    <row r="474">
      <c r="A474" s="50" t="n"/>
      <c r="B474" s="47" t="n"/>
      <c r="C474" s="47" t="n"/>
      <c r="D474" s="50" t="n"/>
      <c r="E474" s="50" t="n"/>
      <c r="F474" s="48" t="n"/>
      <c r="G474" s="47" t="n"/>
      <c r="H474" s="47" t="n"/>
      <c r="I474" s="47" t="n"/>
      <c r="J474" s="47" t="n"/>
      <c r="K474" s="47" t="n"/>
      <c r="L474" s="47" t="n"/>
      <c r="M474" s="50" t="n"/>
      <c r="N474" s="50" t="n"/>
      <c r="O474" s="50" t="n"/>
      <c r="P474" s="48">
        <f>IF($F474="","",IF($J474="Yes",$F474+1,IF($G474="No",$F474+2,IF(N($I474)&gt;2,$F474+3,IF(N($I474)&gt;0,$F474+5,$F474+7)))))</f>
        <v/>
      </c>
      <c r="Q474" s="48">
        <f>IF($P474="","",IF($J474="Yes",$P474+3,IF($G474="No",$P474+5,IF(N($I474)&gt;0,$P474+7,$P474+14))))</f>
        <v/>
      </c>
      <c r="R474" s="48">
        <f>IF($Q474="","",IF($J474="Yes",$Q474+7,IF($G474="No",$Q474+14,$Q474+30)))</f>
        <v/>
      </c>
      <c r="S474" s="47" t="n"/>
      <c r="T474" s="50" t="n"/>
      <c r="U474" s="47">
        <f>IF($F474="","",MIN(24,MAX(1,ROUNDUP(($F474-DayPlan!$C$2+1)/7,0))))</f>
        <v/>
      </c>
      <c r="V474" s="47">
        <f>IF($A474=""," ",4*($J474="Yes")+3*($G474="No")+2*(N($I474)&gt;0)+1*(AND(ISNUMBER($H474),$H474&gt;45))+3*(AND(ISNUMBER($P474),$P474&lt;=TODAY()))-6*($S474="Yes")+(750-ROW())/100000)</f>
        <v/>
      </c>
      <c r="W474" s="47">
        <f>IF(OR($A474="",NOT(ISNUMBER($P474))),"",INT($P474-TODAY()))</f>
        <v/>
      </c>
      <c r="X474" s="47" t="n"/>
    </row>
    <row r="475">
      <c r="A475" s="50" t="n"/>
      <c r="B475" s="47" t="n"/>
      <c r="C475" s="47" t="n"/>
      <c r="D475" s="50" t="n"/>
      <c r="E475" s="50" t="n"/>
      <c r="F475" s="48" t="n"/>
      <c r="G475" s="47" t="n"/>
      <c r="H475" s="47" t="n"/>
      <c r="I475" s="47" t="n"/>
      <c r="J475" s="47" t="n"/>
      <c r="K475" s="47" t="n"/>
      <c r="L475" s="47" t="n"/>
      <c r="M475" s="50" t="n"/>
      <c r="N475" s="50" t="n"/>
      <c r="O475" s="50" t="n"/>
      <c r="P475" s="48">
        <f>IF($F475="","",IF($J475="Yes",$F475+1,IF($G475="No",$F475+2,IF(N($I475)&gt;2,$F475+3,IF(N($I475)&gt;0,$F475+5,$F475+7)))))</f>
        <v/>
      </c>
      <c r="Q475" s="48">
        <f>IF($P475="","",IF($J475="Yes",$P475+3,IF($G475="No",$P475+5,IF(N($I475)&gt;0,$P475+7,$P475+14))))</f>
        <v/>
      </c>
      <c r="R475" s="48">
        <f>IF($Q475="","",IF($J475="Yes",$Q475+7,IF($G475="No",$Q475+14,$Q475+30)))</f>
        <v/>
      </c>
      <c r="S475" s="47" t="n"/>
      <c r="T475" s="50" t="n"/>
      <c r="U475" s="47">
        <f>IF($F475="","",MIN(24,MAX(1,ROUNDUP(($F475-DayPlan!$C$2+1)/7,0))))</f>
        <v/>
      </c>
      <c r="V475" s="47">
        <f>IF($A475=""," ",4*($J475="Yes")+3*($G475="No")+2*(N($I475)&gt;0)+1*(AND(ISNUMBER($H475),$H475&gt;45))+3*(AND(ISNUMBER($P475),$P475&lt;=TODAY()))-6*($S475="Yes")+(750-ROW())/100000)</f>
        <v/>
      </c>
      <c r="W475" s="47">
        <f>IF(OR($A475="",NOT(ISNUMBER($P475))),"",INT($P475-TODAY()))</f>
        <v/>
      </c>
      <c r="X475" s="47" t="n"/>
    </row>
    <row r="476">
      <c r="A476" s="50" t="n"/>
      <c r="B476" s="47" t="n"/>
      <c r="C476" s="47" t="n"/>
      <c r="D476" s="50" t="n"/>
      <c r="E476" s="50" t="n"/>
      <c r="F476" s="48" t="n"/>
      <c r="G476" s="47" t="n"/>
      <c r="H476" s="47" t="n"/>
      <c r="I476" s="47" t="n"/>
      <c r="J476" s="47" t="n"/>
      <c r="K476" s="47" t="n"/>
      <c r="L476" s="47" t="n"/>
      <c r="M476" s="50" t="n"/>
      <c r="N476" s="50" t="n"/>
      <c r="O476" s="50" t="n"/>
      <c r="P476" s="48">
        <f>IF($F476="","",IF($J476="Yes",$F476+1,IF($G476="No",$F476+2,IF(N($I476)&gt;2,$F476+3,IF(N($I476)&gt;0,$F476+5,$F476+7)))))</f>
        <v/>
      </c>
      <c r="Q476" s="48">
        <f>IF($P476="","",IF($J476="Yes",$P476+3,IF($G476="No",$P476+5,IF(N($I476)&gt;0,$P476+7,$P476+14))))</f>
        <v/>
      </c>
      <c r="R476" s="48">
        <f>IF($Q476="","",IF($J476="Yes",$Q476+7,IF($G476="No",$Q476+14,$Q476+30)))</f>
        <v/>
      </c>
      <c r="S476" s="47" t="n"/>
      <c r="T476" s="50" t="n"/>
      <c r="U476" s="47">
        <f>IF($F476="","",MIN(24,MAX(1,ROUNDUP(($F476-DayPlan!$C$2+1)/7,0))))</f>
        <v/>
      </c>
      <c r="V476" s="47">
        <f>IF($A476=""," ",4*($J476="Yes")+3*($G476="No")+2*(N($I476)&gt;0)+1*(AND(ISNUMBER($H476),$H476&gt;45))+3*(AND(ISNUMBER($P476),$P476&lt;=TODAY()))-6*($S476="Yes")+(750-ROW())/100000)</f>
        <v/>
      </c>
      <c r="W476" s="47">
        <f>IF(OR($A476="",NOT(ISNUMBER($P476))),"",INT($P476-TODAY()))</f>
        <v/>
      </c>
      <c r="X476" s="47" t="n"/>
    </row>
    <row r="477">
      <c r="A477" s="50" t="n"/>
      <c r="B477" s="47" t="n"/>
      <c r="C477" s="47" t="n"/>
      <c r="D477" s="50" t="n"/>
      <c r="E477" s="50" t="n"/>
      <c r="F477" s="48" t="n"/>
      <c r="G477" s="47" t="n"/>
      <c r="H477" s="47" t="n"/>
      <c r="I477" s="47" t="n"/>
      <c r="J477" s="47" t="n"/>
      <c r="K477" s="47" t="n"/>
      <c r="L477" s="47" t="n"/>
      <c r="M477" s="50" t="n"/>
      <c r="N477" s="50" t="n"/>
      <c r="O477" s="50" t="n"/>
      <c r="P477" s="48">
        <f>IF($F477="","",IF($J477="Yes",$F477+1,IF($G477="No",$F477+2,IF(N($I477)&gt;2,$F477+3,IF(N($I477)&gt;0,$F477+5,$F477+7)))))</f>
        <v/>
      </c>
      <c r="Q477" s="48">
        <f>IF($P477="","",IF($J477="Yes",$P477+3,IF($G477="No",$P477+5,IF(N($I477)&gt;0,$P477+7,$P477+14))))</f>
        <v/>
      </c>
      <c r="R477" s="48">
        <f>IF($Q477="","",IF($J477="Yes",$Q477+7,IF($G477="No",$Q477+14,$Q477+30)))</f>
        <v/>
      </c>
      <c r="S477" s="47" t="n"/>
      <c r="T477" s="50" t="n"/>
      <c r="U477" s="47">
        <f>IF($F477="","",MIN(24,MAX(1,ROUNDUP(($F477-DayPlan!$C$2+1)/7,0))))</f>
        <v/>
      </c>
      <c r="V477" s="47">
        <f>IF($A477=""," ",4*($J477="Yes")+3*($G477="No")+2*(N($I477)&gt;0)+1*(AND(ISNUMBER($H477),$H477&gt;45))+3*(AND(ISNUMBER($P477),$P477&lt;=TODAY()))-6*($S477="Yes")+(750-ROW())/100000)</f>
        <v/>
      </c>
      <c r="W477" s="47">
        <f>IF(OR($A477="",NOT(ISNUMBER($P477))),"",INT($P477-TODAY()))</f>
        <v/>
      </c>
      <c r="X477" s="47" t="n"/>
    </row>
    <row r="478">
      <c r="A478" s="50" t="n"/>
      <c r="B478" s="47" t="n"/>
      <c r="C478" s="47" t="n"/>
      <c r="D478" s="50" t="n"/>
      <c r="E478" s="50" t="n"/>
      <c r="F478" s="48" t="n"/>
      <c r="G478" s="47" t="n"/>
      <c r="H478" s="47" t="n"/>
      <c r="I478" s="47" t="n"/>
      <c r="J478" s="47" t="n"/>
      <c r="K478" s="47" t="n"/>
      <c r="L478" s="47" t="n"/>
      <c r="M478" s="50" t="n"/>
      <c r="N478" s="50" t="n"/>
      <c r="O478" s="50" t="n"/>
      <c r="P478" s="48">
        <f>IF($F478="","",IF($J478="Yes",$F478+1,IF($G478="No",$F478+2,IF(N($I478)&gt;2,$F478+3,IF(N($I478)&gt;0,$F478+5,$F478+7)))))</f>
        <v/>
      </c>
      <c r="Q478" s="48">
        <f>IF($P478="","",IF($J478="Yes",$P478+3,IF($G478="No",$P478+5,IF(N($I478)&gt;0,$P478+7,$P478+14))))</f>
        <v/>
      </c>
      <c r="R478" s="48">
        <f>IF($Q478="","",IF($J478="Yes",$Q478+7,IF($G478="No",$Q478+14,$Q478+30)))</f>
        <v/>
      </c>
      <c r="S478" s="47" t="n"/>
      <c r="T478" s="50" t="n"/>
      <c r="U478" s="47">
        <f>IF($F478="","",MIN(24,MAX(1,ROUNDUP(($F478-DayPlan!$C$2+1)/7,0))))</f>
        <v/>
      </c>
      <c r="V478" s="47">
        <f>IF($A478=""," ",4*($J478="Yes")+3*($G478="No")+2*(N($I478)&gt;0)+1*(AND(ISNUMBER($H478),$H478&gt;45))+3*(AND(ISNUMBER($P478),$P478&lt;=TODAY()))-6*($S478="Yes")+(750-ROW())/100000)</f>
        <v/>
      </c>
      <c r="W478" s="47">
        <f>IF(OR($A478="",NOT(ISNUMBER($P478))),"",INT($P478-TODAY()))</f>
        <v/>
      </c>
      <c r="X478" s="47" t="n"/>
    </row>
    <row r="479">
      <c r="A479" s="50" t="n"/>
      <c r="B479" s="47" t="n"/>
      <c r="C479" s="47" t="n"/>
      <c r="D479" s="50" t="n"/>
      <c r="E479" s="50" t="n"/>
      <c r="F479" s="48" t="n"/>
      <c r="G479" s="47" t="n"/>
      <c r="H479" s="47" t="n"/>
      <c r="I479" s="47" t="n"/>
      <c r="J479" s="47" t="n"/>
      <c r="K479" s="47" t="n"/>
      <c r="L479" s="47" t="n"/>
      <c r="M479" s="50" t="n"/>
      <c r="N479" s="50" t="n"/>
      <c r="O479" s="50" t="n"/>
      <c r="P479" s="48">
        <f>IF($F479="","",IF($J479="Yes",$F479+1,IF($G479="No",$F479+2,IF(N($I479)&gt;2,$F479+3,IF(N($I479)&gt;0,$F479+5,$F479+7)))))</f>
        <v/>
      </c>
      <c r="Q479" s="48">
        <f>IF($P479="","",IF($J479="Yes",$P479+3,IF($G479="No",$P479+5,IF(N($I479)&gt;0,$P479+7,$P479+14))))</f>
        <v/>
      </c>
      <c r="R479" s="48">
        <f>IF($Q479="","",IF($J479="Yes",$Q479+7,IF($G479="No",$Q479+14,$Q479+30)))</f>
        <v/>
      </c>
      <c r="S479" s="47" t="n"/>
      <c r="T479" s="50" t="n"/>
      <c r="U479" s="47">
        <f>IF($F479="","",MIN(24,MAX(1,ROUNDUP(($F479-DayPlan!$C$2+1)/7,0))))</f>
        <v/>
      </c>
      <c r="V479" s="47">
        <f>IF($A479=""," ",4*($J479="Yes")+3*($G479="No")+2*(N($I479)&gt;0)+1*(AND(ISNUMBER($H479),$H479&gt;45))+3*(AND(ISNUMBER($P479),$P479&lt;=TODAY()))-6*($S479="Yes")+(750-ROW())/100000)</f>
        <v/>
      </c>
      <c r="W479" s="47">
        <f>IF(OR($A479="",NOT(ISNUMBER($P479))),"",INT($P479-TODAY()))</f>
        <v/>
      </c>
      <c r="X479" s="47" t="n"/>
    </row>
    <row r="480">
      <c r="A480" s="50" t="n"/>
      <c r="B480" s="47" t="n"/>
      <c r="C480" s="47" t="n"/>
      <c r="D480" s="50" t="n"/>
      <c r="E480" s="50" t="n"/>
      <c r="F480" s="48" t="n"/>
      <c r="G480" s="47" t="n"/>
      <c r="H480" s="47" t="n"/>
      <c r="I480" s="47" t="n"/>
      <c r="J480" s="47" t="n"/>
      <c r="K480" s="47" t="n"/>
      <c r="L480" s="47" t="n"/>
      <c r="M480" s="50" t="n"/>
      <c r="N480" s="50" t="n"/>
      <c r="O480" s="50" t="n"/>
      <c r="P480" s="48">
        <f>IF($F480="","",IF($J480="Yes",$F480+1,IF($G480="No",$F480+2,IF(N($I480)&gt;2,$F480+3,IF(N($I480)&gt;0,$F480+5,$F480+7)))))</f>
        <v/>
      </c>
      <c r="Q480" s="48">
        <f>IF($P480="","",IF($J480="Yes",$P480+3,IF($G480="No",$P480+5,IF(N($I480)&gt;0,$P480+7,$P480+14))))</f>
        <v/>
      </c>
      <c r="R480" s="48">
        <f>IF($Q480="","",IF($J480="Yes",$Q480+7,IF($G480="No",$Q480+14,$Q480+30)))</f>
        <v/>
      </c>
      <c r="S480" s="47" t="n"/>
      <c r="T480" s="50" t="n"/>
      <c r="U480" s="47">
        <f>IF($F480="","",MIN(24,MAX(1,ROUNDUP(($F480-DayPlan!$C$2+1)/7,0))))</f>
        <v/>
      </c>
      <c r="V480" s="47">
        <f>IF($A480=""," ",4*($J480="Yes")+3*($G480="No")+2*(N($I480)&gt;0)+1*(AND(ISNUMBER($H480),$H480&gt;45))+3*(AND(ISNUMBER($P480),$P480&lt;=TODAY()))-6*($S480="Yes")+(750-ROW())/100000)</f>
        <v/>
      </c>
      <c r="W480" s="47">
        <f>IF(OR($A480="",NOT(ISNUMBER($P480))),"",INT($P480-TODAY()))</f>
        <v/>
      </c>
      <c r="X480" s="47" t="n"/>
    </row>
    <row r="481">
      <c r="A481" s="50" t="n"/>
      <c r="B481" s="47" t="n"/>
      <c r="C481" s="47" t="n"/>
      <c r="D481" s="50" t="n"/>
      <c r="E481" s="50" t="n"/>
      <c r="F481" s="48" t="n"/>
      <c r="G481" s="47" t="n"/>
      <c r="H481" s="47" t="n"/>
      <c r="I481" s="47" t="n"/>
      <c r="J481" s="47" t="n"/>
      <c r="K481" s="47" t="n"/>
      <c r="L481" s="47" t="n"/>
      <c r="M481" s="50" t="n"/>
      <c r="N481" s="50" t="n"/>
      <c r="O481" s="50" t="n"/>
      <c r="P481" s="48">
        <f>IF($F481="","",IF($J481="Yes",$F481+1,IF($G481="No",$F481+2,IF(N($I481)&gt;2,$F481+3,IF(N($I481)&gt;0,$F481+5,$F481+7)))))</f>
        <v/>
      </c>
      <c r="Q481" s="48">
        <f>IF($P481="","",IF($J481="Yes",$P481+3,IF($G481="No",$P481+5,IF(N($I481)&gt;0,$P481+7,$P481+14))))</f>
        <v/>
      </c>
      <c r="R481" s="48">
        <f>IF($Q481="","",IF($J481="Yes",$Q481+7,IF($G481="No",$Q481+14,$Q481+30)))</f>
        <v/>
      </c>
      <c r="S481" s="47" t="n"/>
      <c r="T481" s="50" t="n"/>
      <c r="U481" s="47">
        <f>IF($F481="","",MIN(24,MAX(1,ROUNDUP(($F481-DayPlan!$C$2+1)/7,0))))</f>
        <v/>
      </c>
      <c r="V481" s="47">
        <f>IF($A481=""," ",4*($J481="Yes")+3*($G481="No")+2*(N($I481)&gt;0)+1*(AND(ISNUMBER($H481),$H481&gt;45))+3*(AND(ISNUMBER($P481),$P481&lt;=TODAY()))-6*($S481="Yes")+(750-ROW())/100000)</f>
        <v/>
      </c>
      <c r="W481" s="47">
        <f>IF(OR($A481="",NOT(ISNUMBER($P481))),"",INT($P481-TODAY()))</f>
        <v/>
      </c>
      <c r="X481" s="47" t="n"/>
    </row>
    <row r="482">
      <c r="A482" s="50" t="n"/>
      <c r="B482" s="47" t="n"/>
      <c r="C482" s="47" t="n"/>
      <c r="D482" s="50" t="n"/>
      <c r="E482" s="50" t="n"/>
      <c r="F482" s="48" t="n"/>
      <c r="G482" s="47" t="n"/>
      <c r="H482" s="47" t="n"/>
      <c r="I482" s="47" t="n"/>
      <c r="J482" s="47" t="n"/>
      <c r="K482" s="47" t="n"/>
      <c r="L482" s="47" t="n"/>
      <c r="M482" s="50" t="n"/>
      <c r="N482" s="50" t="n"/>
      <c r="O482" s="50" t="n"/>
      <c r="P482" s="48">
        <f>IF($F482="","",IF($J482="Yes",$F482+1,IF($G482="No",$F482+2,IF(N($I482)&gt;2,$F482+3,IF(N($I482)&gt;0,$F482+5,$F482+7)))))</f>
        <v/>
      </c>
      <c r="Q482" s="48">
        <f>IF($P482="","",IF($J482="Yes",$P482+3,IF($G482="No",$P482+5,IF(N($I482)&gt;0,$P482+7,$P482+14))))</f>
        <v/>
      </c>
      <c r="R482" s="48">
        <f>IF($Q482="","",IF($J482="Yes",$Q482+7,IF($G482="No",$Q482+14,$Q482+30)))</f>
        <v/>
      </c>
      <c r="S482" s="47" t="n"/>
      <c r="T482" s="50" t="n"/>
      <c r="U482" s="47">
        <f>IF($F482="","",MIN(24,MAX(1,ROUNDUP(($F482-DayPlan!$C$2+1)/7,0))))</f>
        <v/>
      </c>
      <c r="V482" s="47">
        <f>IF($A482=""," ",4*($J482="Yes")+3*($G482="No")+2*(N($I482)&gt;0)+1*(AND(ISNUMBER($H482),$H482&gt;45))+3*(AND(ISNUMBER($P482),$P482&lt;=TODAY()))-6*($S482="Yes")+(750-ROW())/100000)</f>
        <v/>
      </c>
      <c r="W482" s="47">
        <f>IF(OR($A482="",NOT(ISNUMBER($P482))),"",INT($P482-TODAY()))</f>
        <v/>
      </c>
      <c r="X482" s="47" t="n"/>
    </row>
    <row r="483">
      <c r="A483" s="50" t="n"/>
      <c r="B483" s="47" t="n"/>
      <c r="C483" s="47" t="n"/>
      <c r="D483" s="50" t="n"/>
      <c r="E483" s="50" t="n"/>
      <c r="F483" s="48" t="n"/>
      <c r="G483" s="47" t="n"/>
      <c r="H483" s="47" t="n"/>
      <c r="I483" s="47" t="n"/>
      <c r="J483" s="47" t="n"/>
      <c r="K483" s="47" t="n"/>
      <c r="L483" s="47" t="n"/>
      <c r="M483" s="50" t="n"/>
      <c r="N483" s="50" t="n"/>
      <c r="O483" s="50" t="n"/>
      <c r="P483" s="48">
        <f>IF($F483="","",IF($J483="Yes",$F483+1,IF($G483="No",$F483+2,IF(N($I483)&gt;2,$F483+3,IF(N($I483)&gt;0,$F483+5,$F483+7)))))</f>
        <v/>
      </c>
      <c r="Q483" s="48">
        <f>IF($P483="","",IF($J483="Yes",$P483+3,IF($G483="No",$P483+5,IF(N($I483)&gt;0,$P483+7,$P483+14))))</f>
        <v/>
      </c>
      <c r="R483" s="48">
        <f>IF($Q483="","",IF($J483="Yes",$Q483+7,IF($G483="No",$Q483+14,$Q483+30)))</f>
        <v/>
      </c>
      <c r="S483" s="47" t="n"/>
      <c r="T483" s="50" t="n"/>
      <c r="U483" s="47">
        <f>IF($F483="","",MIN(24,MAX(1,ROUNDUP(($F483-DayPlan!$C$2+1)/7,0))))</f>
        <v/>
      </c>
      <c r="V483" s="47">
        <f>IF($A483=""," ",4*($J483="Yes")+3*($G483="No")+2*(N($I483)&gt;0)+1*(AND(ISNUMBER($H483),$H483&gt;45))+3*(AND(ISNUMBER($P483),$P483&lt;=TODAY()))-6*($S483="Yes")+(750-ROW())/100000)</f>
        <v/>
      </c>
      <c r="W483" s="47">
        <f>IF(OR($A483="",NOT(ISNUMBER($P483))),"",INT($P483-TODAY()))</f>
        <v/>
      </c>
      <c r="X483" s="47" t="n"/>
    </row>
    <row r="484">
      <c r="A484" s="50" t="n"/>
      <c r="B484" s="47" t="n"/>
      <c r="C484" s="47" t="n"/>
      <c r="D484" s="50" t="n"/>
      <c r="E484" s="50" t="n"/>
      <c r="F484" s="48" t="n"/>
      <c r="G484" s="47" t="n"/>
      <c r="H484" s="47" t="n"/>
      <c r="I484" s="47" t="n"/>
      <c r="J484" s="47" t="n"/>
      <c r="K484" s="47" t="n"/>
      <c r="L484" s="47" t="n"/>
      <c r="M484" s="50" t="n"/>
      <c r="N484" s="50" t="n"/>
      <c r="O484" s="50" t="n"/>
      <c r="P484" s="48">
        <f>IF($F484="","",IF($J484="Yes",$F484+1,IF($G484="No",$F484+2,IF(N($I484)&gt;2,$F484+3,IF(N($I484)&gt;0,$F484+5,$F484+7)))))</f>
        <v/>
      </c>
      <c r="Q484" s="48">
        <f>IF($P484="","",IF($J484="Yes",$P484+3,IF($G484="No",$P484+5,IF(N($I484)&gt;0,$P484+7,$P484+14))))</f>
        <v/>
      </c>
      <c r="R484" s="48">
        <f>IF($Q484="","",IF($J484="Yes",$Q484+7,IF($G484="No",$Q484+14,$Q484+30)))</f>
        <v/>
      </c>
      <c r="S484" s="47" t="n"/>
      <c r="T484" s="50" t="n"/>
      <c r="U484" s="47">
        <f>IF($F484="","",MIN(24,MAX(1,ROUNDUP(($F484-DayPlan!$C$2+1)/7,0))))</f>
        <v/>
      </c>
      <c r="V484" s="47">
        <f>IF($A484=""," ",4*($J484="Yes")+3*($G484="No")+2*(N($I484)&gt;0)+1*(AND(ISNUMBER($H484),$H484&gt;45))+3*(AND(ISNUMBER($P484),$P484&lt;=TODAY()))-6*($S484="Yes")+(750-ROW())/100000)</f>
        <v/>
      </c>
      <c r="W484" s="47">
        <f>IF(OR($A484="",NOT(ISNUMBER($P484))),"",INT($P484-TODAY()))</f>
        <v/>
      </c>
      <c r="X484" s="47" t="n"/>
    </row>
    <row r="485">
      <c r="A485" s="50" t="n"/>
      <c r="B485" s="47" t="n"/>
      <c r="C485" s="47" t="n"/>
      <c r="D485" s="50" t="n"/>
      <c r="E485" s="50" t="n"/>
      <c r="F485" s="48" t="n"/>
      <c r="G485" s="47" t="n"/>
      <c r="H485" s="47" t="n"/>
      <c r="I485" s="47" t="n"/>
      <c r="J485" s="47" t="n"/>
      <c r="K485" s="47" t="n"/>
      <c r="L485" s="47" t="n"/>
      <c r="M485" s="50" t="n"/>
      <c r="N485" s="50" t="n"/>
      <c r="O485" s="50" t="n"/>
      <c r="P485" s="48">
        <f>IF($F485="","",IF($J485="Yes",$F485+1,IF($G485="No",$F485+2,IF(N($I485)&gt;2,$F485+3,IF(N($I485)&gt;0,$F485+5,$F485+7)))))</f>
        <v/>
      </c>
      <c r="Q485" s="48">
        <f>IF($P485="","",IF($J485="Yes",$P485+3,IF($G485="No",$P485+5,IF(N($I485)&gt;0,$P485+7,$P485+14))))</f>
        <v/>
      </c>
      <c r="R485" s="48">
        <f>IF($Q485="","",IF($J485="Yes",$Q485+7,IF($G485="No",$Q485+14,$Q485+30)))</f>
        <v/>
      </c>
      <c r="S485" s="47" t="n"/>
      <c r="T485" s="50" t="n"/>
      <c r="U485" s="47">
        <f>IF($F485="","",MIN(24,MAX(1,ROUNDUP(($F485-DayPlan!$C$2+1)/7,0))))</f>
        <v/>
      </c>
      <c r="V485" s="47">
        <f>IF($A485=""," ",4*($J485="Yes")+3*($G485="No")+2*(N($I485)&gt;0)+1*(AND(ISNUMBER($H485),$H485&gt;45))+3*(AND(ISNUMBER($P485),$P485&lt;=TODAY()))-6*($S485="Yes")+(750-ROW())/100000)</f>
        <v/>
      </c>
      <c r="W485" s="47">
        <f>IF(OR($A485="",NOT(ISNUMBER($P485))),"",INT($P485-TODAY()))</f>
        <v/>
      </c>
      <c r="X485" s="47" t="n"/>
    </row>
    <row r="486">
      <c r="A486" s="50" t="n"/>
      <c r="B486" s="47" t="n"/>
      <c r="C486" s="47" t="n"/>
      <c r="D486" s="50" t="n"/>
      <c r="E486" s="50" t="n"/>
      <c r="F486" s="48" t="n"/>
      <c r="G486" s="47" t="n"/>
      <c r="H486" s="47" t="n"/>
      <c r="I486" s="47" t="n"/>
      <c r="J486" s="47" t="n"/>
      <c r="K486" s="47" t="n"/>
      <c r="L486" s="47" t="n"/>
      <c r="M486" s="50" t="n"/>
      <c r="N486" s="50" t="n"/>
      <c r="O486" s="50" t="n"/>
      <c r="P486" s="48">
        <f>IF($F486="","",IF($J486="Yes",$F486+1,IF($G486="No",$F486+2,IF(N($I486)&gt;2,$F486+3,IF(N($I486)&gt;0,$F486+5,$F486+7)))))</f>
        <v/>
      </c>
      <c r="Q486" s="48">
        <f>IF($P486="","",IF($J486="Yes",$P486+3,IF($G486="No",$P486+5,IF(N($I486)&gt;0,$P486+7,$P486+14))))</f>
        <v/>
      </c>
      <c r="R486" s="48">
        <f>IF($Q486="","",IF($J486="Yes",$Q486+7,IF($G486="No",$Q486+14,$Q486+30)))</f>
        <v/>
      </c>
      <c r="S486" s="47" t="n"/>
      <c r="T486" s="50" t="n"/>
      <c r="U486" s="47">
        <f>IF($F486="","",MIN(24,MAX(1,ROUNDUP(($F486-DayPlan!$C$2+1)/7,0))))</f>
        <v/>
      </c>
      <c r="V486" s="47">
        <f>IF($A486=""," ",4*($J486="Yes")+3*($G486="No")+2*(N($I486)&gt;0)+1*(AND(ISNUMBER($H486),$H486&gt;45))+3*(AND(ISNUMBER($P486),$P486&lt;=TODAY()))-6*($S486="Yes")+(750-ROW())/100000)</f>
        <v/>
      </c>
      <c r="W486" s="47">
        <f>IF(OR($A486="",NOT(ISNUMBER($P486))),"",INT($P486-TODAY()))</f>
        <v/>
      </c>
      <c r="X486" s="47" t="n"/>
    </row>
    <row r="487">
      <c r="A487" s="50" t="n"/>
      <c r="B487" s="47" t="n"/>
      <c r="C487" s="47" t="n"/>
      <c r="D487" s="50" t="n"/>
      <c r="E487" s="50" t="n"/>
      <c r="F487" s="48" t="n"/>
      <c r="G487" s="47" t="n"/>
      <c r="H487" s="47" t="n"/>
      <c r="I487" s="47" t="n"/>
      <c r="J487" s="47" t="n"/>
      <c r="K487" s="47" t="n"/>
      <c r="L487" s="47" t="n"/>
      <c r="M487" s="50" t="n"/>
      <c r="N487" s="50" t="n"/>
      <c r="O487" s="50" t="n"/>
      <c r="P487" s="48">
        <f>IF($F487="","",IF($J487="Yes",$F487+1,IF($G487="No",$F487+2,IF(N($I487)&gt;2,$F487+3,IF(N($I487)&gt;0,$F487+5,$F487+7)))))</f>
        <v/>
      </c>
      <c r="Q487" s="48">
        <f>IF($P487="","",IF($J487="Yes",$P487+3,IF($G487="No",$P487+5,IF(N($I487)&gt;0,$P487+7,$P487+14))))</f>
        <v/>
      </c>
      <c r="R487" s="48">
        <f>IF($Q487="","",IF($J487="Yes",$Q487+7,IF($G487="No",$Q487+14,$Q487+30)))</f>
        <v/>
      </c>
      <c r="S487" s="47" t="n"/>
      <c r="T487" s="50" t="n"/>
      <c r="U487" s="47">
        <f>IF($F487="","",MIN(24,MAX(1,ROUNDUP(($F487-DayPlan!$C$2+1)/7,0))))</f>
        <v/>
      </c>
      <c r="V487" s="47">
        <f>IF($A487=""," ",4*($J487="Yes")+3*($G487="No")+2*(N($I487)&gt;0)+1*(AND(ISNUMBER($H487),$H487&gt;45))+3*(AND(ISNUMBER($P487),$P487&lt;=TODAY()))-6*($S487="Yes")+(750-ROW())/100000)</f>
        <v/>
      </c>
      <c r="W487" s="47">
        <f>IF(OR($A487="",NOT(ISNUMBER($P487))),"",INT($P487-TODAY()))</f>
        <v/>
      </c>
      <c r="X487" s="47" t="n"/>
    </row>
    <row r="488">
      <c r="A488" s="50" t="n"/>
      <c r="B488" s="47" t="n"/>
      <c r="C488" s="47" t="n"/>
      <c r="D488" s="50" t="n"/>
      <c r="E488" s="50" t="n"/>
      <c r="F488" s="48" t="n"/>
      <c r="G488" s="47" t="n"/>
      <c r="H488" s="47" t="n"/>
      <c r="I488" s="47" t="n"/>
      <c r="J488" s="47" t="n"/>
      <c r="K488" s="47" t="n"/>
      <c r="L488" s="47" t="n"/>
      <c r="M488" s="50" t="n"/>
      <c r="N488" s="50" t="n"/>
      <c r="O488" s="50" t="n"/>
      <c r="P488" s="48">
        <f>IF($F488="","",IF($J488="Yes",$F488+1,IF($G488="No",$F488+2,IF(N($I488)&gt;2,$F488+3,IF(N($I488)&gt;0,$F488+5,$F488+7)))))</f>
        <v/>
      </c>
      <c r="Q488" s="48">
        <f>IF($P488="","",IF($J488="Yes",$P488+3,IF($G488="No",$P488+5,IF(N($I488)&gt;0,$P488+7,$P488+14))))</f>
        <v/>
      </c>
      <c r="R488" s="48">
        <f>IF($Q488="","",IF($J488="Yes",$Q488+7,IF($G488="No",$Q488+14,$Q488+30)))</f>
        <v/>
      </c>
      <c r="S488" s="47" t="n"/>
      <c r="T488" s="50" t="n"/>
      <c r="U488" s="47">
        <f>IF($F488="","",MIN(24,MAX(1,ROUNDUP(($F488-DayPlan!$C$2+1)/7,0))))</f>
        <v/>
      </c>
      <c r="V488" s="47">
        <f>IF($A488=""," ",4*($J488="Yes")+3*($G488="No")+2*(N($I488)&gt;0)+1*(AND(ISNUMBER($H488),$H488&gt;45))+3*(AND(ISNUMBER($P488),$P488&lt;=TODAY()))-6*($S488="Yes")+(750-ROW())/100000)</f>
        <v/>
      </c>
      <c r="W488" s="47">
        <f>IF(OR($A488="",NOT(ISNUMBER($P488))),"",INT($P488-TODAY()))</f>
        <v/>
      </c>
      <c r="X488" s="47" t="n"/>
    </row>
    <row r="489">
      <c r="A489" s="50" t="n"/>
      <c r="B489" s="47" t="n"/>
      <c r="C489" s="47" t="n"/>
      <c r="D489" s="50" t="n"/>
      <c r="E489" s="50" t="n"/>
      <c r="F489" s="48" t="n"/>
      <c r="G489" s="47" t="n"/>
      <c r="H489" s="47" t="n"/>
      <c r="I489" s="47" t="n"/>
      <c r="J489" s="47" t="n"/>
      <c r="K489" s="47" t="n"/>
      <c r="L489" s="47" t="n"/>
      <c r="M489" s="50" t="n"/>
      <c r="N489" s="50" t="n"/>
      <c r="O489" s="50" t="n"/>
      <c r="P489" s="48">
        <f>IF($F489="","",IF($J489="Yes",$F489+1,IF($G489="No",$F489+2,IF(N($I489)&gt;2,$F489+3,IF(N($I489)&gt;0,$F489+5,$F489+7)))))</f>
        <v/>
      </c>
      <c r="Q489" s="48">
        <f>IF($P489="","",IF($J489="Yes",$P489+3,IF($G489="No",$P489+5,IF(N($I489)&gt;0,$P489+7,$P489+14))))</f>
        <v/>
      </c>
      <c r="R489" s="48">
        <f>IF($Q489="","",IF($J489="Yes",$Q489+7,IF($G489="No",$Q489+14,$Q489+30)))</f>
        <v/>
      </c>
      <c r="S489" s="47" t="n"/>
      <c r="T489" s="50" t="n"/>
      <c r="U489" s="47">
        <f>IF($F489="","",MIN(24,MAX(1,ROUNDUP(($F489-DayPlan!$C$2+1)/7,0))))</f>
        <v/>
      </c>
      <c r="V489" s="47">
        <f>IF($A489=""," ",4*($J489="Yes")+3*($G489="No")+2*(N($I489)&gt;0)+1*(AND(ISNUMBER($H489),$H489&gt;45))+3*(AND(ISNUMBER($P489),$P489&lt;=TODAY()))-6*($S489="Yes")+(750-ROW())/100000)</f>
        <v/>
      </c>
      <c r="W489" s="47">
        <f>IF(OR($A489="",NOT(ISNUMBER($P489))),"",INT($P489-TODAY()))</f>
        <v/>
      </c>
      <c r="X489" s="47" t="n"/>
    </row>
    <row r="490">
      <c r="A490" s="50" t="n"/>
      <c r="B490" s="47" t="n"/>
      <c r="C490" s="47" t="n"/>
      <c r="D490" s="50" t="n"/>
      <c r="E490" s="50" t="n"/>
      <c r="F490" s="48" t="n"/>
      <c r="G490" s="47" t="n"/>
      <c r="H490" s="47" t="n"/>
      <c r="I490" s="47" t="n"/>
      <c r="J490" s="47" t="n"/>
      <c r="K490" s="47" t="n"/>
      <c r="L490" s="47" t="n"/>
      <c r="M490" s="50" t="n"/>
      <c r="N490" s="50" t="n"/>
      <c r="O490" s="50" t="n"/>
      <c r="P490" s="48">
        <f>IF($F490="","",IF($J490="Yes",$F490+1,IF($G490="No",$F490+2,IF(N($I490)&gt;2,$F490+3,IF(N($I490)&gt;0,$F490+5,$F490+7)))))</f>
        <v/>
      </c>
      <c r="Q490" s="48">
        <f>IF($P490="","",IF($J490="Yes",$P490+3,IF($G490="No",$P490+5,IF(N($I490)&gt;0,$P490+7,$P490+14))))</f>
        <v/>
      </c>
      <c r="R490" s="48">
        <f>IF($Q490="","",IF($J490="Yes",$Q490+7,IF($G490="No",$Q490+14,$Q490+30)))</f>
        <v/>
      </c>
      <c r="S490" s="47" t="n"/>
      <c r="T490" s="50" t="n"/>
      <c r="U490" s="47">
        <f>IF($F490="","",MIN(24,MAX(1,ROUNDUP(($F490-DayPlan!$C$2+1)/7,0))))</f>
        <v/>
      </c>
      <c r="V490" s="47">
        <f>IF($A490=""," ",4*($J490="Yes")+3*($G490="No")+2*(N($I490)&gt;0)+1*(AND(ISNUMBER($H490),$H490&gt;45))+3*(AND(ISNUMBER($P490),$P490&lt;=TODAY()))-6*($S490="Yes")+(750-ROW())/100000)</f>
        <v/>
      </c>
      <c r="W490" s="47">
        <f>IF(OR($A490="",NOT(ISNUMBER($P490))),"",INT($P490-TODAY()))</f>
        <v/>
      </c>
      <c r="X490" s="47" t="n"/>
    </row>
    <row r="491">
      <c r="A491" s="50" t="n"/>
      <c r="B491" s="47" t="n"/>
      <c r="C491" s="47" t="n"/>
      <c r="D491" s="50" t="n"/>
      <c r="E491" s="50" t="n"/>
      <c r="F491" s="48" t="n"/>
      <c r="G491" s="47" t="n"/>
      <c r="H491" s="47" t="n"/>
      <c r="I491" s="47" t="n"/>
      <c r="J491" s="47" t="n"/>
      <c r="K491" s="47" t="n"/>
      <c r="L491" s="47" t="n"/>
      <c r="M491" s="50" t="n"/>
      <c r="N491" s="50" t="n"/>
      <c r="O491" s="50" t="n"/>
      <c r="P491" s="48">
        <f>IF($F491="","",IF($J491="Yes",$F491+1,IF($G491="No",$F491+2,IF(N($I491)&gt;2,$F491+3,IF(N($I491)&gt;0,$F491+5,$F491+7)))))</f>
        <v/>
      </c>
      <c r="Q491" s="48">
        <f>IF($P491="","",IF($J491="Yes",$P491+3,IF($G491="No",$P491+5,IF(N($I491)&gt;0,$P491+7,$P491+14))))</f>
        <v/>
      </c>
      <c r="R491" s="48">
        <f>IF($Q491="","",IF($J491="Yes",$Q491+7,IF($G491="No",$Q491+14,$Q491+30)))</f>
        <v/>
      </c>
      <c r="S491" s="47" t="n"/>
      <c r="T491" s="50" t="n"/>
      <c r="U491" s="47">
        <f>IF($F491="","",MIN(24,MAX(1,ROUNDUP(($F491-DayPlan!$C$2+1)/7,0))))</f>
        <v/>
      </c>
      <c r="V491" s="47">
        <f>IF($A491=""," ",4*($J491="Yes")+3*($G491="No")+2*(N($I491)&gt;0)+1*(AND(ISNUMBER($H491),$H491&gt;45))+3*(AND(ISNUMBER($P491),$P491&lt;=TODAY()))-6*($S491="Yes")+(750-ROW())/100000)</f>
        <v/>
      </c>
      <c r="W491" s="47">
        <f>IF(OR($A491="",NOT(ISNUMBER($P491))),"",INT($P491-TODAY()))</f>
        <v/>
      </c>
      <c r="X491" s="47" t="n"/>
    </row>
    <row r="492">
      <c r="A492" s="50" t="n"/>
      <c r="B492" s="47" t="n"/>
      <c r="C492" s="47" t="n"/>
      <c r="D492" s="50" t="n"/>
      <c r="E492" s="50" t="n"/>
      <c r="F492" s="48" t="n"/>
      <c r="G492" s="47" t="n"/>
      <c r="H492" s="47" t="n"/>
      <c r="I492" s="47" t="n"/>
      <c r="J492" s="47" t="n"/>
      <c r="K492" s="47" t="n"/>
      <c r="L492" s="47" t="n"/>
      <c r="M492" s="50" t="n"/>
      <c r="N492" s="50" t="n"/>
      <c r="O492" s="50" t="n"/>
      <c r="P492" s="48">
        <f>IF($F492="","",IF($J492="Yes",$F492+1,IF($G492="No",$F492+2,IF(N($I492)&gt;2,$F492+3,IF(N($I492)&gt;0,$F492+5,$F492+7)))))</f>
        <v/>
      </c>
      <c r="Q492" s="48">
        <f>IF($P492="","",IF($J492="Yes",$P492+3,IF($G492="No",$P492+5,IF(N($I492)&gt;0,$P492+7,$P492+14))))</f>
        <v/>
      </c>
      <c r="R492" s="48">
        <f>IF($Q492="","",IF($J492="Yes",$Q492+7,IF($G492="No",$Q492+14,$Q492+30)))</f>
        <v/>
      </c>
      <c r="S492" s="47" t="n"/>
      <c r="T492" s="50" t="n"/>
      <c r="U492" s="47">
        <f>IF($F492="","",MIN(24,MAX(1,ROUNDUP(($F492-DayPlan!$C$2+1)/7,0))))</f>
        <v/>
      </c>
      <c r="V492" s="47">
        <f>IF($A492=""," ",4*($J492="Yes")+3*($G492="No")+2*(N($I492)&gt;0)+1*(AND(ISNUMBER($H492),$H492&gt;45))+3*(AND(ISNUMBER($P492),$P492&lt;=TODAY()))-6*($S492="Yes")+(750-ROW())/100000)</f>
        <v/>
      </c>
      <c r="W492" s="47">
        <f>IF(OR($A492="",NOT(ISNUMBER($P492))),"",INT($P492-TODAY()))</f>
        <v/>
      </c>
      <c r="X492" s="47" t="n"/>
    </row>
    <row r="493">
      <c r="A493" s="50" t="n"/>
      <c r="B493" s="47" t="n"/>
      <c r="C493" s="47" t="n"/>
      <c r="D493" s="50" t="n"/>
      <c r="E493" s="50" t="n"/>
      <c r="F493" s="48" t="n"/>
      <c r="G493" s="47" t="n"/>
      <c r="H493" s="47" t="n"/>
      <c r="I493" s="47" t="n"/>
      <c r="J493" s="47" t="n"/>
      <c r="K493" s="47" t="n"/>
      <c r="L493" s="47" t="n"/>
      <c r="M493" s="50" t="n"/>
      <c r="N493" s="50" t="n"/>
      <c r="O493" s="50" t="n"/>
      <c r="P493" s="48">
        <f>IF($F493="","",IF($J493="Yes",$F493+1,IF($G493="No",$F493+2,IF(N($I493)&gt;2,$F493+3,IF(N($I493)&gt;0,$F493+5,$F493+7)))))</f>
        <v/>
      </c>
      <c r="Q493" s="48">
        <f>IF($P493="","",IF($J493="Yes",$P493+3,IF($G493="No",$P493+5,IF(N($I493)&gt;0,$P493+7,$P493+14))))</f>
        <v/>
      </c>
      <c r="R493" s="48">
        <f>IF($Q493="","",IF($J493="Yes",$Q493+7,IF($G493="No",$Q493+14,$Q493+30)))</f>
        <v/>
      </c>
      <c r="S493" s="47" t="n"/>
      <c r="T493" s="50" t="n"/>
      <c r="U493" s="47">
        <f>IF($F493="","",MIN(24,MAX(1,ROUNDUP(($F493-DayPlan!$C$2+1)/7,0))))</f>
        <v/>
      </c>
      <c r="V493" s="47">
        <f>IF($A493=""," ",4*($J493="Yes")+3*($G493="No")+2*(N($I493)&gt;0)+1*(AND(ISNUMBER($H493),$H493&gt;45))+3*(AND(ISNUMBER($P493),$P493&lt;=TODAY()))-6*($S493="Yes")+(750-ROW())/100000)</f>
        <v/>
      </c>
      <c r="W493" s="47">
        <f>IF(OR($A493="",NOT(ISNUMBER($P493))),"",INT($P493-TODAY()))</f>
        <v/>
      </c>
      <c r="X493" s="47" t="n"/>
    </row>
    <row r="494">
      <c r="A494" s="50" t="n"/>
      <c r="B494" s="47" t="n"/>
      <c r="C494" s="47" t="n"/>
      <c r="D494" s="50" t="n"/>
      <c r="E494" s="50" t="n"/>
      <c r="F494" s="48" t="n"/>
      <c r="G494" s="47" t="n"/>
      <c r="H494" s="47" t="n"/>
      <c r="I494" s="47" t="n"/>
      <c r="J494" s="47" t="n"/>
      <c r="K494" s="47" t="n"/>
      <c r="L494" s="47" t="n"/>
      <c r="M494" s="50" t="n"/>
      <c r="N494" s="50" t="n"/>
      <c r="O494" s="50" t="n"/>
      <c r="P494" s="48">
        <f>IF($F494="","",IF($J494="Yes",$F494+1,IF($G494="No",$F494+2,IF(N($I494)&gt;2,$F494+3,IF(N($I494)&gt;0,$F494+5,$F494+7)))))</f>
        <v/>
      </c>
      <c r="Q494" s="48">
        <f>IF($P494="","",IF($J494="Yes",$P494+3,IF($G494="No",$P494+5,IF(N($I494)&gt;0,$P494+7,$P494+14))))</f>
        <v/>
      </c>
      <c r="R494" s="48">
        <f>IF($Q494="","",IF($J494="Yes",$Q494+7,IF($G494="No",$Q494+14,$Q494+30)))</f>
        <v/>
      </c>
      <c r="S494" s="47" t="n"/>
      <c r="T494" s="50" t="n"/>
      <c r="U494" s="47">
        <f>IF($F494="","",MIN(24,MAX(1,ROUNDUP(($F494-DayPlan!$C$2+1)/7,0))))</f>
        <v/>
      </c>
      <c r="V494" s="47">
        <f>IF($A494=""," ",4*($J494="Yes")+3*($G494="No")+2*(N($I494)&gt;0)+1*(AND(ISNUMBER($H494),$H494&gt;45))+3*(AND(ISNUMBER($P494),$P494&lt;=TODAY()))-6*($S494="Yes")+(750-ROW())/100000)</f>
        <v/>
      </c>
      <c r="W494" s="47">
        <f>IF(OR($A494="",NOT(ISNUMBER($P494))),"",INT($P494-TODAY()))</f>
        <v/>
      </c>
      <c r="X494" s="47" t="n"/>
    </row>
    <row r="495">
      <c r="A495" s="50" t="n"/>
      <c r="B495" s="47" t="n"/>
      <c r="C495" s="47" t="n"/>
      <c r="D495" s="50" t="n"/>
      <c r="E495" s="50" t="n"/>
      <c r="F495" s="48" t="n"/>
      <c r="G495" s="47" t="n"/>
      <c r="H495" s="47" t="n"/>
      <c r="I495" s="47" t="n"/>
      <c r="J495" s="47" t="n"/>
      <c r="K495" s="47" t="n"/>
      <c r="L495" s="47" t="n"/>
      <c r="M495" s="50" t="n"/>
      <c r="N495" s="50" t="n"/>
      <c r="O495" s="50" t="n"/>
      <c r="P495" s="48">
        <f>IF($F495="","",IF($J495="Yes",$F495+1,IF($G495="No",$F495+2,IF(N($I495)&gt;2,$F495+3,IF(N($I495)&gt;0,$F495+5,$F495+7)))))</f>
        <v/>
      </c>
      <c r="Q495" s="48">
        <f>IF($P495="","",IF($J495="Yes",$P495+3,IF($G495="No",$P495+5,IF(N($I495)&gt;0,$P495+7,$P495+14))))</f>
        <v/>
      </c>
      <c r="R495" s="48">
        <f>IF($Q495="","",IF($J495="Yes",$Q495+7,IF($G495="No",$Q495+14,$Q495+30)))</f>
        <v/>
      </c>
      <c r="S495" s="47" t="n"/>
      <c r="T495" s="50" t="n"/>
      <c r="U495" s="47">
        <f>IF($F495="","",MIN(24,MAX(1,ROUNDUP(($F495-DayPlan!$C$2+1)/7,0))))</f>
        <v/>
      </c>
      <c r="V495" s="47">
        <f>IF($A495=""," ",4*($J495="Yes")+3*($G495="No")+2*(N($I495)&gt;0)+1*(AND(ISNUMBER($H495),$H495&gt;45))+3*(AND(ISNUMBER($P495),$P495&lt;=TODAY()))-6*($S495="Yes")+(750-ROW())/100000)</f>
        <v/>
      </c>
      <c r="W495" s="47">
        <f>IF(OR($A495="",NOT(ISNUMBER($P495))),"",INT($P495-TODAY()))</f>
        <v/>
      </c>
      <c r="X495" s="47" t="n"/>
    </row>
    <row r="496">
      <c r="A496" s="50" t="n"/>
      <c r="B496" s="47" t="n"/>
      <c r="C496" s="47" t="n"/>
      <c r="D496" s="50" t="n"/>
      <c r="E496" s="50" t="n"/>
      <c r="F496" s="48" t="n"/>
      <c r="G496" s="47" t="n"/>
      <c r="H496" s="47" t="n"/>
      <c r="I496" s="47" t="n"/>
      <c r="J496" s="47" t="n"/>
      <c r="K496" s="47" t="n"/>
      <c r="L496" s="47" t="n"/>
      <c r="M496" s="50" t="n"/>
      <c r="N496" s="50" t="n"/>
      <c r="O496" s="50" t="n"/>
      <c r="P496" s="48">
        <f>IF($F496="","",IF($J496="Yes",$F496+1,IF($G496="No",$F496+2,IF(N($I496)&gt;2,$F496+3,IF(N($I496)&gt;0,$F496+5,$F496+7)))))</f>
        <v/>
      </c>
      <c r="Q496" s="48">
        <f>IF($P496="","",IF($J496="Yes",$P496+3,IF($G496="No",$P496+5,IF(N($I496)&gt;0,$P496+7,$P496+14))))</f>
        <v/>
      </c>
      <c r="R496" s="48">
        <f>IF($Q496="","",IF($J496="Yes",$Q496+7,IF($G496="No",$Q496+14,$Q496+30)))</f>
        <v/>
      </c>
      <c r="S496" s="47" t="n"/>
      <c r="T496" s="50" t="n"/>
      <c r="U496" s="47">
        <f>IF($F496="","",MIN(24,MAX(1,ROUNDUP(($F496-DayPlan!$C$2+1)/7,0))))</f>
        <v/>
      </c>
      <c r="V496" s="47">
        <f>IF($A496=""," ",4*($J496="Yes")+3*($G496="No")+2*(N($I496)&gt;0)+1*(AND(ISNUMBER($H496),$H496&gt;45))+3*(AND(ISNUMBER($P496),$P496&lt;=TODAY()))-6*($S496="Yes")+(750-ROW())/100000)</f>
        <v/>
      </c>
      <c r="W496" s="47">
        <f>IF(OR($A496="",NOT(ISNUMBER($P496))),"",INT($P496-TODAY()))</f>
        <v/>
      </c>
      <c r="X496" s="47" t="n"/>
    </row>
    <row r="497">
      <c r="A497" s="50" t="n"/>
      <c r="B497" s="47" t="n"/>
      <c r="C497" s="47" t="n"/>
      <c r="D497" s="50" t="n"/>
      <c r="E497" s="50" t="n"/>
      <c r="F497" s="48" t="n"/>
      <c r="G497" s="47" t="n"/>
      <c r="H497" s="47" t="n"/>
      <c r="I497" s="47" t="n"/>
      <c r="J497" s="47" t="n"/>
      <c r="K497" s="47" t="n"/>
      <c r="L497" s="47" t="n"/>
      <c r="M497" s="50" t="n"/>
      <c r="N497" s="50" t="n"/>
      <c r="O497" s="50" t="n"/>
      <c r="P497" s="48">
        <f>IF($F497="","",IF($J497="Yes",$F497+1,IF($G497="No",$F497+2,IF(N($I497)&gt;2,$F497+3,IF(N($I497)&gt;0,$F497+5,$F497+7)))))</f>
        <v/>
      </c>
      <c r="Q497" s="48">
        <f>IF($P497="","",IF($J497="Yes",$P497+3,IF($G497="No",$P497+5,IF(N($I497)&gt;0,$P497+7,$P497+14))))</f>
        <v/>
      </c>
      <c r="R497" s="48">
        <f>IF($Q497="","",IF($J497="Yes",$Q497+7,IF($G497="No",$Q497+14,$Q497+30)))</f>
        <v/>
      </c>
      <c r="S497" s="47" t="n"/>
      <c r="T497" s="50" t="n"/>
      <c r="U497" s="47">
        <f>IF($F497="","",MIN(24,MAX(1,ROUNDUP(($F497-DayPlan!$C$2+1)/7,0))))</f>
        <v/>
      </c>
      <c r="V497" s="47">
        <f>IF($A497=""," ",4*($J497="Yes")+3*($G497="No")+2*(N($I497)&gt;0)+1*(AND(ISNUMBER($H497),$H497&gt;45))+3*(AND(ISNUMBER($P497),$P497&lt;=TODAY()))-6*($S497="Yes")+(750-ROW())/100000)</f>
        <v/>
      </c>
      <c r="W497" s="47">
        <f>IF(OR($A497="",NOT(ISNUMBER($P497))),"",INT($P497-TODAY()))</f>
        <v/>
      </c>
      <c r="X497" s="47" t="n"/>
    </row>
    <row r="498">
      <c r="A498" s="50" t="n"/>
      <c r="B498" s="47" t="n"/>
      <c r="C498" s="47" t="n"/>
      <c r="D498" s="50" t="n"/>
      <c r="E498" s="50" t="n"/>
      <c r="F498" s="48" t="n"/>
      <c r="G498" s="47" t="n"/>
      <c r="H498" s="47" t="n"/>
      <c r="I498" s="47" t="n"/>
      <c r="J498" s="47" t="n"/>
      <c r="K498" s="47" t="n"/>
      <c r="L498" s="47" t="n"/>
      <c r="M498" s="50" t="n"/>
      <c r="N498" s="50" t="n"/>
      <c r="O498" s="50" t="n"/>
      <c r="P498" s="48">
        <f>IF($F498="","",IF($J498="Yes",$F498+1,IF($G498="No",$F498+2,IF(N($I498)&gt;2,$F498+3,IF(N($I498)&gt;0,$F498+5,$F498+7)))))</f>
        <v/>
      </c>
      <c r="Q498" s="48">
        <f>IF($P498="","",IF($J498="Yes",$P498+3,IF($G498="No",$P498+5,IF(N($I498)&gt;0,$P498+7,$P498+14))))</f>
        <v/>
      </c>
      <c r="R498" s="48">
        <f>IF($Q498="","",IF($J498="Yes",$Q498+7,IF($G498="No",$Q498+14,$Q498+30)))</f>
        <v/>
      </c>
      <c r="S498" s="47" t="n"/>
      <c r="T498" s="50" t="n"/>
      <c r="U498" s="47">
        <f>IF($F498="","",MIN(24,MAX(1,ROUNDUP(($F498-DayPlan!$C$2+1)/7,0))))</f>
        <v/>
      </c>
      <c r="V498" s="47">
        <f>IF($A498=""," ",4*($J498="Yes")+3*($G498="No")+2*(N($I498)&gt;0)+1*(AND(ISNUMBER($H498),$H498&gt;45))+3*(AND(ISNUMBER($P498),$P498&lt;=TODAY()))-6*($S498="Yes")+(750-ROW())/100000)</f>
        <v/>
      </c>
      <c r="W498" s="47">
        <f>IF(OR($A498="",NOT(ISNUMBER($P498))),"",INT($P498-TODAY()))</f>
        <v/>
      </c>
      <c r="X498" s="47" t="n"/>
    </row>
    <row r="499">
      <c r="A499" s="50" t="n"/>
      <c r="B499" s="47" t="n"/>
      <c r="C499" s="47" t="n"/>
      <c r="D499" s="50" t="n"/>
      <c r="E499" s="50" t="n"/>
      <c r="F499" s="48" t="n"/>
      <c r="G499" s="47" t="n"/>
      <c r="H499" s="47" t="n"/>
      <c r="I499" s="47" t="n"/>
      <c r="J499" s="47" t="n"/>
      <c r="K499" s="47" t="n"/>
      <c r="L499" s="47" t="n"/>
      <c r="M499" s="50" t="n"/>
      <c r="N499" s="50" t="n"/>
      <c r="O499" s="50" t="n"/>
      <c r="P499" s="48">
        <f>IF($F499="","",IF($J499="Yes",$F499+1,IF($G499="No",$F499+2,IF(N($I499)&gt;2,$F499+3,IF(N($I499)&gt;0,$F499+5,$F499+7)))))</f>
        <v/>
      </c>
      <c r="Q499" s="48">
        <f>IF($P499="","",IF($J499="Yes",$P499+3,IF($G499="No",$P499+5,IF(N($I499)&gt;0,$P499+7,$P499+14))))</f>
        <v/>
      </c>
      <c r="R499" s="48">
        <f>IF($Q499="","",IF($J499="Yes",$Q499+7,IF($G499="No",$Q499+14,$Q499+30)))</f>
        <v/>
      </c>
      <c r="S499" s="47" t="n"/>
      <c r="T499" s="50" t="n"/>
      <c r="U499" s="47">
        <f>IF($F499="","",MIN(24,MAX(1,ROUNDUP(($F499-DayPlan!$C$2+1)/7,0))))</f>
        <v/>
      </c>
      <c r="V499" s="47">
        <f>IF($A499=""," ",4*($J499="Yes")+3*($G499="No")+2*(N($I499)&gt;0)+1*(AND(ISNUMBER($H499),$H499&gt;45))+3*(AND(ISNUMBER($P499),$P499&lt;=TODAY()))-6*($S499="Yes")+(750-ROW())/100000)</f>
        <v/>
      </c>
      <c r="W499" s="47">
        <f>IF(OR($A499="",NOT(ISNUMBER($P499))),"",INT($P499-TODAY()))</f>
        <v/>
      </c>
      <c r="X499" s="47" t="n"/>
    </row>
    <row r="500">
      <c r="A500" s="50" t="n"/>
      <c r="B500" s="47" t="n"/>
      <c r="C500" s="47" t="n"/>
      <c r="D500" s="50" t="n"/>
      <c r="E500" s="50" t="n"/>
      <c r="F500" s="48" t="n"/>
      <c r="G500" s="47" t="n"/>
      <c r="H500" s="47" t="n"/>
      <c r="I500" s="47" t="n"/>
      <c r="J500" s="47" t="n"/>
      <c r="K500" s="47" t="n"/>
      <c r="L500" s="47" t="n"/>
      <c r="M500" s="50" t="n"/>
      <c r="N500" s="50" t="n"/>
      <c r="O500" s="50" t="n"/>
      <c r="P500" s="48">
        <f>IF($F500="","",IF($J500="Yes",$F500+1,IF($G500="No",$F500+2,IF(N($I500)&gt;2,$F500+3,IF(N($I500)&gt;0,$F500+5,$F500+7)))))</f>
        <v/>
      </c>
      <c r="Q500" s="48">
        <f>IF($P500="","",IF($J500="Yes",$P500+3,IF($G500="No",$P500+5,IF(N($I500)&gt;0,$P500+7,$P500+14))))</f>
        <v/>
      </c>
      <c r="R500" s="48">
        <f>IF($Q500="","",IF($J500="Yes",$Q500+7,IF($G500="No",$Q500+14,$Q500+30)))</f>
        <v/>
      </c>
      <c r="S500" s="47" t="n"/>
      <c r="T500" s="50" t="n"/>
      <c r="U500" s="47">
        <f>IF($F500="","",MIN(24,MAX(1,ROUNDUP(($F500-DayPlan!$C$2+1)/7,0))))</f>
        <v/>
      </c>
      <c r="V500" s="47">
        <f>IF($A500=""," ",4*($J500="Yes")+3*($G500="No")+2*(N($I500)&gt;0)+1*(AND(ISNUMBER($H500),$H500&gt;45))+3*(AND(ISNUMBER($P500),$P500&lt;=TODAY()))-6*($S500="Yes")+(750-ROW())/100000)</f>
        <v/>
      </c>
      <c r="W500" s="47">
        <f>IF(OR($A500="",NOT(ISNUMBER($P500))),"",INT($P500-TODAY()))</f>
        <v/>
      </c>
      <c r="X500" s="47" t="n"/>
    </row>
    <row r="501">
      <c r="A501" s="50" t="n"/>
      <c r="B501" s="47" t="n"/>
      <c r="C501" s="47" t="n"/>
      <c r="D501" s="50" t="n"/>
      <c r="E501" s="50" t="n"/>
      <c r="F501" s="48" t="n"/>
      <c r="G501" s="47" t="n"/>
      <c r="H501" s="47" t="n"/>
      <c r="I501" s="47" t="n"/>
      <c r="J501" s="47" t="n"/>
      <c r="K501" s="47" t="n"/>
      <c r="L501" s="47" t="n"/>
      <c r="M501" s="50" t="n"/>
      <c r="N501" s="50" t="n"/>
      <c r="O501" s="50" t="n"/>
      <c r="P501" s="48">
        <f>IF($F501="","",IF($J501="Yes",$F501+1,IF($G501="No",$F501+2,IF(N($I501)&gt;2,$F501+3,IF(N($I501)&gt;0,$F501+5,$F501+7)))))</f>
        <v/>
      </c>
      <c r="Q501" s="48">
        <f>IF($P501="","",IF($J501="Yes",$P501+3,IF($G501="No",$P501+5,IF(N($I501)&gt;0,$P501+7,$P501+14))))</f>
        <v/>
      </c>
      <c r="R501" s="48">
        <f>IF($Q501="","",IF($J501="Yes",$Q501+7,IF($G501="No",$Q501+14,$Q501+30)))</f>
        <v/>
      </c>
      <c r="S501" s="47" t="n"/>
      <c r="T501" s="50" t="n"/>
      <c r="U501" s="47">
        <f>IF($F501="","",MIN(24,MAX(1,ROUNDUP(($F501-DayPlan!$C$2+1)/7,0))))</f>
        <v/>
      </c>
      <c r="V501" s="47">
        <f>IF($A501=""," ",4*($J501="Yes")+3*($G501="No")+2*(N($I501)&gt;0)+1*(AND(ISNUMBER($H501),$H501&gt;45))+3*(AND(ISNUMBER($P501),$P501&lt;=TODAY()))-6*($S501="Yes")+(750-ROW())/100000)</f>
        <v/>
      </c>
      <c r="W501" s="47">
        <f>IF(OR($A501="",NOT(ISNUMBER($P501))),"",INT($P501-TODAY()))</f>
        <v/>
      </c>
      <c r="X501" s="47" t="n"/>
    </row>
    <row r="502">
      <c r="A502" s="50" t="n"/>
      <c r="B502" s="47" t="n"/>
      <c r="C502" s="47" t="n"/>
      <c r="D502" s="50" t="n"/>
      <c r="E502" s="50" t="n"/>
      <c r="F502" s="48" t="n"/>
      <c r="G502" s="47" t="n"/>
      <c r="H502" s="47" t="n"/>
      <c r="I502" s="47" t="n"/>
      <c r="J502" s="47" t="n"/>
      <c r="K502" s="47" t="n"/>
      <c r="L502" s="47" t="n"/>
      <c r="M502" s="50" t="n"/>
      <c r="N502" s="50" t="n"/>
      <c r="O502" s="50" t="n"/>
      <c r="P502" s="48">
        <f>IF($F502="","",IF($J502="Yes",$F502+1,IF($G502="No",$F502+2,IF(N($I502)&gt;2,$F502+3,IF(N($I502)&gt;0,$F502+5,$F502+7)))))</f>
        <v/>
      </c>
      <c r="Q502" s="48">
        <f>IF($P502="","",IF($J502="Yes",$P502+3,IF($G502="No",$P502+5,IF(N($I502)&gt;0,$P502+7,$P502+14))))</f>
        <v/>
      </c>
      <c r="R502" s="48">
        <f>IF($Q502="","",IF($J502="Yes",$Q502+7,IF($G502="No",$Q502+14,$Q502+30)))</f>
        <v/>
      </c>
      <c r="S502" s="47" t="n"/>
      <c r="T502" s="50" t="n"/>
      <c r="U502" s="47">
        <f>IF($F502="","",MIN(24,MAX(1,ROUNDUP(($F502-DayPlan!$C$2+1)/7,0))))</f>
        <v/>
      </c>
      <c r="V502" s="47">
        <f>IF($A502=""," ",4*($J502="Yes")+3*($G502="No")+2*(N($I502)&gt;0)+1*(AND(ISNUMBER($H502),$H502&gt;45))+3*(AND(ISNUMBER($P502),$P502&lt;=TODAY()))-6*($S502="Yes")+(750-ROW())/100000)</f>
        <v/>
      </c>
      <c r="W502" s="47">
        <f>IF(OR($A502="",NOT(ISNUMBER($P502))),"",INT($P502-TODAY()))</f>
        <v/>
      </c>
      <c r="X502" s="47" t="n"/>
    </row>
    <row r="503">
      <c r="A503" s="50" t="n"/>
      <c r="B503" s="47" t="n"/>
      <c r="C503" s="47" t="n"/>
      <c r="D503" s="50" t="n"/>
      <c r="E503" s="50" t="n"/>
      <c r="F503" s="48" t="n"/>
      <c r="G503" s="47" t="n"/>
      <c r="H503" s="47" t="n"/>
      <c r="I503" s="47" t="n"/>
      <c r="J503" s="47" t="n"/>
      <c r="K503" s="47" t="n"/>
      <c r="L503" s="47" t="n"/>
      <c r="M503" s="50" t="n"/>
      <c r="N503" s="50" t="n"/>
      <c r="O503" s="50" t="n"/>
      <c r="P503" s="48">
        <f>IF($F503="","",IF($J503="Yes",$F503+1,IF($G503="No",$F503+2,IF(N($I503)&gt;2,$F503+3,IF(N($I503)&gt;0,$F503+5,$F503+7)))))</f>
        <v/>
      </c>
      <c r="Q503" s="48">
        <f>IF($P503="","",IF($J503="Yes",$P503+3,IF($G503="No",$P503+5,IF(N($I503)&gt;0,$P503+7,$P503+14))))</f>
        <v/>
      </c>
      <c r="R503" s="48">
        <f>IF($Q503="","",IF($J503="Yes",$Q503+7,IF($G503="No",$Q503+14,$Q503+30)))</f>
        <v/>
      </c>
      <c r="S503" s="47" t="n"/>
      <c r="T503" s="50" t="n"/>
      <c r="U503" s="47">
        <f>IF($F503="","",MIN(24,MAX(1,ROUNDUP(($F503-DayPlan!$C$2+1)/7,0))))</f>
        <v/>
      </c>
      <c r="V503" s="47">
        <f>IF($A503=""," ",4*($J503="Yes")+3*($G503="No")+2*(N($I503)&gt;0)+1*(AND(ISNUMBER($H503),$H503&gt;45))+3*(AND(ISNUMBER($P503),$P503&lt;=TODAY()))-6*($S503="Yes")+(750-ROW())/100000)</f>
        <v/>
      </c>
      <c r="W503" s="47">
        <f>IF(OR($A503="",NOT(ISNUMBER($P503))),"",INT($P503-TODAY()))</f>
        <v/>
      </c>
      <c r="X503" s="47" t="n"/>
    </row>
    <row r="504">
      <c r="A504" s="50" t="n"/>
      <c r="B504" s="47" t="n"/>
      <c r="C504" s="47" t="n"/>
      <c r="D504" s="50" t="n"/>
      <c r="E504" s="50" t="n"/>
      <c r="F504" s="48" t="n"/>
      <c r="G504" s="47" t="n"/>
      <c r="H504" s="47" t="n"/>
      <c r="I504" s="47" t="n"/>
      <c r="J504" s="47" t="n"/>
      <c r="K504" s="47" t="n"/>
      <c r="L504" s="47" t="n"/>
      <c r="M504" s="50" t="n"/>
      <c r="N504" s="50" t="n"/>
      <c r="O504" s="50" t="n"/>
      <c r="P504" s="48">
        <f>IF($F504="","",IF($J504="Yes",$F504+1,IF($G504="No",$F504+2,IF(N($I504)&gt;2,$F504+3,IF(N($I504)&gt;0,$F504+5,$F504+7)))))</f>
        <v/>
      </c>
      <c r="Q504" s="48">
        <f>IF($P504="","",IF($J504="Yes",$P504+3,IF($G504="No",$P504+5,IF(N($I504)&gt;0,$P504+7,$P504+14))))</f>
        <v/>
      </c>
      <c r="R504" s="48">
        <f>IF($Q504="","",IF($J504="Yes",$Q504+7,IF($G504="No",$Q504+14,$Q504+30)))</f>
        <v/>
      </c>
      <c r="S504" s="47" t="n"/>
      <c r="T504" s="50" t="n"/>
      <c r="U504" s="47">
        <f>IF($F504="","",MIN(24,MAX(1,ROUNDUP(($F504-DayPlan!$C$2+1)/7,0))))</f>
        <v/>
      </c>
      <c r="V504" s="47">
        <f>IF($A504=""," ",4*($J504="Yes")+3*($G504="No")+2*(N($I504)&gt;0)+1*(AND(ISNUMBER($H504),$H504&gt;45))+3*(AND(ISNUMBER($P504),$P504&lt;=TODAY()))-6*($S504="Yes")+(750-ROW())/100000)</f>
        <v/>
      </c>
      <c r="W504" s="47">
        <f>IF(OR($A504="",NOT(ISNUMBER($P504))),"",INT($P504-TODAY()))</f>
        <v/>
      </c>
      <c r="X504" s="47" t="n"/>
    </row>
    <row r="505">
      <c r="A505" s="50" t="n"/>
      <c r="B505" s="47" t="n"/>
      <c r="C505" s="47" t="n"/>
      <c r="D505" s="50" t="n"/>
      <c r="E505" s="50" t="n"/>
      <c r="F505" s="48" t="n"/>
      <c r="G505" s="47" t="n"/>
      <c r="H505" s="47" t="n"/>
      <c r="I505" s="47" t="n"/>
      <c r="J505" s="47" t="n"/>
      <c r="K505" s="47" t="n"/>
      <c r="L505" s="47" t="n"/>
      <c r="M505" s="50" t="n"/>
      <c r="N505" s="50" t="n"/>
      <c r="O505" s="50" t="n"/>
      <c r="P505" s="48">
        <f>IF($F505="","",IF($J505="Yes",$F505+1,IF($G505="No",$F505+2,IF(N($I505)&gt;2,$F505+3,IF(N($I505)&gt;0,$F505+5,$F505+7)))))</f>
        <v/>
      </c>
      <c r="Q505" s="48">
        <f>IF($P505="","",IF($J505="Yes",$P505+3,IF($G505="No",$P505+5,IF(N($I505)&gt;0,$P505+7,$P505+14))))</f>
        <v/>
      </c>
      <c r="R505" s="48">
        <f>IF($Q505="","",IF($J505="Yes",$Q505+7,IF($G505="No",$Q505+14,$Q505+30)))</f>
        <v/>
      </c>
      <c r="S505" s="47" t="n"/>
      <c r="T505" s="50" t="n"/>
      <c r="U505" s="47">
        <f>IF($F505="","",MIN(24,MAX(1,ROUNDUP(($F505-DayPlan!$C$2+1)/7,0))))</f>
        <v/>
      </c>
      <c r="V505" s="47">
        <f>IF($A505=""," ",4*($J505="Yes")+3*($G505="No")+2*(N($I505)&gt;0)+1*(AND(ISNUMBER($H505),$H505&gt;45))+3*(AND(ISNUMBER($P505),$P505&lt;=TODAY()))-6*($S505="Yes")+(750-ROW())/100000)</f>
        <v/>
      </c>
      <c r="W505" s="47">
        <f>IF(OR($A505="",NOT(ISNUMBER($P505))),"",INT($P505-TODAY()))</f>
        <v/>
      </c>
      <c r="X505" s="47" t="n"/>
    </row>
    <row r="506">
      <c r="A506" s="50" t="n"/>
      <c r="B506" s="47" t="n"/>
      <c r="C506" s="47" t="n"/>
      <c r="D506" s="50" t="n"/>
      <c r="E506" s="50" t="n"/>
      <c r="F506" s="48" t="n"/>
      <c r="G506" s="47" t="n"/>
      <c r="H506" s="47" t="n"/>
      <c r="I506" s="47" t="n"/>
      <c r="J506" s="47" t="n"/>
      <c r="K506" s="47" t="n"/>
      <c r="L506" s="47" t="n"/>
      <c r="M506" s="50" t="n"/>
      <c r="N506" s="50" t="n"/>
      <c r="O506" s="50" t="n"/>
      <c r="P506" s="48">
        <f>IF($F506="","",IF($J506="Yes",$F506+1,IF($G506="No",$F506+2,IF(N($I506)&gt;2,$F506+3,IF(N($I506)&gt;0,$F506+5,$F506+7)))))</f>
        <v/>
      </c>
      <c r="Q506" s="48">
        <f>IF($P506="","",IF($J506="Yes",$P506+3,IF($G506="No",$P506+5,IF(N($I506)&gt;0,$P506+7,$P506+14))))</f>
        <v/>
      </c>
      <c r="R506" s="48">
        <f>IF($Q506="","",IF($J506="Yes",$Q506+7,IF($G506="No",$Q506+14,$Q506+30)))</f>
        <v/>
      </c>
      <c r="S506" s="47" t="n"/>
      <c r="T506" s="50" t="n"/>
      <c r="U506" s="47">
        <f>IF($F506="","",MIN(24,MAX(1,ROUNDUP(($F506-DayPlan!$C$2+1)/7,0))))</f>
        <v/>
      </c>
      <c r="V506" s="47">
        <f>IF($A506=""," ",4*($J506="Yes")+3*($G506="No")+2*(N($I506)&gt;0)+1*(AND(ISNUMBER($H506),$H506&gt;45))+3*(AND(ISNUMBER($P506),$P506&lt;=TODAY()))-6*($S506="Yes")+(750-ROW())/100000)</f>
        <v/>
      </c>
      <c r="W506" s="47">
        <f>IF(OR($A506="",NOT(ISNUMBER($P506))),"",INT($P506-TODAY()))</f>
        <v/>
      </c>
      <c r="X506" s="47" t="n"/>
    </row>
    <row r="507">
      <c r="A507" s="50" t="n"/>
      <c r="B507" s="47" t="n"/>
      <c r="C507" s="47" t="n"/>
      <c r="D507" s="50" t="n"/>
      <c r="E507" s="50" t="n"/>
      <c r="F507" s="48" t="n"/>
      <c r="G507" s="47" t="n"/>
      <c r="H507" s="47" t="n"/>
      <c r="I507" s="47" t="n"/>
      <c r="J507" s="47" t="n"/>
      <c r="K507" s="47" t="n"/>
      <c r="L507" s="47" t="n"/>
      <c r="M507" s="50" t="n"/>
      <c r="N507" s="50" t="n"/>
      <c r="O507" s="50" t="n"/>
      <c r="P507" s="48">
        <f>IF($F507="","",IF($J507="Yes",$F507+1,IF($G507="No",$F507+2,IF(N($I507)&gt;2,$F507+3,IF(N($I507)&gt;0,$F507+5,$F507+7)))))</f>
        <v/>
      </c>
      <c r="Q507" s="48">
        <f>IF($P507="","",IF($J507="Yes",$P507+3,IF($G507="No",$P507+5,IF(N($I507)&gt;0,$P507+7,$P507+14))))</f>
        <v/>
      </c>
      <c r="R507" s="48">
        <f>IF($Q507="","",IF($J507="Yes",$Q507+7,IF($G507="No",$Q507+14,$Q507+30)))</f>
        <v/>
      </c>
      <c r="S507" s="47" t="n"/>
      <c r="T507" s="50" t="n"/>
      <c r="U507" s="47">
        <f>IF($F507="","",MIN(24,MAX(1,ROUNDUP(($F507-DayPlan!$C$2+1)/7,0))))</f>
        <v/>
      </c>
      <c r="V507" s="47">
        <f>IF($A507=""," ",4*($J507="Yes")+3*($G507="No")+2*(N($I507)&gt;0)+1*(AND(ISNUMBER($H507),$H507&gt;45))+3*(AND(ISNUMBER($P507),$P507&lt;=TODAY()))-6*($S507="Yes")+(750-ROW())/100000)</f>
        <v/>
      </c>
      <c r="W507" s="47">
        <f>IF(OR($A507="",NOT(ISNUMBER($P507))),"",INT($P507-TODAY()))</f>
        <v/>
      </c>
      <c r="X507" s="47" t="n"/>
    </row>
    <row r="508">
      <c r="A508" s="50" t="n"/>
      <c r="B508" s="47" t="n"/>
      <c r="C508" s="47" t="n"/>
      <c r="D508" s="50" t="n"/>
      <c r="E508" s="50" t="n"/>
      <c r="F508" s="48" t="n"/>
      <c r="G508" s="47" t="n"/>
      <c r="H508" s="47" t="n"/>
      <c r="I508" s="47" t="n"/>
      <c r="J508" s="47" t="n"/>
      <c r="K508" s="47" t="n"/>
      <c r="L508" s="47" t="n"/>
      <c r="M508" s="50" t="n"/>
      <c r="N508" s="50" t="n"/>
      <c r="O508" s="50" t="n"/>
      <c r="P508" s="48">
        <f>IF($F508="","",IF($J508="Yes",$F508+1,IF($G508="No",$F508+2,IF(N($I508)&gt;2,$F508+3,IF(N($I508)&gt;0,$F508+5,$F508+7)))))</f>
        <v/>
      </c>
      <c r="Q508" s="48">
        <f>IF($P508="","",IF($J508="Yes",$P508+3,IF($G508="No",$P508+5,IF(N($I508)&gt;0,$P508+7,$P508+14))))</f>
        <v/>
      </c>
      <c r="R508" s="48">
        <f>IF($Q508="","",IF($J508="Yes",$Q508+7,IF($G508="No",$Q508+14,$Q508+30)))</f>
        <v/>
      </c>
      <c r="S508" s="47" t="n"/>
      <c r="T508" s="50" t="n"/>
      <c r="U508" s="47">
        <f>IF($F508="","",MIN(24,MAX(1,ROUNDUP(($F508-DayPlan!$C$2+1)/7,0))))</f>
        <v/>
      </c>
      <c r="V508" s="47">
        <f>IF($A508=""," ",4*($J508="Yes")+3*($G508="No")+2*(N($I508)&gt;0)+1*(AND(ISNUMBER($H508),$H508&gt;45))+3*(AND(ISNUMBER($P508),$P508&lt;=TODAY()))-6*($S508="Yes")+(750-ROW())/100000)</f>
        <v/>
      </c>
      <c r="W508" s="47">
        <f>IF(OR($A508="",NOT(ISNUMBER($P508))),"",INT($P508-TODAY()))</f>
        <v/>
      </c>
      <c r="X508" s="47" t="n"/>
    </row>
    <row r="509">
      <c r="A509" s="50" t="n"/>
      <c r="B509" s="47" t="n"/>
      <c r="C509" s="47" t="n"/>
      <c r="D509" s="50" t="n"/>
      <c r="E509" s="50" t="n"/>
      <c r="F509" s="48" t="n"/>
      <c r="G509" s="47" t="n"/>
      <c r="H509" s="47" t="n"/>
      <c r="I509" s="47" t="n"/>
      <c r="J509" s="47" t="n"/>
      <c r="K509" s="47" t="n"/>
      <c r="L509" s="47" t="n"/>
      <c r="M509" s="50" t="n"/>
      <c r="N509" s="50" t="n"/>
      <c r="O509" s="50" t="n"/>
      <c r="P509" s="48">
        <f>IF($F509="","",IF($J509="Yes",$F509+1,IF($G509="No",$F509+2,IF(N($I509)&gt;2,$F509+3,IF(N($I509)&gt;0,$F509+5,$F509+7)))))</f>
        <v/>
      </c>
      <c r="Q509" s="48">
        <f>IF($P509="","",IF($J509="Yes",$P509+3,IF($G509="No",$P509+5,IF(N($I509)&gt;0,$P509+7,$P509+14))))</f>
        <v/>
      </c>
      <c r="R509" s="48">
        <f>IF($Q509="","",IF($J509="Yes",$Q509+7,IF($G509="No",$Q509+14,$Q509+30)))</f>
        <v/>
      </c>
      <c r="S509" s="47" t="n"/>
      <c r="T509" s="50" t="n"/>
      <c r="U509" s="47">
        <f>IF($F509="","",MIN(24,MAX(1,ROUNDUP(($F509-DayPlan!$C$2+1)/7,0))))</f>
        <v/>
      </c>
      <c r="V509" s="47">
        <f>IF($A509=""," ",4*($J509="Yes")+3*($G509="No")+2*(N($I509)&gt;0)+1*(AND(ISNUMBER($H509),$H509&gt;45))+3*(AND(ISNUMBER($P509),$P509&lt;=TODAY()))-6*($S509="Yes")+(750-ROW())/100000)</f>
        <v/>
      </c>
      <c r="W509" s="47">
        <f>IF(OR($A509="",NOT(ISNUMBER($P509))),"",INT($P509-TODAY()))</f>
        <v/>
      </c>
      <c r="X509" s="47" t="n"/>
    </row>
    <row r="510">
      <c r="A510" s="50" t="n"/>
      <c r="B510" s="47" t="n"/>
      <c r="C510" s="47" t="n"/>
      <c r="D510" s="50" t="n"/>
      <c r="E510" s="50" t="n"/>
      <c r="F510" s="48" t="n"/>
      <c r="G510" s="47" t="n"/>
      <c r="H510" s="47" t="n"/>
      <c r="I510" s="47" t="n"/>
      <c r="J510" s="47" t="n"/>
      <c r="K510" s="47" t="n"/>
      <c r="L510" s="47" t="n"/>
      <c r="M510" s="50" t="n"/>
      <c r="N510" s="50" t="n"/>
      <c r="O510" s="50" t="n"/>
      <c r="P510" s="48">
        <f>IF($F510="","",IF($J510="Yes",$F510+1,IF($G510="No",$F510+2,IF(N($I510)&gt;2,$F510+3,IF(N($I510)&gt;0,$F510+5,$F510+7)))))</f>
        <v/>
      </c>
      <c r="Q510" s="48">
        <f>IF($P510="","",IF($J510="Yes",$P510+3,IF($G510="No",$P510+5,IF(N($I510)&gt;0,$P510+7,$P510+14))))</f>
        <v/>
      </c>
      <c r="R510" s="48">
        <f>IF($Q510="","",IF($J510="Yes",$Q510+7,IF($G510="No",$Q510+14,$Q510+30)))</f>
        <v/>
      </c>
      <c r="S510" s="47" t="n"/>
      <c r="T510" s="50" t="n"/>
      <c r="U510" s="47">
        <f>IF($F510="","",MIN(24,MAX(1,ROUNDUP(($F510-DayPlan!$C$2+1)/7,0))))</f>
        <v/>
      </c>
      <c r="V510" s="47">
        <f>IF($A510=""," ",4*($J510="Yes")+3*($G510="No")+2*(N($I510)&gt;0)+1*(AND(ISNUMBER($H510),$H510&gt;45))+3*(AND(ISNUMBER($P510),$P510&lt;=TODAY()))-6*($S510="Yes")+(750-ROW())/100000)</f>
        <v/>
      </c>
      <c r="W510" s="47">
        <f>IF(OR($A510="",NOT(ISNUMBER($P510))),"",INT($P510-TODAY()))</f>
        <v/>
      </c>
      <c r="X510" s="47" t="n"/>
    </row>
    <row r="511">
      <c r="A511" s="50" t="n"/>
      <c r="B511" s="47" t="n"/>
      <c r="C511" s="47" t="n"/>
      <c r="D511" s="50" t="n"/>
      <c r="E511" s="50" t="n"/>
      <c r="F511" s="48" t="n"/>
      <c r="G511" s="47" t="n"/>
      <c r="H511" s="47" t="n"/>
      <c r="I511" s="47" t="n"/>
      <c r="J511" s="47" t="n"/>
      <c r="K511" s="47" t="n"/>
      <c r="L511" s="47" t="n"/>
      <c r="M511" s="50" t="n"/>
      <c r="N511" s="50" t="n"/>
      <c r="O511" s="50" t="n"/>
      <c r="P511" s="48">
        <f>IF($F511="","",IF($J511="Yes",$F511+1,IF($G511="No",$F511+2,IF(N($I511)&gt;2,$F511+3,IF(N($I511)&gt;0,$F511+5,$F511+7)))))</f>
        <v/>
      </c>
      <c r="Q511" s="48">
        <f>IF($P511="","",IF($J511="Yes",$P511+3,IF($G511="No",$P511+5,IF(N($I511)&gt;0,$P511+7,$P511+14))))</f>
        <v/>
      </c>
      <c r="R511" s="48">
        <f>IF($Q511="","",IF($J511="Yes",$Q511+7,IF($G511="No",$Q511+14,$Q511+30)))</f>
        <v/>
      </c>
      <c r="S511" s="47" t="n"/>
      <c r="T511" s="50" t="n"/>
      <c r="U511" s="47">
        <f>IF($F511="","",MIN(24,MAX(1,ROUNDUP(($F511-DayPlan!$C$2+1)/7,0))))</f>
        <v/>
      </c>
      <c r="V511" s="47">
        <f>IF($A511=""," ",4*($J511="Yes")+3*($G511="No")+2*(N($I511)&gt;0)+1*(AND(ISNUMBER($H511),$H511&gt;45))+3*(AND(ISNUMBER($P511),$P511&lt;=TODAY()))-6*($S511="Yes")+(750-ROW())/100000)</f>
        <v/>
      </c>
      <c r="W511" s="47">
        <f>IF(OR($A511="",NOT(ISNUMBER($P511))),"",INT($P511-TODAY()))</f>
        <v/>
      </c>
      <c r="X511" s="47" t="n"/>
    </row>
    <row r="512">
      <c r="A512" s="50" t="n"/>
      <c r="B512" s="47" t="n"/>
      <c r="C512" s="47" t="n"/>
      <c r="D512" s="50" t="n"/>
      <c r="E512" s="50" t="n"/>
      <c r="F512" s="48" t="n"/>
      <c r="G512" s="47" t="n"/>
      <c r="H512" s="47" t="n"/>
      <c r="I512" s="47" t="n"/>
      <c r="J512" s="47" t="n"/>
      <c r="K512" s="47" t="n"/>
      <c r="L512" s="47" t="n"/>
      <c r="M512" s="50" t="n"/>
      <c r="N512" s="50" t="n"/>
      <c r="O512" s="50" t="n"/>
      <c r="P512" s="48">
        <f>IF($F512="","",IF($J512="Yes",$F512+1,IF($G512="No",$F512+2,IF(N($I512)&gt;2,$F512+3,IF(N($I512)&gt;0,$F512+5,$F512+7)))))</f>
        <v/>
      </c>
      <c r="Q512" s="48">
        <f>IF($P512="","",IF($J512="Yes",$P512+3,IF($G512="No",$P512+5,IF(N($I512)&gt;0,$P512+7,$P512+14))))</f>
        <v/>
      </c>
      <c r="R512" s="48">
        <f>IF($Q512="","",IF($J512="Yes",$Q512+7,IF($G512="No",$Q512+14,$Q512+30)))</f>
        <v/>
      </c>
      <c r="S512" s="47" t="n"/>
      <c r="T512" s="50" t="n"/>
      <c r="U512" s="47">
        <f>IF($F512="","",MIN(24,MAX(1,ROUNDUP(($F512-DayPlan!$C$2+1)/7,0))))</f>
        <v/>
      </c>
      <c r="V512" s="47">
        <f>IF($A512=""," ",4*($J512="Yes")+3*($G512="No")+2*(N($I512)&gt;0)+1*(AND(ISNUMBER($H512),$H512&gt;45))+3*(AND(ISNUMBER($P512),$P512&lt;=TODAY()))-6*($S512="Yes")+(750-ROW())/100000)</f>
        <v/>
      </c>
      <c r="W512" s="47">
        <f>IF(OR($A512="",NOT(ISNUMBER($P512))),"",INT($P512-TODAY()))</f>
        <v/>
      </c>
      <c r="X512" s="47" t="n"/>
    </row>
    <row r="513">
      <c r="A513" s="50" t="n"/>
      <c r="B513" s="47" t="n"/>
      <c r="C513" s="47" t="n"/>
      <c r="D513" s="50" t="n"/>
      <c r="E513" s="50" t="n"/>
      <c r="F513" s="48" t="n"/>
      <c r="G513" s="47" t="n"/>
      <c r="H513" s="47" t="n"/>
      <c r="I513" s="47" t="n"/>
      <c r="J513" s="47" t="n"/>
      <c r="K513" s="47" t="n"/>
      <c r="L513" s="47" t="n"/>
      <c r="M513" s="50" t="n"/>
      <c r="N513" s="50" t="n"/>
      <c r="O513" s="50" t="n"/>
      <c r="P513" s="48">
        <f>IF($F513="","",IF($J513="Yes",$F513+1,IF($G513="No",$F513+2,IF(N($I513)&gt;2,$F513+3,IF(N($I513)&gt;0,$F513+5,$F513+7)))))</f>
        <v/>
      </c>
      <c r="Q513" s="48">
        <f>IF($P513="","",IF($J513="Yes",$P513+3,IF($G513="No",$P513+5,IF(N($I513)&gt;0,$P513+7,$P513+14))))</f>
        <v/>
      </c>
      <c r="R513" s="48">
        <f>IF($Q513="","",IF($J513="Yes",$Q513+7,IF($G513="No",$Q513+14,$Q513+30)))</f>
        <v/>
      </c>
      <c r="S513" s="47" t="n"/>
      <c r="T513" s="50" t="n"/>
      <c r="U513" s="47">
        <f>IF($F513="","",MIN(24,MAX(1,ROUNDUP(($F513-DayPlan!$C$2+1)/7,0))))</f>
        <v/>
      </c>
      <c r="V513" s="47">
        <f>IF($A513=""," ",4*($J513="Yes")+3*($G513="No")+2*(N($I513)&gt;0)+1*(AND(ISNUMBER($H513),$H513&gt;45))+3*(AND(ISNUMBER($P513),$P513&lt;=TODAY()))-6*($S513="Yes")+(750-ROW())/100000)</f>
        <v/>
      </c>
      <c r="W513" s="47">
        <f>IF(OR($A513="",NOT(ISNUMBER($P513))),"",INT($P513-TODAY()))</f>
        <v/>
      </c>
      <c r="X513" s="47" t="n"/>
    </row>
    <row r="514">
      <c r="A514" s="50" t="n"/>
      <c r="B514" s="47" t="n"/>
      <c r="C514" s="47" t="n"/>
      <c r="D514" s="50" t="n"/>
      <c r="E514" s="50" t="n"/>
      <c r="F514" s="48" t="n"/>
      <c r="G514" s="47" t="n"/>
      <c r="H514" s="47" t="n"/>
      <c r="I514" s="47" t="n"/>
      <c r="J514" s="47" t="n"/>
      <c r="K514" s="47" t="n"/>
      <c r="L514" s="47" t="n"/>
      <c r="M514" s="50" t="n"/>
      <c r="N514" s="50" t="n"/>
      <c r="O514" s="50" t="n"/>
      <c r="P514" s="48">
        <f>IF($F514="","",IF($J514="Yes",$F514+1,IF($G514="No",$F514+2,IF(N($I514)&gt;2,$F514+3,IF(N($I514)&gt;0,$F514+5,$F514+7)))))</f>
        <v/>
      </c>
      <c r="Q514" s="48">
        <f>IF($P514="","",IF($J514="Yes",$P514+3,IF($G514="No",$P514+5,IF(N($I514)&gt;0,$P514+7,$P514+14))))</f>
        <v/>
      </c>
      <c r="R514" s="48">
        <f>IF($Q514="","",IF($J514="Yes",$Q514+7,IF($G514="No",$Q514+14,$Q514+30)))</f>
        <v/>
      </c>
      <c r="S514" s="47" t="n"/>
      <c r="T514" s="50" t="n"/>
      <c r="U514" s="47">
        <f>IF($F514="","",MIN(24,MAX(1,ROUNDUP(($F514-DayPlan!$C$2+1)/7,0))))</f>
        <v/>
      </c>
      <c r="V514" s="47">
        <f>IF($A514=""," ",4*($J514="Yes")+3*($G514="No")+2*(N($I514)&gt;0)+1*(AND(ISNUMBER($H514),$H514&gt;45))+3*(AND(ISNUMBER($P514),$P514&lt;=TODAY()))-6*($S514="Yes")+(750-ROW())/100000)</f>
        <v/>
      </c>
      <c r="W514" s="47">
        <f>IF(OR($A514="",NOT(ISNUMBER($P514))),"",INT($P514-TODAY()))</f>
        <v/>
      </c>
      <c r="X514" s="47" t="n"/>
    </row>
    <row r="515">
      <c r="A515" s="50" t="n"/>
      <c r="B515" s="47" t="n"/>
      <c r="C515" s="47" t="n"/>
      <c r="D515" s="50" t="n"/>
      <c r="E515" s="50" t="n"/>
      <c r="F515" s="48" t="n"/>
      <c r="G515" s="47" t="n"/>
      <c r="H515" s="47" t="n"/>
      <c r="I515" s="47" t="n"/>
      <c r="J515" s="47" t="n"/>
      <c r="K515" s="47" t="n"/>
      <c r="L515" s="47" t="n"/>
      <c r="M515" s="50" t="n"/>
      <c r="N515" s="50" t="n"/>
      <c r="O515" s="50" t="n"/>
      <c r="P515" s="48">
        <f>IF($F515="","",IF($J515="Yes",$F515+1,IF($G515="No",$F515+2,IF(N($I515)&gt;2,$F515+3,IF(N($I515)&gt;0,$F515+5,$F515+7)))))</f>
        <v/>
      </c>
      <c r="Q515" s="48">
        <f>IF($P515="","",IF($J515="Yes",$P515+3,IF($G515="No",$P515+5,IF(N($I515)&gt;0,$P515+7,$P515+14))))</f>
        <v/>
      </c>
      <c r="R515" s="48">
        <f>IF($Q515="","",IF($J515="Yes",$Q515+7,IF($G515="No",$Q515+14,$Q515+30)))</f>
        <v/>
      </c>
      <c r="S515" s="47" t="n"/>
      <c r="T515" s="50" t="n"/>
      <c r="U515" s="47">
        <f>IF($F515="","",MIN(24,MAX(1,ROUNDUP(($F515-DayPlan!$C$2+1)/7,0))))</f>
        <v/>
      </c>
      <c r="V515" s="47">
        <f>IF($A515=""," ",4*($J515="Yes")+3*($G515="No")+2*(N($I515)&gt;0)+1*(AND(ISNUMBER($H515),$H515&gt;45))+3*(AND(ISNUMBER($P515),$P515&lt;=TODAY()))-6*($S515="Yes")+(750-ROW())/100000)</f>
        <v/>
      </c>
      <c r="W515" s="47">
        <f>IF(OR($A515="",NOT(ISNUMBER($P515))),"",INT($P515-TODAY()))</f>
        <v/>
      </c>
      <c r="X515" s="47" t="n"/>
    </row>
    <row r="516">
      <c r="A516" s="50" t="n"/>
      <c r="B516" s="47" t="n"/>
      <c r="C516" s="47" t="n"/>
      <c r="D516" s="50" t="n"/>
      <c r="E516" s="50" t="n"/>
      <c r="F516" s="48" t="n"/>
      <c r="G516" s="47" t="n"/>
      <c r="H516" s="47" t="n"/>
      <c r="I516" s="47" t="n"/>
      <c r="J516" s="47" t="n"/>
      <c r="K516" s="47" t="n"/>
      <c r="L516" s="47" t="n"/>
      <c r="M516" s="50" t="n"/>
      <c r="N516" s="50" t="n"/>
      <c r="O516" s="50" t="n"/>
      <c r="P516" s="48">
        <f>IF($F516="","",IF($J516="Yes",$F516+1,IF($G516="No",$F516+2,IF(N($I516)&gt;2,$F516+3,IF(N($I516)&gt;0,$F516+5,$F516+7)))))</f>
        <v/>
      </c>
      <c r="Q516" s="48">
        <f>IF($P516="","",IF($J516="Yes",$P516+3,IF($G516="No",$P516+5,IF(N($I516)&gt;0,$P516+7,$P516+14))))</f>
        <v/>
      </c>
      <c r="R516" s="48">
        <f>IF($Q516="","",IF($J516="Yes",$Q516+7,IF($G516="No",$Q516+14,$Q516+30)))</f>
        <v/>
      </c>
      <c r="S516" s="47" t="n"/>
      <c r="T516" s="50" t="n"/>
      <c r="U516" s="47">
        <f>IF($F516="","",MIN(24,MAX(1,ROUNDUP(($F516-DayPlan!$C$2+1)/7,0))))</f>
        <v/>
      </c>
      <c r="V516" s="47">
        <f>IF($A516=""," ",4*($J516="Yes")+3*($G516="No")+2*(N($I516)&gt;0)+1*(AND(ISNUMBER($H516),$H516&gt;45))+3*(AND(ISNUMBER($P516),$P516&lt;=TODAY()))-6*($S516="Yes")+(750-ROW())/100000)</f>
        <v/>
      </c>
      <c r="W516" s="47">
        <f>IF(OR($A516="",NOT(ISNUMBER($P516))),"",INT($P516-TODAY()))</f>
        <v/>
      </c>
      <c r="X516" s="47" t="n"/>
    </row>
    <row r="517">
      <c r="A517" s="50" t="n"/>
      <c r="B517" s="47" t="n"/>
      <c r="C517" s="47" t="n"/>
      <c r="D517" s="50" t="n"/>
      <c r="E517" s="50" t="n"/>
      <c r="F517" s="48" t="n"/>
      <c r="G517" s="47" t="n"/>
      <c r="H517" s="47" t="n"/>
      <c r="I517" s="47" t="n"/>
      <c r="J517" s="47" t="n"/>
      <c r="K517" s="47" t="n"/>
      <c r="L517" s="47" t="n"/>
      <c r="M517" s="50" t="n"/>
      <c r="N517" s="50" t="n"/>
      <c r="O517" s="50" t="n"/>
      <c r="P517" s="48">
        <f>IF($F517="","",IF($J517="Yes",$F517+1,IF($G517="No",$F517+2,IF(N($I517)&gt;2,$F517+3,IF(N($I517)&gt;0,$F517+5,$F517+7)))))</f>
        <v/>
      </c>
      <c r="Q517" s="48">
        <f>IF($P517="","",IF($J517="Yes",$P517+3,IF($G517="No",$P517+5,IF(N($I517)&gt;0,$P517+7,$P517+14))))</f>
        <v/>
      </c>
      <c r="R517" s="48">
        <f>IF($Q517="","",IF($J517="Yes",$Q517+7,IF($G517="No",$Q517+14,$Q517+30)))</f>
        <v/>
      </c>
      <c r="S517" s="47" t="n"/>
      <c r="T517" s="50" t="n"/>
      <c r="U517" s="47">
        <f>IF($F517="","",MIN(24,MAX(1,ROUNDUP(($F517-DayPlan!$C$2+1)/7,0))))</f>
        <v/>
      </c>
      <c r="V517" s="47">
        <f>IF($A517=""," ",4*($J517="Yes")+3*($G517="No")+2*(N($I517)&gt;0)+1*(AND(ISNUMBER($H517),$H517&gt;45))+3*(AND(ISNUMBER($P517),$P517&lt;=TODAY()))-6*($S517="Yes")+(750-ROW())/100000)</f>
        <v/>
      </c>
      <c r="W517" s="47">
        <f>IF(OR($A517="",NOT(ISNUMBER($P517))),"",INT($P517-TODAY()))</f>
        <v/>
      </c>
      <c r="X517" s="47" t="n"/>
    </row>
    <row r="518">
      <c r="A518" s="50" t="n"/>
      <c r="B518" s="47" t="n"/>
      <c r="C518" s="47" t="n"/>
      <c r="D518" s="50" t="n"/>
      <c r="E518" s="50" t="n"/>
      <c r="F518" s="48" t="n"/>
      <c r="G518" s="47" t="n"/>
      <c r="H518" s="47" t="n"/>
      <c r="I518" s="47" t="n"/>
      <c r="J518" s="47" t="n"/>
      <c r="K518" s="47" t="n"/>
      <c r="L518" s="47" t="n"/>
      <c r="M518" s="50" t="n"/>
      <c r="N518" s="50" t="n"/>
      <c r="O518" s="50" t="n"/>
      <c r="P518" s="48">
        <f>IF($F518="","",IF($J518="Yes",$F518+1,IF($G518="No",$F518+2,IF(N($I518)&gt;2,$F518+3,IF(N($I518)&gt;0,$F518+5,$F518+7)))))</f>
        <v/>
      </c>
      <c r="Q518" s="48">
        <f>IF($P518="","",IF($J518="Yes",$P518+3,IF($G518="No",$P518+5,IF(N($I518)&gt;0,$P518+7,$P518+14))))</f>
        <v/>
      </c>
      <c r="R518" s="48">
        <f>IF($Q518="","",IF($J518="Yes",$Q518+7,IF($G518="No",$Q518+14,$Q518+30)))</f>
        <v/>
      </c>
      <c r="S518" s="47" t="n"/>
      <c r="T518" s="50" t="n"/>
      <c r="U518" s="47">
        <f>IF($F518="","",MIN(24,MAX(1,ROUNDUP(($F518-DayPlan!$C$2+1)/7,0))))</f>
        <v/>
      </c>
      <c r="V518" s="47">
        <f>IF($A518=""," ",4*($J518="Yes")+3*($G518="No")+2*(N($I518)&gt;0)+1*(AND(ISNUMBER($H518),$H518&gt;45))+3*(AND(ISNUMBER($P518),$P518&lt;=TODAY()))-6*($S518="Yes")+(750-ROW())/100000)</f>
        <v/>
      </c>
      <c r="W518" s="47">
        <f>IF(OR($A518="",NOT(ISNUMBER($P518))),"",INT($P518-TODAY()))</f>
        <v/>
      </c>
      <c r="X518" s="47" t="n"/>
    </row>
    <row r="519">
      <c r="A519" s="50" t="n"/>
      <c r="B519" s="47" t="n"/>
      <c r="C519" s="47" t="n"/>
      <c r="D519" s="50" t="n"/>
      <c r="E519" s="50" t="n"/>
      <c r="F519" s="48" t="n"/>
      <c r="G519" s="47" t="n"/>
      <c r="H519" s="47" t="n"/>
      <c r="I519" s="47" t="n"/>
      <c r="J519" s="47" t="n"/>
      <c r="K519" s="47" t="n"/>
      <c r="L519" s="47" t="n"/>
      <c r="M519" s="50" t="n"/>
      <c r="N519" s="50" t="n"/>
      <c r="O519" s="50" t="n"/>
      <c r="P519" s="48">
        <f>IF($F519="","",IF($J519="Yes",$F519+1,IF($G519="No",$F519+2,IF(N($I519)&gt;2,$F519+3,IF(N($I519)&gt;0,$F519+5,$F519+7)))))</f>
        <v/>
      </c>
      <c r="Q519" s="48">
        <f>IF($P519="","",IF($J519="Yes",$P519+3,IF($G519="No",$P519+5,IF(N($I519)&gt;0,$P519+7,$P519+14))))</f>
        <v/>
      </c>
      <c r="R519" s="48">
        <f>IF($Q519="","",IF($J519="Yes",$Q519+7,IF($G519="No",$Q519+14,$Q519+30)))</f>
        <v/>
      </c>
      <c r="S519" s="47" t="n"/>
      <c r="T519" s="50" t="n"/>
      <c r="U519" s="47">
        <f>IF($F519="","",MIN(24,MAX(1,ROUNDUP(($F519-DayPlan!$C$2+1)/7,0))))</f>
        <v/>
      </c>
      <c r="V519" s="47">
        <f>IF($A519=""," ",4*($J519="Yes")+3*($G519="No")+2*(N($I519)&gt;0)+1*(AND(ISNUMBER($H519),$H519&gt;45))+3*(AND(ISNUMBER($P519),$P519&lt;=TODAY()))-6*($S519="Yes")+(750-ROW())/100000)</f>
        <v/>
      </c>
      <c r="W519" s="47">
        <f>IF(OR($A519="",NOT(ISNUMBER($P519))),"",INT($P519-TODAY()))</f>
        <v/>
      </c>
      <c r="X519" s="47" t="n"/>
    </row>
    <row r="520">
      <c r="A520" s="50" t="n"/>
      <c r="B520" s="47" t="n"/>
      <c r="C520" s="47" t="n"/>
      <c r="D520" s="50" t="n"/>
      <c r="E520" s="50" t="n"/>
      <c r="F520" s="48" t="n"/>
      <c r="G520" s="47" t="n"/>
      <c r="H520" s="47" t="n"/>
      <c r="I520" s="47" t="n"/>
      <c r="J520" s="47" t="n"/>
      <c r="K520" s="47" t="n"/>
      <c r="L520" s="47" t="n"/>
      <c r="M520" s="50" t="n"/>
      <c r="N520" s="50" t="n"/>
      <c r="O520" s="50" t="n"/>
      <c r="P520" s="48">
        <f>IF($F520="","",IF($J520="Yes",$F520+1,IF($G520="No",$F520+2,IF(N($I520)&gt;2,$F520+3,IF(N($I520)&gt;0,$F520+5,$F520+7)))))</f>
        <v/>
      </c>
      <c r="Q520" s="48">
        <f>IF($P520="","",IF($J520="Yes",$P520+3,IF($G520="No",$P520+5,IF(N($I520)&gt;0,$P520+7,$P520+14))))</f>
        <v/>
      </c>
      <c r="R520" s="48">
        <f>IF($Q520="","",IF($J520="Yes",$Q520+7,IF($G520="No",$Q520+14,$Q520+30)))</f>
        <v/>
      </c>
      <c r="S520" s="47" t="n"/>
      <c r="T520" s="50" t="n"/>
      <c r="U520" s="47">
        <f>IF($F520="","",MIN(24,MAX(1,ROUNDUP(($F520-DayPlan!$C$2+1)/7,0))))</f>
        <v/>
      </c>
      <c r="V520" s="47">
        <f>IF($A520=""," ",4*($J520="Yes")+3*($G520="No")+2*(N($I520)&gt;0)+1*(AND(ISNUMBER($H520),$H520&gt;45))+3*(AND(ISNUMBER($P520),$P520&lt;=TODAY()))-6*($S520="Yes")+(750-ROW())/100000)</f>
        <v/>
      </c>
      <c r="W520" s="47">
        <f>IF(OR($A520="",NOT(ISNUMBER($P520))),"",INT($P520-TODAY()))</f>
        <v/>
      </c>
      <c r="X520" s="47" t="n"/>
    </row>
    <row r="521">
      <c r="A521" s="50" t="n"/>
      <c r="B521" s="47" t="n"/>
      <c r="C521" s="47" t="n"/>
      <c r="D521" s="50" t="n"/>
      <c r="E521" s="50" t="n"/>
      <c r="F521" s="48" t="n"/>
      <c r="G521" s="47" t="n"/>
      <c r="H521" s="47" t="n"/>
      <c r="I521" s="47" t="n"/>
      <c r="J521" s="47" t="n"/>
      <c r="K521" s="47" t="n"/>
      <c r="L521" s="47" t="n"/>
      <c r="M521" s="50" t="n"/>
      <c r="N521" s="50" t="n"/>
      <c r="O521" s="50" t="n"/>
      <c r="P521" s="48">
        <f>IF($F521="","",IF($J521="Yes",$F521+1,IF($G521="No",$F521+2,IF(N($I521)&gt;2,$F521+3,IF(N($I521)&gt;0,$F521+5,$F521+7)))))</f>
        <v/>
      </c>
      <c r="Q521" s="48">
        <f>IF($P521="","",IF($J521="Yes",$P521+3,IF($G521="No",$P521+5,IF(N($I521)&gt;0,$P521+7,$P521+14))))</f>
        <v/>
      </c>
      <c r="R521" s="48">
        <f>IF($Q521="","",IF($J521="Yes",$Q521+7,IF($G521="No",$Q521+14,$Q521+30)))</f>
        <v/>
      </c>
      <c r="S521" s="47" t="n"/>
      <c r="T521" s="50" t="n"/>
      <c r="U521" s="47">
        <f>IF($F521="","",MIN(24,MAX(1,ROUNDUP(($F521-DayPlan!$C$2+1)/7,0))))</f>
        <v/>
      </c>
      <c r="V521" s="47">
        <f>IF($A521=""," ",4*($J521="Yes")+3*($G521="No")+2*(N($I521)&gt;0)+1*(AND(ISNUMBER($H521),$H521&gt;45))+3*(AND(ISNUMBER($P521),$P521&lt;=TODAY()))-6*($S521="Yes")+(750-ROW())/100000)</f>
        <v/>
      </c>
      <c r="W521" s="47">
        <f>IF(OR($A521="",NOT(ISNUMBER($P521))),"",INT($P521-TODAY()))</f>
        <v/>
      </c>
      <c r="X521" s="47" t="n"/>
    </row>
    <row r="522">
      <c r="A522" s="50" t="n"/>
      <c r="B522" s="47" t="n"/>
      <c r="C522" s="47" t="n"/>
      <c r="D522" s="50" t="n"/>
      <c r="E522" s="50" t="n"/>
      <c r="F522" s="48" t="n"/>
      <c r="G522" s="47" t="n"/>
      <c r="H522" s="47" t="n"/>
      <c r="I522" s="47" t="n"/>
      <c r="J522" s="47" t="n"/>
      <c r="K522" s="47" t="n"/>
      <c r="L522" s="47" t="n"/>
      <c r="M522" s="50" t="n"/>
      <c r="N522" s="50" t="n"/>
      <c r="O522" s="50" t="n"/>
      <c r="P522" s="48">
        <f>IF($F522="","",IF($J522="Yes",$F522+1,IF($G522="No",$F522+2,IF(N($I522)&gt;2,$F522+3,IF(N($I522)&gt;0,$F522+5,$F522+7)))))</f>
        <v/>
      </c>
      <c r="Q522" s="48">
        <f>IF($P522="","",IF($J522="Yes",$P522+3,IF($G522="No",$P522+5,IF(N($I522)&gt;0,$P522+7,$P522+14))))</f>
        <v/>
      </c>
      <c r="R522" s="48">
        <f>IF($Q522="","",IF($J522="Yes",$Q522+7,IF($G522="No",$Q522+14,$Q522+30)))</f>
        <v/>
      </c>
      <c r="S522" s="47" t="n"/>
      <c r="T522" s="50" t="n"/>
      <c r="U522" s="47">
        <f>IF($F522="","",MIN(24,MAX(1,ROUNDUP(($F522-DayPlan!$C$2+1)/7,0))))</f>
        <v/>
      </c>
      <c r="V522" s="47">
        <f>IF($A522=""," ",4*($J522="Yes")+3*($G522="No")+2*(N($I522)&gt;0)+1*(AND(ISNUMBER($H522),$H522&gt;45))+3*(AND(ISNUMBER($P522),$P522&lt;=TODAY()))-6*($S522="Yes")+(750-ROW())/100000)</f>
        <v/>
      </c>
      <c r="W522" s="47">
        <f>IF(OR($A522="",NOT(ISNUMBER($P522))),"",INT($P522-TODAY()))</f>
        <v/>
      </c>
      <c r="X522" s="47" t="n"/>
    </row>
    <row r="523">
      <c r="A523" s="50" t="n"/>
      <c r="B523" s="47" t="n"/>
      <c r="C523" s="47" t="n"/>
      <c r="D523" s="50" t="n"/>
      <c r="E523" s="50" t="n"/>
      <c r="F523" s="48" t="n"/>
      <c r="G523" s="47" t="n"/>
      <c r="H523" s="47" t="n"/>
      <c r="I523" s="47" t="n"/>
      <c r="J523" s="47" t="n"/>
      <c r="K523" s="47" t="n"/>
      <c r="L523" s="47" t="n"/>
      <c r="M523" s="50" t="n"/>
      <c r="N523" s="50" t="n"/>
      <c r="O523" s="50" t="n"/>
      <c r="P523" s="48">
        <f>IF($F523="","",IF($J523="Yes",$F523+1,IF($G523="No",$F523+2,IF(N($I523)&gt;2,$F523+3,IF(N($I523)&gt;0,$F523+5,$F523+7)))))</f>
        <v/>
      </c>
      <c r="Q523" s="48">
        <f>IF($P523="","",IF($J523="Yes",$P523+3,IF($G523="No",$P523+5,IF(N($I523)&gt;0,$P523+7,$P523+14))))</f>
        <v/>
      </c>
      <c r="R523" s="48">
        <f>IF($Q523="","",IF($J523="Yes",$Q523+7,IF($G523="No",$Q523+14,$Q523+30)))</f>
        <v/>
      </c>
      <c r="S523" s="47" t="n"/>
      <c r="T523" s="50" t="n"/>
      <c r="U523" s="47">
        <f>IF($F523="","",MIN(24,MAX(1,ROUNDUP(($F523-DayPlan!$C$2+1)/7,0))))</f>
        <v/>
      </c>
      <c r="V523" s="47">
        <f>IF($A523=""," ",4*($J523="Yes")+3*($G523="No")+2*(N($I523)&gt;0)+1*(AND(ISNUMBER($H523),$H523&gt;45))+3*(AND(ISNUMBER($P523),$P523&lt;=TODAY()))-6*($S523="Yes")+(750-ROW())/100000)</f>
        <v/>
      </c>
      <c r="W523" s="47">
        <f>IF(OR($A523="",NOT(ISNUMBER($P523))),"",INT($P523-TODAY()))</f>
        <v/>
      </c>
      <c r="X523" s="47" t="n"/>
    </row>
    <row r="524">
      <c r="A524" s="50" t="n"/>
      <c r="B524" s="47" t="n"/>
      <c r="C524" s="47" t="n"/>
      <c r="D524" s="50" t="n"/>
      <c r="E524" s="50" t="n"/>
      <c r="F524" s="48" t="n"/>
      <c r="G524" s="47" t="n"/>
      <c r="H524" s="47" t="n"/>
      <c r="I524" s="47" t="n"/>
      <c r="J524" s="47" t="n"/>
      <c r="K524" s="47" t="n"/>
      <c r="L524" s="47" t="n"/>
      <c r="M524" s="50" t="n"/>
      <c r="N524" s="50" t="n"/>
      <c r="O524" s="50" t="n"/>
      <c r="P524" s="48">
        <f>IF($F524="","",IF($J524="Yes",$F524+1,IF($G524="No",$F524+2,IF(N($I524)&gt;2,$F524+3,IF(N($I524)&gt;0,$F524+5,$F524+7)))))</f>
        <v/>
      </c>
      <c r="Q524" s="48">
        <f>IF($P524="","",IF($J524="Yes",$P524+3,IF($G524="No",$P524+5,IF(N($I524)&gt;0,$P524+7,$P524+14))))</f>
        <v/>
      </c>
      <c r="R524" s="48">
        <f>IF($Q524="","",IF($J524="Yes",$Q524+7,IF($G524="No",$Q524+14,$Q524+30)))</f>
        <v/>
      </c>
      <c r="S524" s="47" t="n"/>
      <c r="T524" s="50" t="n"/>
      <c r="U524" s="47">
        <f>IF($F524="","",MIN(24,MAX(1,ROUNDUP(($F524-DayPlan!$C$2+1)/7,0))))</f>
        <v/>
      </c>
      <c r="V524" s="47">
        <f>IF($A524=""," ",4*($J524="Yes")+3*($G524="No")+2*(N($I524)&gt;0)+1*(AND(ISNUMBER($H524),$H524&gt;45))+3*(AND(ISNUMBER($P524),$P524&lt;=TODAY()))-6*($S524="Yes")+(750-ROW())/100000)</f>
        <v/>
      </c>
      <c r="W524" s="47">
        <f>IF(OR($A524="",NOT(ISNUMBER($P524))),"",INT($P524-TODAY()))</f>
        <v/>
      </c>
      <c r="X524" s="47" t="n"/>
    </row>
    <row r="525">
      <c r="A525" s="50" t="n"/>
      <c r="B525" s="47" t="n"/>
      <c r="C525" s="47" t="n"/>
      <c r="D525" s="50" t="n"/>
      <c r="E525" s="50" t="n"/>
      <c r="F525" s="48" t="n"/>
      <c r="G525" s="47" t="n"/>
      <c r="H525" s="47" t="n"/>
      <c r="I525" s="47" t="n"/>
      <c r="J525" s="47" t="n"/>
      <c r="K525" s="47" t="n"/>
      <c r="L525" s="47" t="n"/>
      <c r="M525" s="50" t="n"/>
      <c r="N525" s="50" t="n"/>
      <c r="O525" s="50" t="n"/>
      <c r="P525" s="48">
        <f>IF($F525="","",IF($J525="Yes",$F525+1,IF($G525="No",$F525+2,IF(N($I525)&gt;2,$F525+3,IF(N($I525)&gt;0,$F525+5,$F525+7)))))</f>
        <v/>
      </c>
      <c r="Q525" s="48">
        <f>IF($P525="","",IF($J525="Yes",$P525+3,IF($G525="No",$P525+5,IF(N($I525)&gt;0,$P525+7,$P525+14))))</f>
        <v/>
      </c>
      <c r="R525" s="48">
        <f>IF($Q525="","",IF($J525="Yes",$Q525+7,IF($G525="No",$Q525+14,$Q525+30)))</f>
        <v/>
      </c>
      <c r="S525" s="47" t="n"/>
      <c r="T525" s="50" t="n"/>
      <c r="U525" s="47">
        <f>IF($F525="","",MIN(24,MAX(1,ROUNDUP(($F525-DayPlan!$C$2+1)/7,0))))</f>
        <v/>
      </c>
      <c r="V525" s="47">
        <f>IF($A525=""," ",4*($J525="Yes")+3*($G525="No")+2*(N($I525)&gt;0)+1*(AND(ISNUMBER($H525),$H525&gt;45))+3*(AND(ISNUMBER($P525),$P525&lt;=TODAY()))-6*($S525="Yes")+(750-ROW())/100000)</f>
        <v/>
      </c>
      <c r="W525" s="47">
        <f>IF(OR($A525="",NOT(ISNUMBER($P525))),"",INT($P525-TODAY()))</f>
        <v/>
      </c>
      <c r="X525" s="47" t="n"/>
    </row>
    <row r="526">
      <c r="A526" s="50" t="n"/>
      <c r="B526" s="47" t="n"/>
      <c r="C526" s="47" t="n"/>
      <c r="D526" s="50" t="n"/>
      <c r="E526" s="50" t="n"/>
      <c r="F526" s="48" t="n"/>
      <c r="G526" s="47" t="n"/>
      <c r="H526" s="47" t="n"/>
      <c r="I526" s="47" t="n"/>
      <c r="J526" s="47" t="n"/>
      <c r="K526" s="47" t="n"/>
      <c r="L526" s="47" t="n"/>
      <c r="M526" s="50" t="n"/>
      <c r="N526" s="50" t="n"/>
      <c r="O526" s="50" t="n"/>
      <c r="P526" s="48">
        <f>IF($F526="","",IF($J526="Yes",$F526+1,IF($G526="No",$F526+2,IF(N($I526)&gt;2,$F526+3,IF(N($I526)&gt;0,$F526+5,$F526+7)))))</f>
        <v/>
      </c>
      <c r="Q526" s="48">
        <f>IF($P526="","",IF($J526="Yes",$P526+3,IF($G526="No",$P526+5,IF(N($I526)&gt;0,$P526+7,$P526+14))))</f>
        <v/>
      </c>
      <c r="R526" s="48">
        <f>IF($Q526="","",IF($J526="Yes",$Q526+7,IF($G526="No",$Q526+14,$Q526+30)))</f>
        <v/>
      </c>
      <c r="S526" s="47" t="n"/>
      <c r="T526" s="50" t="n"/>
      <c r="U526" s="47">
        <f>IF($F526="","",MIN(24,MAX(1,ROUNDUP(($F526-DayPlan!$C$2+1)/7,0))))</f>
        <v/>
      </c>
      <c r="V526" s="47">
        <f>IF($A526=""," ",4*($J526="Yes")+3*($G526="No")+2*(N($I526)&gt;0)+1*(AND(ISNUMBER($H526),$H526&gt;45))+3*(AND(ISNUMBER($P526),$P526&lt;=TODAY()))-6*($S526="Yes")+(750-ROW())/100000)</f>
        <v/>
      </c>
      <c r="W526" s="47">
        <f>IF(OR($A526="",NOT(ISNUMBER($P526))),"",INT($P526-TODAY()))</f>
        <v/>
      </c>
      <c r="X526" s="47" t="n"/>
    </row>
    <row r="527">
      <c r="A527" s="50" t="n"/>
      <c r="B527" s="47" t="n"/>
      <c r="C527" s="47" t="n"/>
      <c r="D527" s="50" t="n"/>
      <c r="E527" s="50" t="n"/>
      <c r="F527" s="48" t="n"/>
      <c r="G527" s="47" t="n"/>
      <c r="H527" s="47" t="n"/>
      <c r="I527" s="47" t="n"/>
      <c r="J527" s="47" t="n"/>
      <c r="K527" s="47" t="n"/>
      <c r="L527" s="47" t="n"/>
      <c r="M527" s="50" t="n"/>
      <c r="N527" s="50" t="n"/>
      <c r="O527" s="50" t="n"/>
      <c r="P527" s="48">
        <f>IF($F527="","",IF($J527="Yes",$F527+1,IF($G527="No",$F527+2,IF(N($I527)&gt;2,$F527+3,IF(N($I527)&gt;0,$F527+5,$F527+7)))))</f>
        <v/>
      </c>
      <c r="Q527" s="48">
        <f>IF($P527="","",IF($J527="Yes",$P527+3,IF($G527="No",$P527+5,IF(N($I527)&gt;0,$P527+7,$P527+14))))</f>
        <v/>
      </c>
      <c r="R527" s="48">
        <f>IF($Q527="","",IF($J527="Yes",$Q527+7,IF($G527="No",$Q527+14,$Q527+30)))</f>
        <v/>
      </c>
      <c r="S527" s="47" t="n"/>
      <c r="T527" s="50" t="n"/>
      <c r="U527" s="47">
        <f>IF($F527="","",MIN(24,MAX(1,ROUNDUP(($F527-DayPlan!$C$2+1)/7,0))))</f>
        <v/>
      </c>
      <c r="V527" s="47">
        <f>IF($A527=""," ",4*($J527="Yes")+3*($G527="No")+2*(N($I527)&gt;0)+1*(AND(ISNUMBER($H527),$H527&gt;45))+3*(AND(ISNUMBER($P527),$P527&lt;=TODAY()))-6*($S527="Yes")+(750-ROW())/100000)</f>
        <v/>
      </c>
      <c r="W527" s="47">
        <f>IF(OR($A527="",NOT(ISNUMBER($P527))),"",INT($P527-TODAY()))</f>
        <v/>
      </c>
      <c r="X527" s="47" t="n"/>
    </row>
    <row r="528">
      <c r="A528" s="50" t="n"/>
      <c r="B528" s="47" t="n"/>
      <c r="C528" s="47" t="n"/>
      <c r="D528" s="50" t="n"/>
      <c r="E528" s="50" t="n"/>
      <c r="F528" s="48" t="n"/>
      <c r="G528" s="47" t="n"/>
      <c r="H528" s="47" t="n"/>
      <c r="I528" s="47" t="n"/>
      <c r="J528" s="47" t="n"/>
      <c r="K528" s="47" t="n"/>
      <c r="L528" s="47" t="n"/>
      <c r="M528" s="50" t="n"/>
      <c r="N528" s="50" t="n"/>
      <c r="O528" s="50" t="n"/>
      <c r="P528" s="48">
        <f>IF($F528="","",IF($J528="Yes",$F528+1,IF($G528="No",$F528+2,IF(N($I528)&gt;2,$F528+3,IF(N($I528)&gt;0,$F528+5,$F528+7)))))</f>
        <v/>
      </c>
      <c r="Q528" s="48">
        <f>IF($P528="","",IF($J528="Yes",$P528+3,IF($G528="No",$P528+5,IF(N($I528)&gt;0,$P528+7,$P528+14))))</f>
        <v/>
      </c>
      <c r="R528" s="48">
        <f>IF($Q528="","",IF($J528="Yes",$Q528+7,IF($G528="No",$Q528+14,$Q528+30)))</f>
        <v/>
      </c>
      <c r="S528" s="47" t="n"/>
      <c r="T528" s="50" t="n"/>
      <c r="U528" s="47">
        <f>IF($F528="","",MIN(24,MAX(1,ROUNDUP(($F528-DayPlan!$C$2+1)/7,0))))</f>
        <v/>
      </c>
      <c r="V528" s="47">
        <f>IF($A528=""," ",4*($J528="Yes")+3*($G528="No")+2*(N($I528)&gt;0)+1*(AND(ISNUMBER($H528),$H528&gt;45))+3*(AND(ISNUMBER($P528),$P528&lt;=TODAY()))-6*($S528="Yes")+(750-ROW())/100000)</f>
        <v/>
      </c>
      <c r="W528" s="47">
        <f>IF(OR($A528="",NOT(ISNUMBER($P528))),"",INT($P528-TODAY()))</f>
        <v/>
      </c>
      <c r="X528" s="47" t="n"/>
    </row>
    <row r="529">
      <c r="A529" s="50" t="n"/>
      <c r="B529" s="47" t="n"/>
      <c r="C529" s="47" t="n"/>
      <c r="D529" s="50" t="n"/>
      <c r="E529" s="50" t="n"/>
      <c r="F529" s="48" t="n"/>
      <c r="G529" s="47" t="n"/>
      <c r="H529" s="47" t="n"/>
      <c r="I529" s="47" t="n"/>
      <c r="J529" s="47" t="n"/>
      <c r="K529" s="47" t="n"/>
      <c r="L529" s="47" t="n"/>
      <c r="M529" s="50" t="n"/>
      <c r="N529" s="50" t="n"/>
      <c r="O529" s="50" t="n"/>
      <c r="P529" s="48">
        <f>IF($F529="","",IF($J529="Yes",$F529+1,IF($G529="No",$F529+2,IF(N($I529)&gt;2,$F529+3,IF(N($I529)&gt;0,$F529+5,$F529+7)))))</f>
        <v/>
      </c>
      <c r="Q529" s="48">
        <f>IF($P529="","",IF($J529="Yes",$P529+3,IF($G529="No",$P529+5,IF(N($I529)&gt;0,$P529+7,$P529+14))))</f>
        <v/>
      </c>
      <c r="R529" s="48">
        <f>IF($Q529="","",IF($J529="Yes",$Q529+7,IF($G529="No",$Q529+14,$Q529+30)))</f>
        <v/>
      </c>
      <c r="S529" s="47" t="n"/>
      <c r="T529" s="50" t="n"/>
      <c r="U529" s="47">
        <f>IF($F529="","",MIN(24,MAX(1,ROUNDUP(($F529-DayPlan!$C$2+1)/7,0))))</f>
        <v/>
      </c>
      <c r="V529" s="47">
        <f>IF($A529=""," ",4*($J529="Yes")+3*($G529="No")+2*(N($I529)&gt;0)+1*(AND(ISNUMBER($H529),$H529&gt;45))+3*(AND(ISNUMBER($P529),$P529&lt;=TODAY()))-6*($S529="Yes")+(750-ROW())/100000)</f>
        <v/>
      </c>
      <c r="W529" s="47">
        <f>IF(OR($A529="",NOT(ISNUMBER($P529))),"",INT($P529-TODAY()))</f>
        <v/>
      </c>
      <c r="X529" s="47" t="n"/>
    </row>
    <row r="530">
      <c r="A530" s="50" t="n"/>
      <c r="B530" s="47" t="n"/>
      <c r="C530" s="47" t="n"/>
      <c r="D530" s="50" t="n"/>
      <c r="E530" s="50" t="n"/>
      <c r="F530" s="48" t="n"/>
      <c r="G530" s="47" t="n"/>
      <c r="H530" s="47" t="n"/>
      <c r="I530" s="47" t="n"/>
      <c r="J530" s="47" t="n"/>
      <c r="K530" s="47" t="n"/>
      <c r="L530" s="47" t="n"/>
      <c r="M530" s="50" t="n"/>
      <c r="N530" s="50" t="n"/>
      <c r="O530" s="50" t="n"/>
      <c r="P530" s="48">
        <f>IF($F530="","",IF($J530="Yes",$F530+1,IF($G530="No",$F530+2,IF(N($I530)&gt;2,$F530+3,IF(N($I530)&gt;0,$F530+5,$F530+7)))))</f>
        <v/>
      </c>
      <c r="Q530" s="48">
        <f>IF($P530="","",IF($J530="Yes",$P530+3,IF($G530="No",$P530+5,IF(N($I530)&gt;0,$P530+7,$P530+14))))</f>
        <v/>
      </c>
      <c r="R530" s="48">
        <f>IF($Q530="","",IF($J530="Yes",$Q530+7,IF($G530="No",$Q530+14,$Q530+30)))</f>
        <v/>
      </c>
      <c r="S530" s="47" t="n"/>
      <c r="T530" s="50" t="n"/>
      <c r="U530" s="47">
        <f>IF($F530="","",MIN(24,MAX(1,ROUNDUP(($F530-DayPlan!$C$2+1)/7,0))))</f>
        <v/>
      </c>
      <c r="V530" s="47">
        <f>IF($A530=""," ",4*($J530="Yes")+3*($G530="No")+2*(N($I530)&gt;0)+1*(AND(ISNUMBER($H530),$H530&gt;45))+3*(AND(ISNUMBER($P530),$P530&lt;=TODAY()))-6*($S530="Yes")+(750-ROW())/100000)</f>
        <v/>
      </c>
      <c r="W530" s="47">
        <f>IF(OR($A530="",NOT(ISNUMBER($P530))),"",INT($P530-TODAY()))</f>
        <v/>
      </c>
      <c r="X530" s="47" t="n"/>
    </row>
    <row r="531">
      <c r="A531" s="50" t="n"/>
      <c r="B531" s="47" t="n"/>
      <c r="C531" s="47" t="n"/>
      <c r="D531" s="50" t="n"/>
      <c r="E531" s="50" t="n"/>
      <c r="F531" s="48" t="n"/>
      <c r="G531" s="47" t="n"/>
      <c r="H531" s="47" t="n"/>
      <c r="I531" s="47" t="n"/>
      <c r="J531" s="47" t="n"/>
      <c r="K531" s="47" t="n"/>
      <c r="L531" s="47" t="n"/>
      <c r="M531" s="50" t="n"/>
      <c r="N531" s="50" t="n"/>
      <c r="O531" s="50" t="n"/>
      <c r="P531" s="48">
        <f>IF($F531="","",IF($J531="Yes",$F531+1,IF($G531="No",$F531+2,IF(N($I531)&gt;2,$F531+3,IF(N($I531)&gt;0,$F531+5,$F531+7)))))</f>
        <v/>
      </c>
      <c r="Q531" s="48">
        <f>IF($P531="","",IF($J531="Yes",$P531+3,IF($G531="No",$P531+5,IF(N($I531)&gt;0,$P531+7,$P531+14))))</f>
        <v/>
      </c>
      <c r="R531" s="48">
        <f>IF($Q531="","",IF($J531="Yes",$Q531+7,IF($G531="No",$Q531+14,$Q531+30)))</f>
        <v/>
      </c>
      <c r="S531" s="47" t="n"/>
      <c r="T531" s="50" t="n"/>
      <c r="U531" s="47">
        <f>IF($F531="","",MIN(24,MAX(1,ROUNDUP(($F531-DayPlan!$C$2+1)/7,0))))</f>
        <v/>
      </c>
      <c r="V531" s="47">
        <f>IF($A531=""," ",4*($J531="Yes")+3*($G531="No")+2*(N($I531)&gt;0)+1*(AND(ISNUMBER($H531),$H531&gt;45))+3*(AND(ISNUMBER($P531),$P531&lt;=TODAY()))-6*($S531="Yes")+(750-ROW())/100000)</f>
        <v/>
      </c>
      <c r="W531" s="47">
        <f>IF(OR($A531="",NOT(ISNUMBER($P531))),"",INT($P531-TODAY()))</f>
        <v/>
      </c>
      <c r="X531" s="47" t="n"/>
    </row>
    <row r="532">
      <c r="A532" s="50" t="n"/>
      <c r="B532" s="47" t="n"/>
      <c r="C532" s="47" t="n"/>
      <c r="D532" s="50" t="n"/>
      <c r="E532" s="50" t="n"/>
      <c r="F532" s="48" t="n"/>
      <c r="G532" s="47" t="n"/>
      <c r="H532" s="47" t="n"/>
      <c r="I532" s="47" t="n"/>
      <c r="J532" s="47" t="n"/>
      <c r="K532" s="47" t="n"/>
      <c r="L532" s="47" t="n"/>
      <c r="M532" s="50" t="n"/>
      <c r="N532" s="50" t="n"/>
      <c r="O532" s="50" t="n"/>
      <c r="P532" s="48">
        <f>IF($F532="","",IF($J532="Yes",$F532+1,IF($G532="No",$F532+2,IF(N($I532)&gt;2,$F532+3,IF(N($I532)&gt;0,$F532+5,$F532+7)))))</f>
        <v/>
      </c>
      <c r="Q532" s="48">
        <f>IF($P532="","",IF($J532="Yes",$P532+3,IF($G532="No",$P532+5,IF(N($I532)&gt;0,$P532+7,$P532+14))))</f>
        <v/>
      </c>
      <c r="R532" s="48">
        <f>IF($Q532="","",IF($J532="Yes",$Q532+7,IF($G532="No",$Q532+14,$Q532+30)))</f>
        <v/>
      </c>
      <c r="S532" s="47" t="n"/>
      <c r="T532" s="50" t="n"/>
      <c r="U532" s="47">
        <f>IF($F532="","",MIN(24,MAX(1,ROUNDUP(($F532-DayPlan!$C$2+1)/7,0))))</f>
        <v/>
      </c>
      <c r="V532" s="47">
        <f>IF($A532=""," ",4*($J532="Yes")+3*($G532="No")+2*(N($I532)&gt;0)+1*(AND(ISNUMBER($H532),$H532&gt;45))+3*(AND(ISNUMBER($P532),$P532&lt;=TODAY()))-6*($S532="Yes")+(750-ROW())/100000)</f>
        <v/>
      </c>
      <c r="W532" s="47">
        <f>IF(OR($A532="",NOT(ISNUMBER($P532))),"",INT($P532-TODAY()))</f>
        <v/>
      </c>
      <c r="X532" s="47" t="n"/>
    </row>
    <row r="533">
      <c r="A533" s="50" t="n"/>
      <c r="B533" s="47" t="n"/>
      <c r="C533" s="47" t="n"/>
      <c r="D533" s="50" t="n"/>
      <c r="E533" s="50" t="n"/>
      <c r="F533" s="48" t="n"/>
      <c r="G533" s="47" t="n"/>
      <c r="H533" s="47" t="n"/>
      <c r="I533" s="47" t="n"/>
      <c r="J533" s="47" t="n"/>
      <c r="K533" s="47" t="n"/>
      <c r="L533" s="47" t="n"/>
      <c r="M533" s="50" t="n"/>
      <c r="N533" s="50" t="n"/>
      <c r="O533" s="50" t="n"/>
      <c r="P533" s="48">
        <f>IF($F533="","",IF($J533="Yes",$F533+1,IF($G533="No",$F533+2,IF(N($I533)&gt;2,$F533+3,IF(N($I533)&gt;0,$F533+5,$F533+7)))))</f>
        <v/>
      </c>
      <c r="Q533" s="48">
        <f>IF($P533="","",IF($J533="Yes",$P533+3,IF($G533="No",$P533+5,IF(N($I533)&gt;0,$P533+7,$P533+14))))</f>
        <v/>
      </c>
      <c r="R533" s="48">
        <f>IF($Q533="","",IF($J533="Yes",$Q533+7,IF($G533="No",$Q533+14,$Q533+30)))</f>
        <v/>
      </c>
      <c r="S533" s="47" t="n"/>
      <c r="T533" s="50" t="n"/>
      <c r="U533" s="47">
        <f>IF($F533="","",MIN(24,MAX(1,ROUNDUP(($F533-DayPlan!$C$2+1)/7,0))))</f>
        <v/>
      </c>
      <c r="V533" s="47">
        <f>IF($A533=""," ",4*($J533="Yes")+3*($G533="No")+2*(N($I533)&gt;0)+1*(AND(ISNUMBER($H533),$H533&gt;45))+3*(AND(ISNUMBER($P533),$P533&lt;=TODAY()))-6*($S533="Yes")+(750-ROW())/100000)</f>
        <v/>
      </c>
      <c r="W533" s="47">
        <f>IF(OR($A533="",NOT(ISNUMBER($P533))),"",INT($P533-TODAY()))</f>
        <v/>
      </c>
      <c r="X533" s="47" t="n"/>
    </row>
    <row r="534">
      <c r="A534" s="50" t="n"/>
      <c r="B534" s="47" t="n"/>
      <c r="C534" s="47" t="n"/>
      <c r="D534" s="50" t="n"/>
      <c r="E534" s="50" t="n"/>
      <c r="F534" s="48" t="n"/>
      <c r="G534" s="47" t="n"/>
      <c r="H534" s="47" t="n"/>
      <c r="I534" s="47" t="n"/>
      <c r="J534" s="47" t="n"/>
      <c r="K534" s="47" t="n"/>
      <c r="L534" s="47" t="n"/>
      <c r="M534" s="50" t="n"/>
      <c r="N534" s="50" t="n"/>
      <c r="O534" s="50" t="n"/>
      <c r="P534" s="48">
        <f>IF($F534="","",IF($J534="Yes",$F534+1,IF($G534="No",$F534+2,IF(N($I534)&gt;2,$F534+3,IF(N($I534)&gt;0,$F534+5,$F534+7)))))</f>
        <v/>
      </c>
      <c r="Q534" s="48">
        <f>IF($P534="","",IF($J534="Yes",$P534+3,IF($G534="No",$P534+5,IF(N($I534)&gt;0,$P534+7,$P534+14))))</f>
        <v/>
      </c>
      <c r="R534" s="48">
        <f>IF($Q534="","",IF($J534="Yes",$Q534+7,IF($G534="No",$Q534+14,$Q534+30)))</f>
        <v/>
      </c>
      <c r="S534" s="47" t="n"/>
      <c r="T534" s="50" t="n"/>
      <c r="U534" s="47">
        <f>IF($F534="","",MIN(24,MAX(1,ROUNDUP(($F534-DayPlan!$C$2+1)/7,0))))</f>
        <v/>
      </c>
      <c r="V534" s="47">
        <f>IF($A534=""," ",4*($J534="Yes")+3*($G534="No")+2*(N($I534)&gt;0)+1*(AND(ISNUMBER($H534),$H534&gt;45))+3*(AND(ISNUMBER($P534),$P534&lt;=TODAY()))-6*($S534="Yes")+(750-ROW())/100000)</f>
        <v/>
      </c>
      <c r="W534" s="47">
        <f>IF(OR($A534="",NOT(ISNUMBER($P534))),"",INT($P534-TODAY()))</f>
        <v/>
      </c>
      <c r="X534" s="47" t="n"/>
    </row>
    <row r="535">
      <c r="A535" s="50" t="n"/>
      <c r="B535" s="47" t="n"/>
      <c r="C535" s="47" t="n"/>
      <c r="D535" s="50" t="n"/>
      <c r="E535" s="50" t="n"/>
      <c r="F535" s="48" t="n"/>
      <c r="G535" s="47" t="n"/>
      <c r="H535" s="47" t="n"/>
      <c r="I535" s="47" t="n"/>
      <c r="J535" s="47" t="n"/>
      <c r="K535" s="47" t="n"/>
      <c r="L535" s="47" t="n"/>
      <c r="M535" s="50" t="n"/>
      <c r="N535" s="50" t="n"/>
      <c r="O535" s="50" t="n"/>
      <c r="P535" s="48">
        <f>IF($F535="","",IF($J535="Yes",$F535+1,IF($G535="No",$F535+2,IF(N($I535)&gt;2,$F535+3,IF(N($I535)&gt;0,$F535+5,$F535+7)))))</f>
        <v/>
      </c>
      <c r="Q535" s="48">
        <f>IF($P535="","",IF($J535="Yes",$P535+3,IF($G535="No",$P535+5,IF(N($I535)&gt;0,$P535+7,$P535+14))))</f>
        <v/>
      </c>
      <c r="R535" s="48">
        <f>IF($Q535="","",IF($J535="Yes",$Q535+7,IF($G535="No",$Q535+14,$Q535+30)))</f>
        <v/>
      </c>
      <c r="S535" s="47" t="n"/>
      <c r="T535" s="50" t="n"/>
      <c r="U535" s="47">
        <f>IF($F535="","",MIN(24,MAX(1,ROUNDUP(($F535-DayPlan!$C$2+1)/7,0))))</f>
        <v/>
      </c>
      <c r="V535" s="47">
        <f>IF($A535=""," ",4*($J535="Yes")+3*($G535="No")+2*(N($I535)&gt;0)+1*(AND(ISNUMBER($H535),$H535&gt;45))+3*(AND(ISNUMBER($P535),$P535&lt;=TODAY()))-6*($S535="Yes")+(750-ROW())/100000)</f>
        <v/>
      </c>
      <c r="W535" s="47">
        <f>IF(OR($A535="",NOT(ISNUMBER($P535))),"",INT($P535-TODAY()))</f>
        <v/>
      </c>
      <c r="X535" s="47" t="n"/>
    </row>
    <row r="536">
      <c r="A536" s="50" t="n"/>
      <c r="B536" s="47" t="n"/>
      <c r="C536" s="47" t="n"/>
      <c r="D536" s="50" t="n"/>
      <c r="E536" s="50" t="n"/>
      <c r="F536" s="48" t="n"/>
      <c r="G536" s="47" t="n"/>
      <c r="H536" s="47" t="n"/>
      <c r="I536" s="47" t="n"/>
      <c r="J536" s="47" t="n"/>
      <c r="K536" s="47" t="n"/>
      <c r="L536" s="47" t="n"/>
      <c r="M536" s="50" t="n"/>
      <c r="N536" s="50" t="n"/>
      <c r="O536" s="50" t="n"/>
      <c r="P536" s="48">
        <f>IF($F536="","",IF($J536="Yes",$F536+1,IF($G536="No",$F536+2,IF(N($I536)&gt;2,$F536+3,IF(N($I536)&gt;0,$F536+5,$F536+7)))))</f>
        <v/>
      </c>
      <c r="Q536" s="48">
        <f>IF($P536="","",IF($J536="Yes",$P536+3,IF($G536="No",$P536+5,IF(N($I536)&gt;0,$P536+7,$P536+14))))</f>
        <v/>
      </c>
      <c r="R536" s="48">
        <f>IF($Q536="","",IF($J536="Yes",$Q536+7,IF($G536="No",$Q536+14,$Q536+30)))</f>
        <v/>
      </c>
      <c r="S536" s="47" t="n"/>
      <c r="T536" s="50" t="n"/>
      <c r="U536" s="47">
        <f>IF($F536="","",MIN(24,MAX(1,ROUNDUP(($F536-DayPlan!$C$2+1)/7,0))))</f>
        <v/>
      </c>
      <c r="V536" s="47">
        <f>IF($A536=""," ",4*($J536="Yes")+3*($G536="No")+2*(N($I536)&gt;0)+1*(AND(ISNUMBER($H536),$H536&gt;45))+3*(AND(ISNUMBER($P536),$P536&lt;=TODAY()))-6*($S536="Yes")+(750-ROW())/100000)</f>
        <v/>
      </c>
      <c r="W536" s="47">
        <f>IF(OR($A536="",NOT(ISNUMBER($P536))),"",INT($P536-TODAY()))</f>
        <v/>
      </c>
      <c r="X536" s="47" t="n"/>
    </row>
    <row r="537">
      <c r="A537" s="50" t="n"/>
      <c r="B537" s="47" t="n"/>
      <c r="C537" s="47" t="n"/>
      <c r="D537" s="50" t="n"/>
      <c r="E537" s="50" t="n"/>
      <c r="F537" s="48" t="n"/>
      <c r="G537" s="47" t="n"/>
      <c r="H537" s="47" t="n"/>
      <c r="I537" s="47" t="n"/>
      <c r="J537" s="47" t="n"/>
      <c r="K537" s="47" t="n"/>
      <c r="L537" s="47" t="n"/>
      <c r="M537" s="50" t="n"/>
      <c r="N537" s="50" t="n"/>
      <c r="O537" s="50" t="n"/>
      <c r="P537" s="48">
        <f>IF($F537="","",IF($J537="Yes",$F537+1,IF($G537="No",$F537+2,IF(N($I537)&gt;2,$F537+3,IF(N($I537)&gt;0,$F537+5,$F537+7)))))</f>
        <v/>
      </c>
      <c r="Q537" s="48">
        <f>IF($P537="","",IF($J537="Yes",$P537+3,IF($G537="No",$P537+5,IF(N($I537)&gt;0,$P537+7,$P537+14))))</f>
        <v/>
      </c>
      <c r="R537" s="48">
        <f>IF($Q537="","",IF($J537="Yes",$Q537+7,IF($G537="No",$Q537+14,$Q537+30)))</f>
        <v/>
      </c>
      <c r="S537" s="47" t="n"/>
      <c r="T537" s="50" t="n"/>
      <c r="U537" s="47">
        <f>IF($F537="","",MIN(24,MAX(1,ROUNDUP(($F537-DayPlan!$C$2+1)/7,0))))</f>
        <v/>
      </c>
      <c r="V537" s="47">
        <f>IF($A537=""," ",4*($J537="Yes")+3*($G537="No")+2*(N($I537)&gt;0)+1*(AND(ISNUMBER($H537),$H537&gt;45))+3*(AND(ISNUMBER($P537),$P537&lt;=TODAY()))-6*($S537="Yes")+(750-ROW())/100000)</f>
        <v/>
      </c>
      <c r="W537" s="47">
        <f>IF(OR($A537="",NOT(ISNUMBER($P537))),"",INT($P537-TODAY()))</f>
        <v/>
      </c>
      <c r="X537" s="47" t="n"/>
    </row>
    <row r="538">
      <c r="A538" s="50" t="n"/>
      <c r="B538" s="47" t="n"/>
      <c r="C538" s="47" t="n"/>
      <c r="D538" s="50" t="n"/>
      <c r="E538" s="50" t="n"/>
      <c r="F538" s="48" t="n"/>
      <c r="G538" s="47" t="n"/>
      <c r="H538" s="47" t="n"/>
      <c r="I538" s="47" t="n"/>
      <c r="J538" s="47" t="n"/>
      <c r="K538" s="47" t="n"/>
      <c r="L538" s="47" t="n"/>
      <c r="M538" s="50" t="n"/>
      <c r="N538" s="50" t="n"/>
      <c r="O538" s="50" t="n"/>
      <c r="P538" s="48">
        <f>IF($F538="","",IF($J538="Yes",$F538+1,IF($G538="No",$F538+2,IF(N($I538)&gt;2,$F538+3,IF(N($I538)&gt;0,$F538+5,$F538+7)))))</f>
        <v/>
      </c>
      <c r="Q538" s="48">
        <f>IF($P538="","",IF($J538="Yes",$P538+3,IF($G538="No",$P538+5,IF(N($I538)&gt;0,$P538+7,$P538+14))))</f>
        <v/>
      </c>
      <c r="R538" s="48">
        <f>IF($Q538="","",IF($J538="Yes",$Q538+7,IF($G538="No",$Q538+14,$Q538+30)))</f>
        <v/>
      </c>
      <c r="S538" s="47" t="n"/>
      <c r="T538" s="50" t="n"/>
      <c r="U538" s="47">
        <f>IF($F538="","",MIN(24,MAX(1,ROUNDUP(($F538-DayPlan!$C$2+1)/7,0))))</f>
        <v/>
      </c>
      <c r="V538" s="47">
        <f>IF($A538=""," ",4*($J538="Yes")+3*($G538="No")+2*(N($I538)&gt;0)+1*(AND(ISNUMBER($H538),$H538&gt;45))+3*(AND(ISNUMBER($P538),$P538&lt;=TODAY()))-6*($S538="Yes")+(750-ROW())/100000)</f>
        <v/>
      </c>
      <c r="W538" s="47">
        <f>IF(OR($A538="",NOT(ISNUMBER($P538))),"",INT($P538-TODAY()))</f>
        <v/>
      </c>
      <c r="X538" s="47" t="n"/>
    </row>
    <row r="539">
      <c r="A539" s="50" t="n"/>
      <c r="B539" s="47" t="n"/>
      <c r="C539" s="47" t="n"/>
      <c r="D539" s="50" t="n"/>
      <c r="E539" s="50" t="n"/>
      <c r="F539" s="48" t="n"/>
      <c r="G539" s="47" t="n"/>
      <c r="H539" s="47" t="n"/>
      <c r="I539" s="47" t="n"/>
      <c r="J539" s="47" t="n"/>
      <c r="K539" s="47" t="n"/>
      <c r="L539" s="47" t="n"/>
      <c r="M539" s="50" t="n"/>
      <c r="N539" s="50" t="n"/>
      <c r="O539" s="50" t="n"/>
      <c r="P539" s="48">
        <f>IF($F539="","",IF($J539="Yes",$F539+1,IF($G539="No",$F539+2,IF(N($I539)&gt;2,$F539+3,IF(N($I539)&gt;0,$F539+5,$F539+7)))))</f>
        <v/>
      </c>
      <c r="Q539" s="48">
        <f>IF($P539="","",IF($J539="Yes",$P539+3,IF($G539="No",$P539+5,IF(N($I539)&gt;0,$P539+7,$P539+14))))</f>
        <v/>
      </c>
      <c r="R539" s="48">
        <f>IF($Q539="","",IF($J539="Yes",$Q539+7,IF($G539="No",$Q539+14,$Q539+30)))</f>
        <v/>
      </c>
      <c r="S539" s="47" t="n"/>
      <c r="T539" s="50" t="n"/>
      <c r="U539" s="47">
        <f>IF($F539="","",MIN(24,MAX(1,ROUNDUP(($F539-DayPlan!$C$2+1)/7,0))))</f>
        <v/>
      </c>
      <c r="V539" s="47">
        <f>IF($A539=""," ",4*($J539="Yes")+3*($G539="No")+2*(N($I539)&gt;0)+1*(AND(ISNUMBER($H539),$H539&gt;45))+3*(AND(ISNUMBER($P539),$P539&lt;=TODAY()))-6*($S539="Yes")+(750-ROW())/100000)</f>
        <v/>
      </c>
      <c r="W539" s="47">
        <f>IF(OR($A539="",NOT(ISNUMBER($P539))),"",INT($P539-TODAY()))</f>
        <v/>
      </c>
      <c r="X539" s="47" t="n"/>
    </row>
    <row r="540">
      <c r="A540" s="50" t="n"/>
      <c r="B540" s="47" t="n"/>
      <c r="C540" s="47" t="n"/>
      <c r="D540" s="50" t="n"/>
      <c r="E540" s="50" t="n"/>
      <c r="F540" s="48" t="n"/>
      <c r="G540" s="47" t="n"/>
      <c r="H540" s="47" t="n"/>
      <c r="I540" s="47" t="n"/>
      <c r="J540" s="47" t="n"/>
      <c r="K540" s="47" t="n"/>
      <c r="L540" s="47" t="n"/>
      <c r="M540" s="50" t="n"/>
      <c r="N540" s="50" t="n"/>
      <c r="O540" s="50" t="n"/>
      <c r="P540" s="48">
        <f>IF($F540="","",IF($J540="Yes",$F540+1,IF($G540="No",$F540+2,IF(N($I540)&gt;2,$F540+3,IF(N($I540)&gt;0,$F540+5,$F540+7)))))</f>
        <v/>
      </c>
      <c r="Q540" s="48">
        <f>IF($P540="","",IF($J540="Yes",$P540+3,IF($G540="No",$P540+5,IF(N($I540)&gt;0,$P540+7,$P540+14))))</f>
        <v/>
      </c>
      <c r="R540" s="48">
        <f>IF($Q540="","",IF($J540="Yes",$Q540+7,IF($G540="No",$Q540+14,$Q540+30)))</f>
        <v/>
      </c>
      <c r="S540" s="47" t="n"/>
      <c r="T540" s="50" t="n"/>
      <c r="U540" s="47">
        <f>IF($F540="","",MIN(24,MAX(1,ROUNDUP(($F540-DayPlan!$C$2+1)/7,0))))</f>
        <v/>
      </c>
      <c r="V540" s="47">
        <f>IF($A540=""," ",4*($J540="Yes")+3*($G540="No")+2*(N($I540)&gt;0)+1*(AND(ISNUMBER($H540),$H540&gt;45))+3*(AND(ISNUMBER($P540),$P540&lt;=TODAY()))-6*($S540="Yes")+(750-ROW())/100000)</f>
        <v/>
      </c>
      <c r="W540" s="47">
        <f>IF(OR($A540="",NOT(ISNUMBER($P540))),"",INT($P540-TODAY()))</f>
        <v/>
      </c>
      <c r="X540" s="47" t="n"/>
    </row>
    <row r="541">
      <c r="A541" s="50" t="n"/>
      <c r="B541" s="47" t="n"/>
      <c r="C541" s="47" t="n"/>
      <c r="D541" s="50" t="n"/>
      <c r="E541" s="50" t="n"/>
      <c r="F541" s="48" t="n"/>
      <c r="G541" s="47" t="n"/>
      <c r="H541" s="47" t="n"/>
      <c r="I541" s="47" t="n"/>
      <c r="J541" s="47" t="n"/>
      <c r="K541" s="47" t="n"/>
      <c r="L541" s="47" t="n"/>
      <c r="M541" s="50" t="n"/>
      <c r="N541" s="50" t="n"/>
      <c r="O541" s="50" t="n"/>
      <c r="P541" s="48">
        <f>IF($F541="","",IF($J541="Yes",$F541+1,IF($G541="No",$F541+2,IF(N($I541)&gt;2,$F541+3,IF(N($I541)&gt;0,$F541+5,$F541+7)))))</f>
        <v/>
      </c>
      <c r="Q541" s="48">
        <f>IF($P541="","",IF($J541="Yes",$P541+3,IF($G541="No",$P541+5,IF(N($I541)&gt;0,$P541+7,$P541+14))))</f>
        <v/>
      </c>
      <c r="R541" s="48">
        <f>IF($Q541="","",IF($J541="Yes",$Q541+7,IF($G541="No",$Q541+14,$Q541+30)))</f>
        <v/>
      </c>
      <c r="S541" s="47" t="n"/>
      <c r="T541" s="50" t="n"/>
      <c r="U541" s="47">
        <f>IF($F541="","",MIN(24,MAX(1,ROUNDUP(($F541-DayPlan!$C$2+1)/7,0))))</f>
        <v/>
      </c>
      <c r="V541" s="47">
        <f>IF($A541=""," ",4*($J541="Yes")+3*($G541="No")+2*(N($I541)&gt;0)+1*(AND(ISNUMBER($H541),$H541&gt;45))+3*(AND(ISNUMBER($P541),$P541&lt;=TODAY()))-6*($S541="Yes")+(750-ROW())/100000)</f>
        <v/>
      </c>
      <c r="W541" s="47">
        <f>IF(OR($A541="",NOT(ISNUMBER($P541))),"",INT($P541-TODAY()))</f>
        <v/>
      </c>
      <c r="X541" s="47" t="n"/>
    </row>
    <row r="542">
      <c r="A542" s="50" t="n"/>
      <c r="B542" s="47" t="n"/>
      <c r="C542" s="47" t="n"/>
      <c r="D542" s="50" t="n"/>
      <c r="E542" s="50" t="n"/>
      <c r="F542" s="48" t="n"/>
      <c r="G542" s="47" t="n"/>
      <c r="H542" s="47" t="n"/>
      <c r="I542" s="47" t="n"/>
      <c r="J542" s="47" t="n"/>
      <c r="K542" s="47" t="n"/>
      <c r="L542" s="47" t="n"/>
      <c r="M542" s="50" t="n"/>
      <c r="N542" s="50" t="n"/>
      <c r="O542" s="50" t="n"/>
      <c r="P542" s="48">
        <f>IF($F542="","",IF($J542="Yes",$F542+1,IF($G542="No",$F542+2,IF(N($I542)&gt;2,$F542+3,IF(N($I542)&gt;0,$F542+5,$F542+7)))))</f>
        <v/>
      </c>
      <c r="Q542" s="48">
        <f>IF($P542="","",IF($J542="Yes",$P542+3,IF($G542="No",$P542+5,IF(N($I542)&gt;0,$P542+7,$P542+14))))</f>
        <v/>
      </c>
      <c r="R542" s="48">
        <f>IF($Q542="","",IF($J542="Yes",$Q542+7,IF($G542="No",$Q542+14,$Q542+30)))</f>
        <v/>
      </c>
      <c r="S542" s="47" t="n"/>
      <c r="T542" s="50" t="n"/>
      <c r="U542" s="47">
        <f>IF($F542="","",MIN(24,MAX(1,ROUNDUP(($F542-DayPlan!$C$2+1)/7,0))))</f>
        <v/>
      </c>
      <c r="V542" s="47">
        <f>IF($A542=""," ",4*($J542="Yes")+3*($G542="No")+2*(N($I542)&gt;0)+1*(AND(ISNUMBER($H542),$H542&gt;45))+3*(AND(ISNUMBER($P542),$P542&lt;=TODAY()))-6*($S542="Yes")+(750-ROW())/100000)</f>
        <v/>
      </c>
      <c r="W542" s="47">
        <f>IF(OR($A542="",NOT(ISNUMBER($P542))),"",INT($P542-TODAY()))</f>
        <v/>
      </c>
      <c r="X542" s="47" t="n"/>
    </row>
    <row r="543">
      <c r="A543" s="50" t="n"/>
      <c r="B543" s="47" t="n"/>
      <c r="C543" s="47" t="n"/>
      <c r="D543" s="50" t="n"/>
      <c r="E543" s="50" t="n"/>
      <c r="F543" s="48" t="n"/>
      <c r="G543" s="47" t="n"/>
      <c r="H543" s="47" t="n"/>
      <c r="I543" s="47" t="n"/>
      <c r="J543" s="47" t="n"/>
      <c r="K543" s="47" t="n"/>
      <c r="L543" s="47" t="n"/>
      <c r="M543" s="50" t="n"/>
      <c r="N543" s="50" t="n"/>
      <c r="O543" s="50" t="n"/>
      <c r="P543" s="48">
        <f>IF($F543="","",IF($J543="Yes",$F543+1,IF($G543="No",$F543+2,IF(N($I543)&gt;2,$F543+3,IF(N($I543)&gt;0,$F543+5,$F543+7)))))</f>
        <v/>
      </c>
      <c r="Q543" s="48">
        <f>IF($P543="","",IF($J543="Yes",$P543+3,IF($G543="No",$P543+5,IF(N($I543)&gt;0,$P543+7,$P543+14))))</f>
        <v/>
      </c>
      <c r="R543" s="48">
        <f>IF($Q543="","",IF($J543="Yes",$Q543+7,IF($G543="No",$Q543+14,$Q543+30)))</f>
        <v/>
      </c>
      <c r="S543" s="47" t="n"/>
      <c r="T543" s="50" t="n"/>
      <c r="U543" s="47">
        <f>IF($F543="","",MIN(24,MAX(1,ROUNDUP(($F543-DayPlan!$C$2+1)/7,0))))</f>
        <v/>
      </c>
      <c r="V543" s="47">
        <f>IF($A543=""," ",4*($J543="Yes")+3*($G543="No")+2*(N($I543)&gt;0)+1*(AND(ISNUMBER($H543),$H543&gt;45))+3*(AND(ISNUMBER($P543),$P543&lt;=TODAY()))-6*($S543="Yes")+(750-ROW())/100000)</f>
        <v/>
      </c>
      <c r="W543" s="47">
        <f>IF(OR($A543="",NOT(ISNUMBER($P543))),"",INT($P543-TODAY()))</f>
        <v/>
      </c>
      <c r="X543" s="47" t="n"/>
    </row>
    <row r="544">
      <c r="A544" s="50" t="n"/>
      <c r="B544" s="47" t="n"/>
      <c r="C544" s="47" t="n"/>
      <c r="D544" s="50" t="n"/>
      <c r="E544" s="50" t="n"/>
      <c r="F544" s="48" t="n"/>
      <c r="G544" s="47" t="n"/>
      <c r="H544" s="47" t="n"/>
      <c r="I544" s="47" t="n"/>
      <c r="J544" s="47" t="n"/>
      <c r="K544" s="47" t="n"/>
      <c r="L544" s="47" t="n"/>
      <c r="M544" s="50" t="n"/>
      <c r="N544" s="50" t="n"/>
      <c r="O544" s="50" t="n"/>
      <c r="P544" s="48">
        <f>IF($F544="","",IF($J544="Yes",$F544+1,IF($G544="No",$F544+2,IF(N($I544)&gt;2,$F544+3,IF(N($I544)&gt;0,$F544+5,$F544+7)))))</f>
        <v/>
      </c>
      <c r="Q544" s="48">
        <f>IF($P544="","",IF($J544="Yes",$P544+3,IF($G544="No",$P544+5,IF(N($I544)&gt;0,$P544+7,$P544+14))))</f>
        <v/>
      </c>
      <c r="R544" s="48">
        <f>IF($Q544="","",IF($J544="Yes",$Q544+7,IF($G544="No",$Q544+14,$Q544+30)))</f>
        <v/>
      </c>
      <c r="S544" s="47" t="n"/>
      <c r="T544" s="50" t="n"/>
      <c r="U544" s="47">
        <f>IF($F544="","",MIN(24,MAX(1,ROUNDUP(($F544-DayPlan!$C$2+1)/7,0))))</f>
        <v/>
      </c>
      <c r="V544" s="47">
        <f>IF($A544=""," ",4*($J544="Yes")+3*($G544="No")+2*(N($I544)&gt;0)+1*(AND(ISNUMBER($H544),$H544&gt;45))+3*(AND(ISNUMBER($P544),$P544&lt;=TODAY()))-6*($S544="Yes")+(750-ROW())/100000)</f>
        <v/>
      </c>
      <c r="W544" s="47">
        <f>IF(OR($A544="",NOT(ISNUMBER($P544))),"",INT($P544-TODAY()))</f>
        <v/>
      </c>
      <c r="X544" s="47" t="n"/>
    </row>
    <row r="545">
      <c r="A545" s="50" t="n"/>
      <c r="B545" s="47" t="n"/>
      <c r="C545" s="47" t="n"/>
      <c r="D545" s="50" t="n"/>
      <c r="E545" s="50" t="n"/>
      <c r="F545" s="48" t="n"/>
      <c r="G545" s="47" t="n"/>
      <c r="H545" s="47" t="n"/>
      <c r="I545" s="47" t="n"/>
      <c r="J545" s="47" t="n"/>
      <c r="K545" s="47" t="n"/>
      <c r="L545" s="47" t="n"/>
      <c r="M545" s="50" t="n"/>
      <c r="N545" s="50" t="n"/>
      <c r="O545" s="50" t="n"/>
      <c r="P545" s="48">
        <f>IF($F545="","",IF($J545="Yes",$F545+1,IF($G545="No",$F545+2,IF(N($I545)&gt;2,$F545+3,IF(N($I545)&gt;0,$F545+5,$F545+7)))))</f>
        <v/>
      </c>
      <c r="Q545" s="48">
        <f>IF($P545="","",IF($J545="Yes",$P545+3,IF($G545="No",$P545+5,IF(N($I545)&gt;0,$P545+7,$P545+14))))</f>
        <v/>
      </c>
      <c r="R545" s="48">
        <f>IF($Q545="","",IF($J545="Yes",$Q545+7,IF($G545="No",$Q545+14,$Q545+30)))</f>
        <v/>
      </c>
      <c r="S545" s="47" t="n"/>
      <c r="T545" s="50" t="n"/>
      <c r="U545" s="47">
        <f>IF($F545="","",MIN(24,MAX(1,ROUNDUP(($F545-DayPlan!$C$2+1)/7,0))))</f>
        <v/>
      </c>
      <c r="V545" s="47">
        <f>IF($A545=""," ",4*($J545="Yes")+3*($G545="No")+2*(N($I545)&gt;0)+1*(AND(ISNUMBER($H545),$H545&gt;45))+3*(AND(ISNUMBER($P545),$P545&lt;=TODAY()))-6*($S545="Yes")+(750-ROW())/100000)</f>
        <v/>
      </c>
      <c r="W545" s="47">
        <f>IF(OR($A545="",NOT(ISNUMBER($P545))),"",INT($P545-TODAY()))</f>
        <v/>
      </c>
      <c r="X545" s="47" t="n"/>
    </row>
    <row r="546">
      <c r="A546" s="50" t="n"/>
      <c r="B546" s="47" t="n"/>
      <c r="C546" s="47" t="n"/>
      <c r="D546" s="50" t="n"/>
      <c r="E546" s="50" t="n"/>
      <c r="F546" s="48" t="n"/>
      <c r="G546" s="47" t="n"/>
      <c r="H546" s="47" t="n"/>
      <c r="I546" s="47" t="n"/>
      <c r="J546" s="47" t="n"/>
      <c r="K546" s="47" t="n"/>
      <c r="L546" s="47" t="n"/>
      <c r="M546" s="50" t="n"/>
      <c r="N546" s="50" t="n"/>
      <c r="O546" s="50" t="n"/>
      <c r="P546" s="48">
        <f>IF($F546="","",IF($J546="Yes",$F546+1,IF($G546="No",$F546+2,IF(N($I546)&gt;2,$F546+3,IF(N($I546)&gt;0,$F546+5,$F546+7)))))</f>
        <v/>
      </c>
      <c r="Q546" s="48">
        <f>IF($P546="","",IF($J546="Yes",$P546+3,IF($G546="No",$P546+5,IF(N($I546)&gt;0,$P546+7,$P546+14))))</f>
        <v/>
      </c>
      <c r="R546" s="48">
        <f>IF($Q546="","",IF($J546="Yes",$Q546+7,IF($G546="No",$Q546+14,$Q546+30)))</f>
        <v/>
      </c>
      <c r="S546" s="47" t="n"/>
      <c r="T546" s="50" t="n"/>
      <c r="U546" s="47">
        <f>IF($F546="","",MIN(24,MAX(1,ROUNDUP(($F546-DayPlan!$C$2+1)/7,0))))</f>
        <v/>
      </c>
      <c r="V546" s="47">
        <f>IF($A546=""," ",4*($J546="Yes")+3*($G546="No")+2*(N($I546)&gt;0)+1*(AND(ISNUMBER($H546),$H546&gt;45))+3*(AND(ISNUMBER($P546),$P546&lt;=TODAY()))-6*($S546="Yes")+(750-ROW())/100000)</f>
        <v/>
      </c>
      <c r="W546" s="47">
        <f>IF(OR($A546="",NOT(ISNUMBER($P546))),"",INT($P546-TODAY()))</f>
        <v/>
      </c>
      <c r="X546" s="47" t="n"/>
    </row>
    <row r="547">
      <c r="A547" s="50" t="n"/>
      <c r="B547" s="47" t="n"/>
      <c r="C547" s="47" t="n"/>
      <c r="D547" s="50" t="n"/>
      <c r="E547" s="50" t="n"/>
      <c r="F547" s="48" t="n"/>
      <c r="G547" s="47" t="n"/>
      <c r="H547" s="47" t="n"/>
      <c r="I547" s="47" t="n"/>
      <c r="J547" s="47" t="n"/>
      <c r="K547" s="47" t="n"/>
      <c r="L547" s="47" t="n"/>
      <c r="M547" s="50" t="n"/>
      <c r="N547" s="50" t="n"/>
      <c r="O547" s="50" t="n"/>
      <c r="P547" s="48">
        <f>IF($F547="","",IF($J547="Yes",$F547+1,IF($G547="No",$F547+2,IF(N($I547)&gt;2,$F547+3,IF(N($I547)&gt;0,$F547+5,$F547+7)))))</f>
        <v/>
      </c>
      <c r="Q547" s="48">
        <f>IF($P547="","",IF($J547="Yes",$P547+3,IF($G547="No",$P547+5,IF(N($I547)&gt;0,$P547+7,$P547+14))))</f>
        <v/>
      </c>
      <c r="R547" s="48">
        <f>IF($Q547="","",IF($J547="Yes",$Q547+7,IF($G547="No",$Q547+14,$Q547+30)))</f>
        <v/>
      </c>
      <c r="S547" s="47" t="n"/>
      <c r="T547" s="50" t="n"/>
      <c r="U547" s="47">
        <f>IF($F547="","",MIN(24,MAX(1,ROUNDUP(($F547-DayPlan!$C$2+1)/7,0))))</f>
        <v/>
      </c>
      <c r="V547" s="47">
        <f>IF($A547=""," ",4*($J547="Yes")+3*($G547="No")+2*(N($I547)&gt;0)+1*(AND(ISNUMBER($H547),$H547&gt;45))+3*(AND(ISNUMBER($P547),$P547&lt;=TODAY()))-6*($S547="Yes")+(750-ROW())/100000)</f>
        <v/>
      </c>
      <c r="W547" s="47">
        <f>IF(OR($A547="",NOT(ISNUMBER($P547))),"",INT($P547-TODAY()))</f>
        <v/>
      </c>
      <c r="X547" s="47" t="n"/>
    </row>
    <row r="548">
      <c r="A548" s="50" t="n"/>
      <c r="B548" s="47" t="n"/>
      <c r="C548" s="47" t="n"/>
      <c r="D548" s="50" t="n"/>
      <c r="E548" s="50" t="n"/>
      <c r="F548" s="48" t="n"/>
      <c r="G548" s="47" t="n"/>
      <c r="H548" s="47" t="n"/>
      <c r="I548" s="47" t="n"/>
      <c r="J548" s="47" t="n"/>
      <c r="K548" s="47" t="n"/>
      <c r="L548" s="47" t="n"/>
      <c r="M548" s="50" t="n"/>
      <c r="N548" s="50" t="n"/>
      <c r="O548" s="50" t="n"/>
      <c r="P548" s="48">
        <f>IF($F548="","",IF($J548="Yes",$F548+1,IF($G548="No",$F548+2,IF(N($I548)&gt;2,$F548+3,IF(N($I548)&gt;0,$F548+5,$F548+7)))))</f>
        <v/>
      </c>
      <c r="Q548" s="48">
        <f>IF($P548="","",IF($J548="Yes",$P548+3,IF($G548="No",$P548+5,IF(N($I548)&gt;0,$P548+7,$P548+14))))</f>
        <v/>
      </c>
      <c r="R548" s="48">
        <f>IF($Q548="","",IF($J548="Yes",$Q548+7,IF($G548="No",$Q548+14,$Q548+30)))</f>
        <v/>
      </c>
      <c r="S548" s="47" t="n"/>
      <c r="T548" s="50" t="n"/>
      <c r="U548" s="47">
        <f>IF($F548="","",MIN(24,MAX(1,ROUNDUP(($F548-DayPlan!$C$2+1)/7,0))))</f>
        <v/>
      </c>
      <c r="V548" s="47">
        <f>IF($A548=""," ",4*($J548="Yes")+3*($G548="No")+2*(N($I548)&gt;0)+1*(AND(ISNUMBER($H548),$H548&gt;45))+3*(AND(ISNUMBER($P548),$P548&lt;=TODAY()))-6*($S548="Yes")+(750-ROW())/100000)</f>
        <v/>
      </c>
      <c r="W548" s="47">
        <f>IF(OR($A548="",NOT(ISNUMBER($P548))),"",INT($P548-TODAY()))</f>
        <v/>
      </c>
      <c r="X548" s="47" t="n"/>
    </row>
    <row r="549">
      <c r="A549" s="50" t="n"/>
      <c r="B549" s="47" t="n"/>
      <c r="C549" s="47" t="n"/>
      <c r="D549" s="50" t="n"/>
      <c r="E549" s="50" t="n"/>
      <c r="F549" s="48" t="n"/>
      <c r="G549" s="47" t="n"/>
      <c r="H549" s="47" t="n"/>
      <c r="I549" s="47" t="n"/>
      <c r="J549" s="47" t="n"/>
      <c r="K549" s="47" t="n"/>
      <c r="L549" s="47" t="n"/>
      <c r="M549" s="50" t="n"/>
      <c r="N549" s="50" t="n"/>
      <c r="O549" s="50" t="n"/>
      <c r="P549" s="48">
        <f>IF($F549="","",IF($J549="Yes",$F549+1,IF($G549="No",$F549+2,IF(N($I549)&gt;2,$F549+3,IF(N($I549)&gt;0,$F549+5,$F549+7)))))</f>
        <v/>
      </c>
      <c r="Q549" s="48">
        <f>IF($P549="","",IF($J549="Yes",$P549+3,IF($G549="No",$P549+5,IF(N($I549)&gt;0,$P549+7,$P549+14))))</f>
        <v/>
      </c>
      <c r="R549" s="48">
        <f>IF($Q549="","",IF($J549="Yes",$Q549+7,IF($G549="No",$Q549+14,$Q549+30)))</f>
        <v/>
      </c>
      <c r="S549" s="47" t="n"/>
      <c r="T549" s="50" t="n"/>
      <c r="U549" s="47">
        <f>IF($F549="","",MIN(24,MAX(1,ROUNDUP(($F549-DayPlan!$C$2+1)/7,0))))</f>
        <v/>
      </c>
      <c r="V549" s="47">
        <f>IF($A549=""," ",4*($J549="Yes")+3*($G549="No")+2*(N($I549)&gt;0)+1*(AND(ISNUMBER($H549),$H549&gt;45))+3*(AND(ISNUMBER($P549),$P549&lt;=TODAY()))-6*($S549="Yes")+(750-ROW())/100000)</f>
        <v/>
      </c>
      <c r="W549" s="47">
        <f>IF(OR($A549="",NOT(ISNUMBER($P549))),"",INT($P549-TODAY()))</f>
        <v/>
      </c>
      <c r="X549" s="47" t="n"/>
    </row>
    <row r="550">
      <c r="A550" s="50" t="n"/>
      <c r="B550" s="47" t="n"/>
      <c r="C550" s="47" t="n"/>
      <c r="D550" s="50" t="n"/>
      <c r="E550" s="50" t="n"/>
      <c r="F550" s="48" t="n"/>
      <c r="G550" s="47" t="n"/>
      <c r="H550" s="47" t="n"/>
      <c r="I550" s="47" t="n"/>
      <c r="J550" s="47" t="n"/>
      <c r="K550" s="47" t="n"/>
      <c r="L550" s="47" t="n"/>
      <c r="M550" s="50" t="n"/>
      <c r="N550" s="50" t="n"/>
      <c r="O550" s="50" t="n"/>
      <c r="P550" s="48">
        <f>IF($F550="","",IF($J550="Yes",$F550+1,IF($G550="No",$F550+2,IF(N($I550)&gt;2,$F550+3,IF(N($I550)&gt;0,$F550+5,$F550+7)))))</f>
        <v/>
      </c>
      <c r="Q550" s="48">
        <f>IF($P550="","",IF($J550="Yes",$P550+3,IF($G550="No",$P550+5,IF(N($I550)&gt;0,$P550+7,$P550+14))))</f>
        <v/>
      </c>
      <c r="R550" s="48">
        <f>IF($Q550="","",IF($J550="Yes",$Q550+7,IF($G550="No",$Q550+14,$Q550+30)))</f>
        <v/>
      </c>
      <c r="S550" s="47" t="n"/>
      <c r="T550" s="50" t="n"/>
      <c r="U550" s="47">
        <f>IF($F550="","",MIN(24,MAX(1,ROUNDUP(($F550-DayPlan!$C$2+1)/7,0))))</f>
        <v/>
      </c>
      <c r="V550" s="47">
        <f>IF($A550=""," ",4*($J550="Yes")+3*($G550="No")+2*(N($I550)&gt;0)+1*(AND(ISNUMBER($H550),$H550&gt;45))+3*(AND(ISNUMBER($P550),$P550&lt;=TODAY()))-6*($S550="Yes")+(750-ROW())/100000)</f>
        <v/>
      </c>
      <c r="W550" s="47">
        <f>IF(OR($A550="",NOT(ISNUMBER($P550))),"",INT($P550-TODAY()))</f>
        <v/>
      </c>
      <c r="X550" s="47" t="n"/>
    </row>
    <row r="551">
      <c r="A551" s="50" t="n"/>
      <c r="B551" s="47" t="n"/>
      <c r="C551" s="47" t="n"/>
      <c r="D551" s="50" t="n"/>
      <c r="E551" s="50" t="n"/>
      <c r="F551" s="48" t="n"/>
      <c r="G551" s="47" t="n"/>
      <c r="H551" s="47" t="n"/>
      <c r="I551" s="47" t="n"/>
      <c r="J551" s="47" t="n"/>
      <c r="K551" s="47" t="n"/>
      <c r="L551" s="47" t="n"/>
      <c r="M551" s="50" t="n"/>
      <c r="N551" s="50" t="n"/>
      <c r="O551" s="50" t="n"/>
      <c r="P551" s="48">
        <f>IF($F551="","",IF($J551="Yes",$F551+1,IF($G551="No",$F551+2,IF(N($I551)&gt;2,$F551+3,IF(N($I551)&gt;0,$F551+5,$F551+7)))))</f>
        <v/>
      </c>
      <c r="Q551" s="48">
        <f>IF($P551="","",IF($J551="Yes",$P551+3,IF($G551="No",$P551+5,IF(N($I551)&gt;0,$P551+7,$P551+14))))</f>
        <v/>
      </c>
      <c r="R551" s="48">
        <f>IF($Q551="","",IF($J551="Yes",$Q551+7,IF($G551="No",$Q551+14,$Q551+30)))</f>
        <v/>
      </c>
      <c r="S551" s="47" t="n"/>
      <c r="T551" s="50" t="n"/>
      <c r="U551" s="47">
        <f>IF($F551="","",MIN(24,MAX(1,ROUNDUP(($F551-DayPlan!$C$2+1)/7,0))))</f>
        <v/>
      </c>
      <c r="V551" s="47">
        <f>IF($A551=""," ",4*($J551="Yes")+3*($G551="No")+2*(N($I551)&gt;0)+1*(AND(ISNUMBER($H551),$H551&gt;45))+3*(AND(ISNUMBER($P551),$P551&lt;=TODAY()))-6*($S551="Yes")+(750-ROW())/100000)</f>
        <v/>
      </c>
      <c r="W551" s="47">
        <f>IF(OR($A551="",NOT(ISNUMBER($P551))),"",INT($P551-TODAY()))</f>
        <v/>
      </c>
      <c r="X551" s="47" t="n"/>
    </row>
    <row r="552">
      <c r="A552" s="50" t="n"/>
      <c r="B552" s="47" t="n"/>
      <c r="C552" s="47" t="n"/>
      <c r="D552" s="50" t="n"/>
      <c r="E552" s="50" t="n"/>
      <c r="F552" s="48" t="n"/>
      <c r="G552" s="47" t="n"/>
      <c r="H552" s="47" t="n"/>
      <c r="I552" s="47" t="n"/>
      <c r="J552" s="47" t="n"/>
      <c r="K552" s="47" t="n"/>
      <c r="L552" s="47" t="n"/>
      <c r="M552" s="50" t="n"/>
      <c r="N552" s="50" t="n"/>
      <c r="O552" s="50" t="n"/>
      <c r="P552" s="48">
        <f>IF($F552="","",IF($J552="Yes",$F552+1,IF($G552="No",$F552+2,IF(N($I552)&gt;2,$F552+3,IF(N($I552)&gt;0,$F552+5,$F552+7)))))</f>
        <v/>
      </c>
      <c r="Q552" s="48">
        <f>IF($P552="","",IF($J552="Yes",$P552+3,IF($G552="No",$P552+5,IF(N($I552)&gt;0,$P552+7,$P552+14))))</f>
        <v/>
      </c>
      <c r="R552" s="48">
        <f>IF($Q552="","",IF($J552="Yes",$Q552+7,IF($G552="No",$Q552+14,$Q552+30)))</f>
        <v/>
      </c>
      <c r="S552" s="47" t="n"/>
      <c r="T552" s="50" t="n"/>
      <c r="U552" s="47">
        <f>IF($F552="","",MIN(24,MAX(1,ROUNDUP(($F552-DayPlan!$C$2+1)/7,0))))</f>
        <v/>
      </c>
      <c r="V552" s="47">
        <f>IF($A552=""," ",4*($J552="Yes")+3*($G552="No")+2*(N($I552)&gt;0)+1*(AND(ISNUMBER($H552),$H552&gt;45))+3*(AND(ISNUMBER($P552),$P552&lt;=TODAY()))-6*($S552="Yes")+(750-ROW())/100000)</f>
        <v/>
      </c>
      <c r="W552" s="47">
        <f>IF(OR($A552="",NOT(ISNUMBER($P552))),"",INT($P552-TODAY()))</f>
        <v/>
      </c>
      <c r="X552" s="47" t="n"/>
    </row>
    <row r="553">
      <c r="A553" s="50" t="n"/>
      <c r="B553" s="47" t="n"/>
      <c r="C553" s="47" t="n"/>
      <c r="D553" s="50" t="n"/>
      <c r="E553" s="50" t="n"/>
      <c r="F553" s="48" t="n"/>
      <c r="G553" s="47" t="n"/>
      <c r="H553" s="47" t="n"/>
      <c r="I553" s="47" t="n"/>
      <c r="J553" s="47" t="n"/>
      <c r="K553" s="47" t="n"/>
      <c r="L553" s="47" t="n"/>
      <c r="M553" s="50" t="n"/>
      <c r="N553" s="50" t="n"/>
      <c r="O553" s="50" t="n"/>
      <c r="P553" s="48">
        <f>IF($F553="","",IF($J553="Yes",$F553+1,IF($G553="No",$F553+2,IF(N($I553)&gt;2,$F553+3,IF(N($I553)&gt;0,$F553+5,$F553+7)))))</f>
        <v/>
      </c>
      <c r="Q553" s="48">
        <f>IF($P553="","",IF($J553="Yes",$P553+3,IF($G553="No",$P553+5,IF(N($I553)&gt;0,$P553+7,$P553+14))))</f>
        <v/>
      </c>
      <c r="R553" s="48">
        <f>IF($Q553="","",IF($J553="Yes",$Q553+7,IF($G553="No",$Q553+14,$Q553+30)))</f>
        <v/>
      </c>
      <c r="S553" s="47" t="n"/>
      <c r="T553" s="50" t="n"/>
      <c r="U553" s="47">
        <f>IF($F553="","",MIN(24,MAX(1,ROUNDUP(($F553-DayPlan!$C$2+1)/7,0))))</f>
        <v/>
      </c>
      <c r="V553" s="47">
        <f>IF($A553=""," ",4*($J553="Yes")+3*($G553="No")+2*(N($I553)&gt;0)+1*(AND(ISNUMBER($H553),$H553&gt;45))+3*(AND(ISNUMBER($P553),$P553&lt;=TODAY()))-6*($S553="Yes")+(750-ROW())/100000)</f>
        <v/>
      </c>
      <c r="W553" s="47">
        <f>IF(OR($A553="",NOT(ISNUMBER($P553))),"",INT($P553-TODAY()))</f>
        <v/>
      </c>
      <c r="X553" s="47" t="n"/>
    </row>
    <row r="554">
      <c r="A554" s="50" t="n"/>
      <c r="B554" s="47" t="n"/>
      <c r="C554" s="47" t="n"/>
      <c r="D554" s="50" t="n"/>
      <c r="E554" s="50" t="n"/>
      <c r="F554" s="48" t="n"/>
      <c r="G554" s="47" t="n"/>
      <c r="H554" s="47" t="n"/>
      <c r="I554" s="47" t="n"/>
      <c r="J554" s="47" t="n"/>
      <c r="K554" s="47" t="n"/>
      <c r="L554" s="47" t="n"/>
      <c r="M554" s="50" t="n"/>
      <c r="N554" s="50" t="n"/>
      <c r="O554" s="50" t="n"/>
      <c r="P554" s="48">
        <f>IF($F554="","",IF($J554="Yes",$F554+1,IF($G554="No",$F554+2,IF(N($I554)&gt;2,$F554+3,IF(N($I554)&gt;0,$F554+5,$F554+7)))))</f>
        <v/>
      </c>
      <c r="Q554" s="48">
        <f>IF($P554="","",IF($J554="Yes",$P554+3,IF($G554="No",$P554+5,IF(N($I554)&gt;0,$P554+7,$P554+14))))</f>
        <v/>
      </c>
      <c r="R554" s="48">
        <f>IF($Q554="","",IF($J554="Yes",$Q554+7,IF($G554="No",$Q554+14,$Q554+30)))</f>
        <v/>
      </c>
      <c r="S554" s="47" t="n"/>
      <c r="T554" s="50" t="n"/>
      <c r="U554" s="47">
        <f>IF($F554="","",MIN(24,MAX(1,ROUNDUP(($F554-DayPlan!$C$2+1)/7,0))))</f>
        <v/>
      </c>
      <c r="V554" s="47">
        <f>IF($A554=""," ",4*($J554="Yes")+3*($G554="No")+2*(N($I554)&gt;0)+1*(AND(ISNUMBER($H554),$H554&gt;45))+3*(AND(ISNUMBER($P554),$P554&lt;=TODAY()))-6*($S554="Yes")+(750-ROW())/100000)</f>
        <v/>
      </c>
      <c r="W554" s="47">
        <f>IF(OR($A554="",NOT(ISNUMBER($P554))),"",INT($P554-TODAY()))</f>
        <v/>
      </c>
      <c r="X554" s="47" t="n"/>
    </row>
    <row r="555">
      <c r="A555" s="50" t="n"/>
      <c r="B555" s="47" t="n"/>
      <c r="C555" s="47" t="n"/>
      <c r="D555" s="50" t="n"/>
      <c r="E555" s="50" t="n"/>
      <c r="F555" s="48" t="n"/>
      <c r="G555" s="47" t="n"/>
      <c r="H555" s="47" t="n"/>
      <c r="I555" s="47" t="n"/>
      <c r="J555" s="47" t="n"/>
      <c r="K555" s="47" t="n"/>
      <c r="L555" s="47" t="n"/>
      <c r="M555" s="50" t="n"/>
      <c r="N555" s="50" t="n"/>
      <c r="O555" s="50" t="n"/>
      <c r="P555" s="48">
        <f>IF($F555="","",IF($J555="Yes",$F555+1,IF($G555="No",$F555+2,IF(N($I555)&gt;2,$F555+3,IF(N($I555)&gt;0,$F555+5,$F555+7)))))</f>
        <v/>
      </c>
      <c r="Q555" s="48">
        <f>IF($P555="","",IF($J555="Yes",$P555+3,IF($G555="No",$P555+5,IF(N($I555)&gt;0,$P555+7,$P555+14))))</f>
        <v/>
      </c>
      <c r="R555" s="48">
        <f>IF($Q555="","",IF($J555="Yes",$Q555+7,IF($G555="No",$Q555+14,$Q555+30)))</f>
        <v/>
      </c>
      <c r="S555" s="47" t="n"/>
      <c r="T555" s="50" t="n"/>
      <c r="U555" s="47">
        <f>IF($F555="","",MIN(24,MAX(1,ROUNDUP(($F555-DayPlan!$C$2+1)/7,0))))</f>
        <v/>
      </c>
      <c r="V555" s="47">
        <f>IF($A555=""," ",4*($J555="Yes")+3*($G555="No")+2*(N($I555)&gt;0)+1*(AND(ISNUMBER($H555),$H555&gt;45))+3*(AND(ISNUMBER($P555),$P555&lt;=TODAY()))-6*($S555="Yes")+(750-ROW())/100000)</f>
        <v/>
      </c>
      <c r="W555" s="47">
        <f>IF(OR($A555="",NOT(ISNUMBER($P555))),"",INT($P555-TODAY()))</f>
        <v/>
      </c>
      <c r="X555" s="47" t="n"/>
    </row>
    <row r="556">
      <c r="A556" s="50" t="n"/>
      <c r="B556" s="47" t="n"/>
      <c r="C556" s="47" t="n"/>
      <c r="D556" s="50" t="n"/>
      <c r="E556" s="50" t="n"/>
      <c r="F556" s="48" t="n"/>
      <c r="G556" s="47" t="n"/>
      <c r="H556" s="47" t="n"/>
      <c r="I556" s="47" t="n"/>
      <c r="J556" s="47" t="n"/>
      <c r="K556" s="47" t="n"/>
      <c r="L556" s="47" t="n"/>
      <c r="M556" s="50" t="n"/>
      <c r="N556" s="50" t="n"/>
      <c r="O556" s="50" t="n"/>
      <c r="P556" s="48">
        <f>IF($F556="","",IF($J556="Yes",$F556+1,IF($G556="No",$F556+2,IF(N($I556)&gt;2,$F556+3,IF(N($I556)&gt;0,$F556+5,$F556+7)))))</f>
        <v/>
      </c>
      <c r="Q556" s="48">
        <f>IF($P556="","",IF($J556="Yes",$P556+3,IF($G556="No",$P556+5,IF(N($I556)&gt;0,$P556+7,$P556+14))))</f>
        <v/>
      </c>
      <c r="R556" s="48">
        <f>IF($Q556="","",IF($J556="Yes",$Q556+7,IF($G556="No",$Q556+14,$Q556+30)))</f>
        <v/>
      </c>
      <c r="S556" s="47" t="n"/>
      <c r="T556" s="50" t="n"/>
      <c r="U556" s="47">
        <f>IF($F556="","",MIN(24,MAX(1,ROUNDUP(($F556-DayPlan!$C$2+1)/7,0))))</f>
        <v/>
      </c>
      <c r="V556" s="47">
        <f>IF($A556=""," ",4*($J556="Yes")+3*($G556="No")+2*(N($I556)&gt;0)+1*(AND(ISNUMBER($H556),$H556&gt;45))+3*(AND(ISNUMBER($P556),$P556&lt;=TODAY()))-6*($S556="Yes")+(750-ROW())/100000)</f>
        <v/>
      </c>
      <c r="W556" s="47">
        <f>IF(OR($A556="",NOT(ISNUMBER($P556))),"",INT($P556-TODAY()))</f>
        <v/>
      </c>
      <c r="X556" s="47" t="n"/>
    </row>
    <row r="557">
      <c r="A557" s="50" t="n"/>
      <c r="B557" s="47" t="n"/>
      <c r="C557" s="47" t="n"/>
      <c r="D557" s="50" t="n"/>
      <c r="E557" s="50" t="n"/>
      <c r="F557" s="48" t="n"/>
      <c r="G557" s="47" t="n"/>
      <c r="H557" s="47" t="n"/>
      <c r="I557" s="47" t="n"/>
      <c r="J557" s="47" t="n"/>
      <c r="K557" s="47" t="n"/>
      <c r="L557" s="47" t="n"/>
      <c r="M557" s="50" t="n"/>
      <c r="N557" s="50" t="n"/>
      <c r="O557" s="50" t="n"/>
      <c r="P557" s="48">
        <f>IF($F557="","",IF($J557="Yes",$F557+1,IF($G557="No",$F557+2,IF(N($I557)&gt;2,$F557+3,IF(N($I557)&gt;0,$F557+5,$F557+7)))))</f>
        <v/>
      </c>
      <c r="Q557" s="48">
        <f>IF($P557="","",IF($J557="Yes",$P557+3,IF($G557="No",$P557+5,IF(N($I557)&gt;0,$P557+7,$P557+14))))</f>
        <v/>
      </c>
      <c r="R557" s="48">
        <f>IF($Q557="","",IF($J557="Yes",$Q557+7,IF($G557="No",$Q557+14,$Q557+30)))</f>
        <v/>
      </c>
      <c r="S557" s="47" t="n"/>
      <c r="T557" s="50" t="n"/>
      <c r="U557" s="47">
        <f>IF($F557="","",MIN(24,MAX(1,ROUNDUP(($F557-DayPlan!$C$2+1)/7,0))))</f>
        <v/>
      </c>
      <c r="V557" s="47">
        <f>IF($A557=""," ",4*($J557="Yes")+3*($G557="No")+2*(N($I557)&gt;0)+1*(AND(ISNUMBER($H557),$H557&gt;45))+3*(AND(ISNUMBER($P557),$P557&lt;=TODAY()))-6*($S557="Yes")+(750-ROW())/100000)</f>
        <v/>
      </c>
      <c r="W557" s="47">
        <f>IF(OR($A557="",NOT(ISNUMBER($P557))),"",INT($P557-TODAY()))</f>
        <v/>
      </c>
      <c r="X557" s="47" t="n"/>
    </row>
    <row r="558">
      <c r="A558" s="50" t="n"/>
      <c r="B558" s="47" t="n"/>
      <c r="C558" s="47" t="n"/>
      <c r="D558" s="50" t="n"/>
      <c r="E558" s="50" t="n"/>
      <c r="F558" s="48" t="n"/>
      <c r="G558" s="47" t="n"/>
      <c r="H558" s="47" t="n"/>
      <c r="I558" s="47" t="n"/>
      <c r="J558" s="47" t="n"/>
      <c r="K558" s="47" t="n"/>
      <c r="L558" s="47" t="n"/>
      <c r="M558" s="50" t="n"/>
      <c r="N558" s="50" t="n"/>
      <c r="O558" s="50" t="n"/>
      <c r="P558" s="48">
        <f>IF($F558="","",IF($J558="Yes",$F558+1,IF($G558="No",$F558+2,IF(N($I558)&gt;2,$F558+3,IF(N($I558)&gt;0,$F558+5,$F558+7)))))</f>
        <v/>
      </c>
      <c r="Q558" s="48">
        <f>IF($P558="","",IF($J558="Yes",$P558+3,IF($G558="No",$P558+5,IF(N($I558)&gt;0,$P558+7,$P558+14))))</f>
        <v/>
      </c>
      <c r="R558" s="48">
        <f>IF($Q558="","",IF($J558="Yes",$Q558+7,IF($G558="No",$Q558+14,$Q558+30)))</f>
        <v/>
      </c>
      <c r="S558" s="47" t="n"/>
      <c r="T558" s="50" t="n"/>
      <c r="U558" s="47">
        <f>IF($F558="","",MIN(24,MAX(1,ROUNDUP(($F558-DayPlan!$C$2+1)/7,0))))</f>
        <v/>
      </c>
      <c r="V558" s="47">
        <f>IF($A558=""," ",4*($J558="Yes")+3*($G558="No")+2*(N($I558)&gt;0)+1*(AND(ISNUMBER($H558),$H558&gt;45))+3*(AND(ISNUMBER($P558),$P558&lt;=TODAY()))-6*($S558="Yes")+(750-ROW())/100000)</f>
        <v/>
      </c>
      <c r="W558" s="47">
        <f>IF(OR($A558="",NOT(ISNUMBER($P558))),"",INT($P558-TODAY()))</f>
        <v/>
      </c>
      <c r="X558" s="47" t="n"/>
    </row>
    <row r="559">
      <c r="A559" s="50" t="n"/>
      <c r="B559" s="47" t="n"/>
      <c r="C559" s="47" t="n"/>
      <c r="D559" s="50" t="n"/>
      <c r="E559" s="50" t="n"/>
      <c r="F559" s="48" t="n"/>
      <c r="G559" s="47" t="n"/>
      <c r="H559" s="47" t="n"/>
      <c r="I559" s="47" t="n"/>
      <c r="J559" s="47" t="n"/>
      <c r="K559" s="47" t="n"/>
      <c r="L559" s="47" t="n"/>
      <c r="M559" s="50" t="n"/>
      <c r="N559" s="50" t="n"/>
      <c r="O559" s="50" t="n"/>
      <c r="P559" s="48">
        <f>IF($F559="","",IF($J559="Yes",$F559+1,IF($G559="No",$F559+2,IF(N($I559)&gt;2,$F559+3,IF(N($I559)&gt;0,$F559+5,$F559+7)))))</f>
        <v/>
      </c>
      <c r="Q559" s="48">
        <f>IF($P559="","",IF($J559="Yes",$P559+3,IF($G559="No",$P559+5,IF(N($I559)&gt;0,$P559+7,$P559+14))))</f>
        <v/>
      </c>
      <c r="R559" s="48">
        <f>IF($Q559="","",IF($J559="Yes",$Q559+7,IF($G559="No",$Q559+14,$Q559+30)))</f>
        <v/>
      </c>
      <c r="S559" s="47" t="n"/>
      <c r="T559" s="50" t="n"/>
      <c r="U559" s="47">
        <f>IF($F559="","",MIN(24,MAX(1,ROUNDUP(($F559-DayPlan!$C$2+1)/7,0))))</f>
        <v/>
      </c>
      <c r="V559" s="47">
        <f>IF($A559=""," ",4*($J559="Yes")+3*($G559="No")+2*(N($I559)&gt;0)+1*(AND(ISNUMBER($H559),$H559&gt;45))+3*(AND(ISNUMBER($P559),$P559&lt;=TODAY()))-6*($S559="Yes")+(750-ROW())/100000)</f>
        <v/>
      </c>
      <c r="W559" s="47">
        <f>IF(OR($A559="",NOT(ISNUMBER($P559))),"",INT($P559-TODAY()))</f>
        <v/>
      </c>
      <c r="X559" s="47" t="n"/>
    </row>
    <row r="560">
      <c r="A560" s="50" t="n"/>
      <c r="B560" s="47" t="n"/>
      <c r="C560" s="47" t="n"/>
      <c r="D560" s="50" t="n"/>
      <c r="E560" s="50" t="n"/>
      <c r="F560" s="48" t="n"/>
      <c r="G560" s="47" t="n"/>
      <c r="H560" s="47" t="n"/>
      <c r="I560" s="47" t="n"/>
      <c r="J560" s="47" t="n"/>
      <c r="K560" s="47" t="n"/>
      <c r="L560" s="47" t="n"/>
      <c r="M560" s="50" t="n"/>
      <c r="N560" s="50" t="n"/>
      <c r="O560" s="50" t="n"/>
      <c r="P560" s="48">
        <f>IF($F560="","",IF($J560="Yes",$F560+1,IF($G560="No",$F560+2,IF(N($I560)&gt;2,$F560+3,IF(N($I560)&gt;0,$F560+5,$F560+7)))))</f>
        <v/>
      </c>
      <c r="Q560" s="48">
        <f>IF($P560="","",IF($J560="Yes",$P560+3,IF($G560="No",$P560+5,IF(N($I560)&gt;0,$P560+7,$P560+14))))</f>
        <v/>
      </c>
      <c r="R560" s="48">
        <f>IF($Q560="","",IF($J560="Yes",$Q560+7,IF($G560="No",$Q560+14,$Q560+30)))</f>
        <v/>
      </c>
      <c r="S560" s="47" t="n"/>
      <c r="T560" s="50" t="n"/>
      <c r="U560" s="47">
        <f>IF($F560="","",MIN(24,MAX(1,ROUNDUP(($F560-DayPlan!$C$2+1)/7,0))))</f>
        <v/>
      </c>
      <c r="V560" s="47">
        <f>IF($A560=""," ",4*($J560="Yes")+3*($G560="No")+2*(N($I560)&gt;0)+1*(AND(ISNUMBER($H560),$H560&gt;45))+3*(AND(ISNUMBER($P560),$P560&lt;=TODAY()))-6*($S560="Yes")+(750-ROW())/100000)</f>
        <v/>
      </c>
      <c r="W560" s="47">
        <f>IF(OR($A560="",NOT(ISNUMBER($P560))),"",INT($P560-TODAY()))</f>
        <v/>
      </c>
      <c r="X560" s="47" t="n"/>
    </row>
    <row r="561">
      <c r="A561" s="50" t="n"/>
      <c r="B561" s="47" t="n"/>
      <c r="C561" s="47" t="n"/>
      <c r="D561" s="50" t="n"/>
      <c r="E561" s="50" t="n"/>
      <c r="F561" s="48" t="n"/>
      <c r="G561" s="47" t="n"/>
      <c r="H561" s="47" t="n"/>
      <c r="I561" s="47" t="n"/>
      <c r="J561" s="47" t="n"/>
      <c r="K561" s="47" t="n"/>
      <c r="L561" s="47" t="n"/>
      <c r="M561" s="50" t="n"/>
      <c r="N561" s="50" t="n"/>
      <c r="O561" s="50" t="n"/>
      <c r="P561" s="48">
        <f>IF($F561="","",IF($J561="Yes",$F561+1,IF($G561="No",$F561+2,IF(N($I561)&gt;2,$F561+3,IF(N($I561)&gt;0,$F561+5,$F561+7)))))</f>
        <v/>
      </c>
      <c r="Q561" s="48">
        <f>IF($P561="","",IF($J561="Yes",$P561+3,IF($G561="No",$P561+5,IF(N($I561)&gt;0,$P561+7,$P561+14))))</f>
        <v/>
      </c>
      <c r="R561" s="48">
        <f>IF($Q561="","",IF($J561="Yes",$Q561+7,IF($G561="No",$Q561+14,$Q561+30)))</f>
        <v/>
      </c>
      <c r="S561" s="47" t="n"/>
      <c r="T561" s="50" t="n"/>
      <c r="U561" s="47">
        <f>IF($F561="","",MIN(24,MAX(1,ROUNDUP(($F561-DayPlan!$C$2+1)/7,0))))</f>
        <v/>
      </c>
      <c r="V561" s="47">
        <f>IF($A561=""," ",4*($J561="Yes")+3*($G561="No")+2*(N($I561)&gt;0)+1*(AND(ISNUMBER($H561),$H561&gt;45))+3*(AND(ISNUMBER($P561),$P561&lt;=TODAY()))-6*($S561="Yes")+(750-ROW())/100000)</f>
        <v/>
      </c>
      <c r="W561" s="47">
        <f>IF(OR($A561="",NOT(ISNUMBER($P561))),"",INT($P561-TODAY()))</f>
        <v/>
      </c>
      <c r="X561" s="47" t="n"/>
    </row>
    <row r="562">
      <c r="A562" s="50" t="n"/>
      <c r="B562" s="47" t="n"/>
      <c r="C562" s="47" t="n"/>
      <c r="D562" s="50" t="n"/>
      <c r="E562" s="50" t="n"/>
      <c r="F562" s="48" t="n"/>
      <c r="G562" s="47" t="n"/>
      <c r="H562" s="47" t="n"/>
      <c r="I562" s="47" t="n"/>
      <c r="J562" s="47" t="n"/>
      <c r="K562" s="47" t="n"/>
      <c r="L562" s="47" t="n"/>
      <c r="M562" s="50" t="n"/>
      <c r="N562" s="50" t="n"/>
      <c r="O562" s="50" t="n"/>
      <c r="P562" s="48">
        <f>IF($F562="","",IF($J562="Yes",$F562+1,IF($G562="No",$F562+2,IF(N($I562)&gt;2,$F562+3,IF(N($I562)&gt;0,$F562+5,$F562+7)))))</f>
        <v/>
      </c>
      <c r="Q562" s="48">
        <f>IF($P562="","",IF($J562="Yes",$P562+3,IF($G562="No",$P562+5,IF(N($I562)&gt;0,$P562+7,$P562+14))))</f>
        <v/>
      </c>
      <c r="R562" s="48">
        <f>IF($Q562="","",IF($J562="Yes",$Q562+7,IF($G562="No",$Q562+14,$Q562+30)))</f>
        <v/>
      </c>
      <c r="S562" s="47" t="n"/>
      <c r="T562" s="50" t="n"/>
      <c r="U562" s="47">
        <f>IF($F562="","",MIN(24,MAX(1,ROUNDUP(($F562-DayPlan!$C$2+1)/7,0))))</f>
        <v/>
      </c>
      <c r="V562" s="47">
        <f>IF($A562=""," ",4*($J562="Yes")+3*($G562="No")+2*(N($I562)&gt;0)+1*(AND(ISNUMBER($H562),$H562&gt;45))+3*(AND(ISNUMBER($P562),$P562&lt;=TODAY()))-6*($S562="Yes")+(750-ROW())/100000)</f>
        <v/>
      </c>
      <c r="W562" s="47">
        <f>IF(OR($A562="",NOT(ISNUMBER($P562))),"",INT($P562-TODAY()))</f>
        <v/>
      </c>
      <c r="X562" s="47" t="n"/>
    </row>
    <row r="563">
      <c r="A563" s="50" t="n"/>
      <c r="B563" s="47" t="n"/>
      <c r="C563" s="47" t="n"/>
      <c r="D563" s="50" t="n"/>
      <c r="E563" s="50" t="n"/>
      <c r="F563" s="48" t="n"/>
      <c r="G563" s="47" t="n"/>
      <c r="H563" s="47" t="n"/>
      <c r="I563" s="47" t="n"/>
      <c r="J563" s="47" t="n"/>
      <c r="K563" s="47" t="n"/>
      <c r="L563" s="47" t="n"/>
      <c r="M563" s="50" t="n"/>
      <c r="N563" s="50" t="n"/>
      <c r="O563" s="50" t="n"/>
      <c r="P563" s="48">
        <f>IF($F563="","",IF($J563="Yes",$F563+1,IF($G563="No",$F563+2,IF(N($I563)&gt;2,$F563+3,IF(N($I563)&gt;0,$F563+5,$F563+7)))))</f>
        <v/>
      </c>
      <c r="Q563" s="48">
        <f>IF($P563="","",IF($J563="Yes",$P563+3,IF($G563="No",$P563+5,IF(N($I563)&gt;0,$P563+7,$P563+14))))</f>
        <v/>
      </c>
      <c r="R563" s="48">
        <f>IF($Q563="","",IF($J563="Yes",$Q563+7,IF($G563="No",$Q563+14,$Q563+30)))</f>
        <v/>
      </c>
      <c r="S563" s="47" t="n"/>
      <c r="T563" s="50" t="n"/>
      <c r="U563" s="47">
        <f>IF($F563="","",MIN(24,MAX(1,ROUNDUP(($F563-DayPlan!$C$2+1)/7,0))))</f>
        <v/>
      </c>
      <c r="V563" s="47">
        <f>IF($A563=""," ",4*($J563="Yes")+3*($G563="No")+2*(N($I563)&gt;0)+1*(AND(ISNUMBER($H563),$H563&gt;45))+3*(AND(ISNUMBER($P563),$P563&lt;=TODAY()))-6*($S563="Yes")+(750-ROW())/100000)</f>
        <v/>
      </c>
      <c r="W563" s="47">
        <f>IF(OR($A563="",NOT(ISNUMBER($P563))),"",INT($P563-TODAY()))</f>
        <v/>
      </c>
      <c r="X563" s="47" t="n"/>
    </row>
    <row r="564">
      <c r="A564" s="50" t="n"/>
      <c r="B564" s="47" t="n"/>
      <c r="C564" s="47" t="n"/>
      <c r="D564" s="50" t="n"/>
      <c r="E564" s="50" t="n"/>
      <c r="F564" s="48" t="n"/>
      <c r="G564" s="47" t="n"/>
      <c r="H564" s="47" t="n"/>
      <c r="I564" s="47" t="n"/>
      <c r="J564" s="47" t="n"/>
      <c r="K564" s="47" t="n"/>
      <c r="L564" s="47" t="n"/>
      <c r="M564" s="50" t="n"/>
      <c r="N564" s="50" t="n"/>
      <c r="O564" s="50" t="n"/>
      <c r="P564" s="48">
        <f>IF($F564="","",IF($J564="Yes",$F564+1,IF($G564="No",$F564+2,IF(N($I564)&gt;2,$F564+3,IF(N($I564)&gt;0,$F564+5,$F564+7)))))</f>
        <v/>
      </c>
      <c r="Q564" s="48">
        <f>IF($P564="","",IF($J564="Yes",$P564+3,IF($G564="No",$P564+5,IF(N($I564)&gt;0,$P564+7,$P564+14))))</f>
        <v/>
      </c>
      <c r="R564" s="48">
        <f>IF($Q564="","",IF($J564="Yes",$Q564+7,IF($G564="No",$Q564+14,$Q564+30)))</f>
        <v/>
      </c>
      <c r="S564" s="47" t="n"/>
      <c r="T564" s="50" t="n"/>
      <c r="U564" s="47">
        <f>IF($F564="","",MIN(24,MAX(1,ROUNDUP(($F564-DayPlan!$C$2+1)/7,0))))</f>
        <v/>
      </c>
      <c r="V564" s="47">
        <f>IF($A564=""," ",4*($J564="Yes")+3*($G564="No")+2*(N($I564)&gt;0)+1*(AND(ISNUMBER($H564),$H564&gt;45))+3*(AND(ISNUMBER($P564),$P564&lt;=TODAY()))-6*($S564="Yes")+(750-ROW())/100000)</f>
        <v/>
      </c>
      <c r="W564" s="47">
        <f>IF(OR($A564="",NOT(ISNUMBER($P564))),"",INT($P564-TODAY()))</f>
        <v/>
      </c>
      <c r="X564" s="47" t="n"/>
    </row>
    <row r="565">
      <c r="A565" s="50" t="n"/>
      <c r="B565" s="47" t="n"/>
      <c r="C565" s="47" t="n"/>
      <c r="D565" s="50" t="n"/>
      <c r="E565" s="50" t="n"/>
      <c r="F565" s="48" t="n"/>
      <c r="G565" s="47" t="n"/>
      <c r="H565" s="47" t="n"/>
      <c r="I565" s="47" t="n"/>
      <c r="J565" s="47" t="n"/>
      <c r="K565" s="47" t="n"/>
      <c r="L565" s="47" t="n"/>
      <c r="M565" s="50" t="n"/>
      <c r="N565" s="50" t="n"/>
      <c r="O565" s="50" t="n"/>
      <c r="P565" s="48">
        <f>IF($F565="","",IF($J565="Yes",$F565+1,IF($G565="No",$F565+2,IF(N($I565)&gt;2,$F565+3,IF(N($I565)&gt;0,$F565+5,$F565+7)))))</f>
        <v/>
      </c>
      <c r="Q565" s="48">
        <f>IF($P565="","",IF($J565="Yes",$P565+3,IF($G565="No",$P565+5,IF(N($I565)&gt;0,$P565+7,$P565+14))))</f>
        <v/>
      </c>
      <c r="R565" s="48">
        <f>IF($Q565="","",IF($J565="Yes",$Q565+7,IF($G565="No",$Q565+14,$Q565+30)))</f>
        <v/>
      </c>
      <c r="S565" s="47" t="n"/>
      <c r="T565" s="50" t="n"/>
      <c r="U565" s="47">
        <f>IF($F565="","",MIN(24,MAX(1,ROUNDUP(($F565-DayPlan!$C$2+1)/7,0))))</f>
        <v/>
      </c>
      <c r="V565" s="47">
        <f>IF($A565=""," ",4*($J565="Yes")+3*($G565="No")+2*(N($I565)&gt;0)+1*(AND(ISNUMBER($H565),$H565&gt;45))+3*(AND(ISNUMBER($P565),$P565&lt;=TODAY()))-6*($S565="Yes")+(750-ROW())/100000)</f>
        <v/>
      </c>
      <c r="W565" s="47">
        <f>IF(OR($A565="",NOT(ISNUMBER($P565))),"",INT($P565-TODAY()))</f>
        <v/>
      </c>
      <c r="X565" s="47" t="n"/>
    </row>
    <row r="566">
      <c r="A566" s="50" t="n"/>
      <c r="B566" s="47" t="n"/>
      <c r="C566" s="47" t="n"/>
      <c r="D566" s="50" t="n"/>
      <c r="E566" s="50" t="n"/>
      <c r="F566" s="48" t="n"/>
      <c r="G566" s="47" t="n"/>
      <c r="H566" s="47" t="n"/>
      <c r="I566" s="47" t="n"/>
      <c r="J566" s="47" t="n"/>
      <c r="K566" s="47" t="n"/>
      <c r="L566" s="47" t="n"/>
      <c r="M566" s="50" t="n"/>
      <c r="N566" s="50" t="n"/>
      <c r="O566" s="50" t="n"/>
      <c r="P566" s="48">
        <f>IF($F566="","",IF($J566="Yes",$F566+1,IF($G566="No",$F566+2,IF(N($I566)&gt;2,$F566+3,IF(N($I566)&gt;0,$F566+5,$F566+7)))))</f>
        <v/>
      </c>
      <c r="Q566" s="48">
        <f>IF($P566="","",IF($J566="Yes",$P566+3,IF($G566="No",$P566+5,IF(N($I566)&gt;0,$P566+7,$P566+14))))</f>
        <v/>
      </c>
      <c r="R566" s="48">
        <f>IF($Q566="","",IF($J566="Yes",$Q566+7,IF($G566="No",$Q566+14,$Q566+30)))</f>
        <v/>
      </c>
      <c r="S566" s="47" t="n"/>
      <c r="T566" s="50" t="n"/>
      <c r="U566" s="47">
        <f>IF($F566="","",MIN(24,MAX(1,ROUNDUP(($F566-DayPlan!$C$2+1)/7,0))))</f>
        <v/>
      </c>
      <c r="V566" s="47">
        <f>IF($A566=""," ",4*($J566="Yes")+3*($G566="No")+2*(N($I566)&gt;0)+1*(AND(ISNUMBER($H566),$H566&gt;45))+3*(AND(ISNUMBER($P566),$P566&lt;=TODAY()))-6*($S566="Yes")+(750-ROW())/100000)</f>
        <v/>
      </c>
      <c r="W566" s="47">
        <f>IF(OR($A566="",NOT(ISNUMBER($P566))),"",INT($P566-TODAY()))</f>
        <v/>
      </c>
      <c r="X566" s="47" t="n"/>
    </row>
    <row r="567">
      <c r="A567" s="50" t="n"/>
      <c r="B567" s="47" t="n"/>
      <c r="C567" s="47" t="n"/>
      <c r="D567" s="50" t="n"/>
      <c r="E567" s="50" t="n"/>
      <c r="F567" s="48" t="n"/>
      <c r="G567" s="47" t="n"/>
      <c r="H567" s="47" t="n"/>
      <c r="I567" s="47" t="n"/>
      <c r="J567" s="47" t="n"/>
      <c r="K567" s="47" t="n"/>
      <c r="L567" s="47" t="n"/>
      <c r="M567" s="50" t="n"/>
      <c r="N567" s="50" t="n"/>
      <c r="O567" s="50" t="n"/>
      <c r="P567" s="48">
        <f>IF($F567="","",IF($J567="Yes",$F567+1,IF($G567="No",$F567+2,IF(N($I567)&gt;2,$F567+3,IF(N($I567)&gt;0,$F567+5,$F567+7)))))</f>
        <v/>
      </c>
      <c r="Q567" s="48">
        <f>IF($P567="","",IF($J567="Yes",$P567+3,IF($G567="No",$P567+5,IF(N($I567)&gt;0,$P567+7,$P567+14))))</f>
        <v/>
      </c>
      <c r="R567" s="48">
        <f>IF($Q567="","",IF($J567="Yes",$Q567+7,IF($G567="No",$Q567+14,$Q567+30)))</f>
        <v/>
      </c>
      <c r="S567" s="47" t="n"/>
      <c r="T567" s="50" t="n"/>
      <c r="U567" s="47">
        <f>IF($F567="","",MIN(24,MAX(1,ROUNDUP(($F567-DayPlan!$C$2+1)/7,0))))</f>
        <v/>
      </c>
      <c r="V567" s="47">
        <f>IF($A567=""," ",4*($J567="Yes")+3*($G567="No")+2*(N($I567)&gt;0)+1*(AND(ISNUMBER($H567),$H567&gt;45))+3*(AND(ISNUMBER($P567),$P567&lt;=TODAY()))-6*($S567="Yes")+(750-ROW())/100000)</f>
        <v/>
      </c>
      <c r="W567" s="47">
        <f>IF(OR($A567="",NOT(ISNUMBER($P567))),"",INT($P567-TODAY()))</f>
        <v/>
      </c>
      <c r="X567" s="47" t="n"/>
    </row>
    <row r="568">
      <c r="A568" s="50" t="n"/>
      <c r="B568" s="47" t="n"/>
      <c r="C568" s="47" t="n"/>
      <c r="D568" s="50" t="n"/>
      <c r="E568" s="50" t="n"/>
      <c r="F568" s="48" t="n"/>
      <c r="G568" s="47" t="n"/>
      <c r="H568" s="47" t="n"/>
      <c r="I568" s="47" t="n"/>
      <c r="J568" s="47" t="n"/>
      <c r="K568" s="47" t="n"/>
      <c r="L568" s="47" t="n"/>
      <c r="M568" s="50" t="n"/>
      <c r="N568" s="50" t="n"/>
      <c r="O568" s="50" t="n"/>
      <c r="P568" s="48">
        <f>IF($F568="","",IF($J568="Yes",$F568+1,IF($G568="No",$F568+2,IF(N($I568)&gt;2,$F568+3,IF(N($I568)&gt;0,$F568+5,$F568+7)))))</f>
        <v/>
      </c>
      <c r="Q568" s="48">
        <f>IF($P568="","",IF($J568="Yes",$P568+3,IF($G568="No",$P568+5,IF(N($I568)&gt;0,$P568+7,$P568+14))))</f>
        <v/>
      </c>
      <c r="R568" s="48">
        <f>IF($Q568="","",IF($J568="Yes",$Q568+7,IF($G568="No",$Q568+14,$Q568+30)))</f>
        <v/>
      </c>
      <c r="S568" s="47" t="n"/>
      <c r="T568" s="50" t="n"/>
      <c r="U568" s="47">
        <f>IF($F568="","",MIN(24,MAX(1,ROUNDUP(($F568-DayPlan!$C$2+1)/7,0))))</f>
        <v/>
      </c>
      <c r="V568" s="47">
        <f>IF($A568=""," ",4*($J568="Yes")+3*($G568="No")+2*(N($I568)&gt;0)+1*(AND(ISNUMBER($H568),$H568&gt;45))+3*(AND(ISNUMBER($P568),$P568&lt;=TODAY()))-6*($S568="Yes")+(750-ROW())/100000)</f>
        <v/>
      </c>
      <c r="W568" s="47">
        <f>IF(OR($A568="",NOT(ISNUMBER($P568))),"",INT($P568-TODAY()))</f>
        <v/>
      </c>
      <c r="X568" s="47" t="n"/>
    </row>
    <row r="569">
      <c r="A569" s="50" t="n"/>
      <c r="B569" s="47" t="n"/>
      <c r="C569" s="47" t="n"/>
      <c r="D569" s="50" t="n"/>
      <c r="E569" s="50" t="n"/>
      <c r="F569" s="48" t="n"/>
      <c r="G569" s="47" t="n"/>
      <c r="H569" s="47" t="n"/>
      <c r="I569" s="47" t="n"/>
      <c r="J569" s="47" t="n"/>
      <c r="K569" s="47" t="n"/>
      <c r="L569" s="47" t="n"/>
      <c r="M569" s="50" t="n"/>
      <c r="N569" s="50" t="n"/>
      <c r="O569" s="50" t="n"/>
      <c r="P569" s="48">
        <f>IF($F569="","",IF($J569="Yes",$F569+1,IF($G569="No",$F569+2,IF(N($I569)&gt;2,$F569+3,IF(N($I569)&gt;0,$F569+5,$F569+7)))))</f>
        <v/>
      </c>
      <c r="Q569" s="48">
        <f>IF($P569="","",IF($J569="Yes",$P569+3,IF($G569="No",$P569+5,IF(N($I569)&gt;0,$P569+7,$P569+14))))</f>
        <v/>
      </c>
      <c r="R569" s="48">
        <f>IF($Q569="","",IF($J569="Yes",$Q569+7,IF($G569="No",$Q569+14,$Q569+30)))</f>
        <v/>
      </c>
      <c r="S569" s="47" t="n"/>
      <c r="T569" s="50" t="n"/>
      <c r="U569" s="47">
        <f>IF($F569="","",MIN(24,MAX(1,ROUNDUP(($F569-DayPlan!$C$2+1)/7,0))))</f>
        <v/>
      </c>
      <c r="V569" s="47">
        <f>IF($A569=""," ",4*($J569="Yes")+3*($G569="No")+2*(N($I569)&gt;0)+1*(AND(ISNUMBER($H569),$H569&gt;45))+3*(AND(ISNUMBER($P569),$P569&lt;=TODAY()))-6*($S569="Yes")+(750-ROW())/100000)</f>
        <v/>
      </c>
      <c r="W569" s="47">
        <f>IF(OR($A569="",NOT(ISNUMBER($P569))),"",INT($P569-TODAY()))</f>
        <v/>
      </c>
      <c r="X569" s="47" t="n"/>
    </row>
    <row r="570">
      <c r="A570" s="50" t="n"/>
      <c r="B570" s="47" t="n"/>
      <c r="C570" s="47" t="n"/>
      <c r="D570" s="50" t="n"/>
      <c r="E570" s="50" t="n"/>
      <c r="F570" s="48" t="n"/>
      <c r="G570" s="47" t="n"/>
      <c r="H570" s="47" t="n"/>
      <c r="I570" s="47" t="n"/>
      <c r="J570" s="47" t="n"/>
      <c r="K570" s="47" t="n"/>
      <c r="L570" s="47" t="n"/>
      <c r="M570" s="50" t="n"/>
      <c r="N570" s="50" t="n"/>
      <c r="O570" s="50" t="n"/>
      <c r="P570" s="48">
        <f>IF($F570="","",IF($J570="Yes",$F570+1,IF($G570="No",$F570+2,IF(N($I570)&gt;2,$F570+3,IF(N($I570)&gt;0,$F570+5,$F570+7)))))</f>
        <v/>
      </c>
      <c r="Q570" s="48">
        <f>IF($P570="","",IF($J570="Yes",$P570+3,IF($G570="No",$P570+5,IF(N($I570)&gt;0,$P570+7,$P570+14))))</f>
        <v/>
      </c>
      <c r="R570" s="48">
        <f>IF($Q570="","",IF($J570="Yes",$Q570+7,IF($G570="No",$Q570+14,$Q570+30)))</f>
        <v/>
      </c>
      <c r="S570" s="47" t="n"/>
      <c r="T570" s="50" t="n"/>
      <c r="U570" s="47">
        <f>IF($F570="","",MIN(24,MAX(1,ROUNDUP(($F570-DayPlan!$C$2+1)/7,0))))</f>
        <v/>
      </c>
      <c r="V570" s="47">
        <f>IF($A570=""," ",4*($J570="Yes")+3*($G570="No")+2*(N($I570)&gt;0)+1*(AND(ISNUMBER($H570),$H570&gt;45))+3*(AND(ISNUMBER($P570),$P570&lt;=TODAY()))-6*($S570="Yes")+(750-ROW())/100000)</f>
        <v/>
      </c>
      <c r="W570" s="47">
        <f>IF(OR($A570="",NOT(ISNUMBER($P570))),"",INT($P570-TODAY()))</f>
        <v/>
      </c>
      <c r="X570" s="47" t="n"/>
    </row>
    <row r="571">
      <c r="A571" s="50" t="n"/>
      <c r="B571" s="47" t="n"/>
      <c r="C571" s="47" t="n"/>
      <c r="D571" s="50" t="n"/>
      <c r="E571" s="50" t="n"/>
      <c r="F571" s="48" t="n"/>
      <c r="G571" s="47" t="n"/>
      <c r="H571" s="47" t="n"/>
      <c r="I571" s="47" t="n"/>
      <c r="J571" s="47" t="n"/>
      <c r="K571" s="47" t="n"/>
      <c r="L571" s="47" t="n"/>
      <c r="M571" s="50" t="n"/>
      <c r="N571" s="50" t="n"/>
      <c r="O571" s="50" t="n"/>
      <c r="P571" s="48">
        <f>IF($F571="","",IF($J571="Yes",$F571+1,IF($G571="No",$F571+2,IF(N($I571)&gt;2,$F571+3,IF(N($I571)&gt;0,$F571+5,$F571+7)))))</f>
        <v/>
      </c>
      <c r="Q571" s="48">
        <f>IF($P571="","",IF($J571="Yes",$P571+3,IF($G571="No",$P571+5,IF(N($I571)&gt;0,$P571+7,$P571+14))))</f>
        <v/>
      </c>
      <c r="R571" s="48">
        <f>IF($Q571="","",IF($J571="Yes",$Q571+7,IF($G571="No",$Q571+14,$Q571+30)))</f>
        <v/>
      </c>
      <c r="S571" s="47" t="n"/>
      <c r="T571" s="50" t="n"/>
      <c r="U571" s="47">
        <f>IF($F571="","",MIN(24,MAX(1,ROUNDUP(($F571-DayPlan!$C$2+1)/7,0))))</f>
        <v/>
      </c>
      <c r="V571" s="47">
        <f>IF($A571=""," ",4*($J571="Yes")+3*($G571="No")+2*(N($I571)&gt;0)+1*(AND(ISNUMBER($H571),$H571&gt;45))+3*(AND(ISNUMBER($P571),$P571&lt;=TODAY()))-6*($S571="Yes")+(750-ROW())/100000)</f>
        <v/>
      </c>
      <c r="W571" s="47">
        <f>IF(OR($A571="",NOT(ISNUMBER($P571))),"",INT($P571-TODAY()))</f>
        <v/>
      </c>
      <c r="X571" s="47" t="n"/>
    </row>
    <row r="572">
      <c r="A572" s="50" t="n"/>
      <c r="B572" s="47" t="n"/>
      <c r="C572" s="47" t="n"/>
      <c r="D572" s="50" t="n"/>
      <c r="E572" s="50" t="n"/>
      <c r="F572" s="48" t="n"/>
      <c r="G572" s="47" t="n"/>
      <c r="H572" s="47" t="n"/>
      <c r="I572" s="47" t="n"/>
      <c r="J572" s="47" t="n"/>
      <c r="K572" s="47" t="n"/>
      <c r="L572" s="47" t="n"/>
      <c r="M572" s="50" t="n"/>
      <c r="N572" s="50" t="n"/>
      <c r="O572" s="50" t="n"/>
      <c r="P572" s="48">
        <f>IF($F572="","",IF($J572="Yes",$F572+1,IF($G572="No",$F572+2,IF(N($I572)&gt;2,$F572+3,IF(N($I572)&gt;0,$F572+5,$F572+7)))))</f>
        <v/>
      </c>
      <c r="Q572" s="48">
        <f>IF($P572="","",IF($J572="Yes",$P572+3,IF($G572="No",$P572+5,IF(N($I572)&gt;0,$P572+7,$P572+14))))</f>
        <v/>
      </c>
      <c r="R572" s="48">
        <f>IF($Q572="","",IF($J572="Yes",$Q572+7,IF($G572="No",$Q572+14,$Q572+30)))</f>
        <v/>
      </c>
      <c r="S572" s="47" t="n"/>
      <c r="T572" s="50" t="n"/>
      <c r="U572" s="47">
        <f>IF($F572="","",MIN(24,MAX(1,ROUNDUP(($F572-DayPlan!$C$2+1)/7,0))))</f>
        <v/>
      </c>
      <c r="V572" s="47">
        <f>IF($A572=""," ",4*($J572="Yes")+3*($G572="No")+2*(N($I572)&gt;0)+1*(AND(ISNUMBER($H572),$H572&gt;45))+3*(AND(ISNUMBER($P572),$P572&lt;=TODAY()))-6*($S572="Yes")+(750-ROW())/100000)</f>
        <v/>
      </c>
      <c r="W572" s="47">
        <f>IF(OR($A572="",NOT(ISNUMBER($P572))),"",INT($P572-TODAY()))</f>
        <v/>
      </c>
      <c r="X572" s="47" t="n"/>
    </row>
    <row r="573">
      <c r="A573" s="50" t="n"/>
      <c r="B573" s="47" t="n"/>
      <c r="C573" s="47" t="n"/>
      <c r="D573" s="50" t="n"/>
      <c r="E573" s="50" t="n"/>
      <c r="F573" s="48" t="n"/>
      <c r="G573" s="47" t="n"/>
      <c r="H573" s="47" t="n"/>
      <c r="I573" s="47" t="n"/>
      <c r="J573" s="47" t="n"/>
      <c r="K573" s="47" t="n"/>
      <c r="L573" s="47" t="n"/>
      <c r="M573" s="50" t="n"/>
      <c r="N573" s="50" t="n"/>
      <c r="O573" s="50" t="n"/>
      <c r="P573" s="48">
        <f>IF($F573="","",IF($J573="Yes",$F573+1,IF($G573="No",$F573+2,IF(N($I573)&gt;2,$F573+3,IF(N($I573)&gt;0,$F573+5,$F573+7)))))</f>
        <v/>
      </c>
      <c r="Q573" s="48">
        <f>IF($P573="","",IF($J573="Yes",$P573+3,IF($G573="No",$P573+5,IF(N($I573)&gt;0,$P573+7,$P573+14))))</f>
        <v/>
      </c>
      <c r="R573" s="48">
        <f>IF($Q573="","",IF($J573="Yes",$Q573+7,IF($G573="No",$Q573+14,$Q573+30)))</f>
        <v/>
      </c>
      <c r="S573" s="47" t="n"/>
      <c r="T573" s="50" t="n"/>
      <c r="U573" s="47">
        <f>IF($F573="","",MIN(24,MAX(1,ROUNDUP(($F573-DayPlan!$C$2+1)/7,0))))</f>
        <v/>
      </c>
      <c r="V573" s="47">
        <f>IF($A573=""," ",4*($J573="Yes")+3*($G573="No")+2*(N($I573)&gt;0)+1*(AND(ISNUMBER($H573),$H573&gt;45))+3*(AND(ISNUMBER($P573),$P573&lt;=TODAY()))-6*($S573="Yes")+(750-ROW())/100000)</f>
        <v/>
      </c>
      <c r="W573" s="47">
        <f>IF(OR($A573="",NOT(ISNUMBER($P573))),"",INT($P573-TODAY()))</f>
        <v/>
      </c>
      <c r="X573" s="47" t="n"/>
    </row>
    <row r="574">
      <c r="A574" s="50" t="n"/>
      <c r="B574" s="47" t="n"/>
      <c r="C574" s="47" t="n"/>
      <c r="D574" s="50" t="n"/>
      <c r="E574" s="50" t="n"/>
      <c r="F574" s="48" t="n"/>
      <c r="G574" s="47" t="n"/>
      <c r="H574" s="47" t="n"/>
      <c r="I574" s="47" t="n"/>
      <c r="J574" s="47" t="n"/>
      <c r="K574" s="47" t="n"/>
      <c r="L574" s="47" t="n"/>
      <c r="M574" s="50" t="n"/>
      <c r="N574" s="50" t="n"/>
      <c r="O574" s="50" t="n"/>
      <c r="P574" s="48">
        <f>IF($F574="","",IF($J574="Yes",$F574+1,IF($G574="No",$F574+2,IF(N($I574)&gt;2,$F574+3,IF(N($I574)&gt;0,$F574+5,$F574+7)))))</f>
        <v/>
      </c>
      <c r="Q574" s="48">
        <f>IF($P574="","",IF($J574="Yes",$P574+3,IF($G574="No",$P574+5,IF(N($I574)&gt;0,$P574+7,$P574+14))))</f>
        <v/>
      </c>
      <c r="R574" s="48">
        <f>IF($Q574="","",IF($J574="Yes",$Q574+7,IF($G574="No",$Q574+14,$Q574+30)))</f>
        <v/>
      </c>
      <c r="S574" s="47" t="n"/>
      <c r="T574" s="50" t="n"/>
      <c r="U574" s="47">
        <f>IF($F574="","",MIN(24,MAX(1,ROUNDUP(($F574-DayPlan!$C$2+1)/7,0))))</f>
        <v/>
      </c>
      <c r="V574" s="47">
        <f>IF($A574=""," ",4*($J574="Yes")+3*($G574="No")+2*(N($I574)&gt;0)+1*(AND(ISNUMBER($H574),$H574&gt;45))+3*(AND(ISNUMBER($P574),$P574&lt;=TODAY()))-6*($S574="Yes")+(750-ROW())/100000)</f>
        <v/>
      </c>
      <c r="W574" s="47">
        <f>IF(OR($A574="",NOT(ISNUMBER($P574))),"",INT($P574-TODAY()))</f>
        <v/>
      </c>
      <c r="X574" s="47" t="n"/>
    </row>
    <row r="575">
      <c r="A575" s="50" t="n"/>
      <c r="B575" s="47" t="n"/>
      <c r="C575" s="47" t="n"/>
      <c r="D575" s="50" t="n"/>
      <c r="E575" s="50" t="n"/>
      <c r="F575" s="48" t="n"/>
      <c r="G575" s="47" t="n"/>
      <c r="H575" s="47" t="n"/>
      <c r="I575" s="47" t="n"/>
      <c r="J575" s="47" t="n"/>
      <c r="K575" s="47" t="n"/>
      <c r="L575" s="47" t="n"/>
      <c r="M575" s="50" t="n"/>
      <c r="N575" s="50" t="n"/>
      <c r="O575" s="50" t="n"/>
      <c r="P575" s="48">
        <f>IF($F575="","",IF($J575="Yes",$F575+1,IF($G575="No",$F575+2,IF(N($I575)&gt;2,$F575+3,IF(N($I575)&gt;0,$F575+5,$F575+7)))))</f>
        <v/>
      </c>
      <c r="Q575" s="48">
        <f>IF($P575="","",IF($J575="Yes",$P575+3,IF($G575="No",$P575+5,IF(N($I575)&gt;0,$P575+7,$P575+14))))</f>
        <v/>
      </c>
      <c r="R575" s="48">
        <f>IF($Q575="","",IF($J575="Yes",$Q575+7,IF($G575="No",$Q575+14,$Q575+30)))</f>
        <v/>
      </c>
      <c r="S575" s="47" t="n"/>
      <c r="T575" s="50" t="n"/>
      <c r="U575" s="47">
        <f>IF($F575="","",MIN(24,MAX(1,ROUNDUP(($F575-DayPlan!$C$2+1)/7,0))))</f>
        <v/>
      </c>
      <c r="V575" s="47">
        <f>IF($A575=""," ",4*($J575="Yes")+3*($G575="No")+2*(N($I575)&gt;0)+1*(AND(ISNUMBER($H575),$H575&gt;45))+3*(AND(ISNUMBER($P575),$P575&lt;=TODAY()))-6*($S575="Yes")+(750-ROW())/100000)</f>
        <v/>
      </c>
      <c r="W575" s="47">
        <f>IF(OR($A575="",NOT(ISNUMBER($P575))),"",INT($P575-TODAY()))</f>
        <v/>
      </c>
      <c r="X575" s="47" t="n"/>
    </row>
    <row r="576">
      <c r="A576" s="50" t="n"/>
      <c r="B576" s="47" t="n"/>
      <c r="C576" s="47" t="n"/>
      <c r="D576" s="50" t="n"/>
      <c r="E576" s="50" t="n"/>
      <c r="F576" s="48" t="n"/>
      <c r="G576" s="47" t="n"/>
      <c r="H576" s="47" t="n"/>
      <c r="I576" s="47" t="n"/>
      <c r="J576" s="47" t="n"/>
      <c r="K576" s="47" t="n"/>
      <c r="L576" s="47" t="n"/>
      <c r="M576" s="50" t="n"/>
      <c r="N576" s="50" t="n"/>
      <c r="O576" s="50" t="n"/>
      <c r="P576" s="48">
        <f>IF($F576="","",IF($J576="Yes",$F576+1,IF($G576="No",$F576+2,IF(N($I576)&gt;2,$F576+3,IF(N($I576)&gt;0,$F576+5,$F576+7)))))</f>
        <v/>
      </c>
      <c r="Q576" s="48">
        <f>IF($P576="","",IF($J576="Yes",$P576+3,IF($G576="No",$P576+5,IF(N($I576)&gt;0,$P576+7,$P576+14))))</f>
        <v/>
      </c>
      <c r="R576" s="48">
        <f>IF($Q576="","",IF($J576="Yes",$Q576+7,IF($G576="No",$Q576+14,$Q576+30)))</f>
        <v/>
      </c>
      <c r="S576" s="47" t="n"/>
      <c r="T576" s="50" t="n"/>
      <c r="U576" s="47">
        <f>IF($F576="","",MIN(24,MAX(1,ROUNDUP(($F576-DayPlan!$C$2+1)/7,0))))</f>
        <v/>
      </c>
      <c r="V576" s="47">
        <f>IF($A576=""," ",4*($J576="Yes")+3*($G576="No")+2*(N($I576)&gt;0)+1*(AND(ISNUMBER($H576),$H576&gt;45))+3*(AND(ISNUMBER($P576),$P576&lt;=TODAY()))-6*($S576="Yes")+(750-ROW())/100000)</f>
        <v/>
      </c>
      <c r="W576" s="47">
        <f>IF(OR($A576="",NOT(ISNUMBER($P576))),"",INT($P576-TODAY()))</f>
        <v/>
      </c>
      <c r="X576" s="47" t="n"/>
    </row>
    <row r="577">
      <c r="A577" s="50" t="n"/>
      <c r="B577" s="47" t="n"/>
      <c r="C577" s="47" t="n"/>
      <c r="D577" s="50" t="n"/>
      <c r="E577" s="50" t="n"/>
      <c r="F577" s="48" t="n"/>
      <c r="G577" s="47" t="n"/>
      <c r="H577" s="47" t="n"/>
      <c r="I577" s="47" t="n"/>
      <c r="J577" s="47" t="n"/>
      <c r="K577" s="47" t="n"/>
      <c r="L577" s="47" t="n"/>
      <c r="M577" s="50" t="n"/>
      <c r="N577" s="50" t="n"/>
      <c r="O577" s="50" t="n"/>
      <c r="P577" s="48">
        <f>IF($F577="","",IF($J577="Yes",$F577+1,IF($G577="No",$F577+2,IF(N($I577)&gt;2,$F577+3,IF(N($I577)&gt;0,$F577+5,$F577+7)))))</f>
        <v/>
      </c>
      <c r="Q577" s="48">
        <f>IF($P577="","",IF($J577="Yes",$P577+3,IF($G577="No",$P577+5,IF(N($I577)&gt;0,$P577+7,$P577+14))))</f>
        <v/>
      </c>
      <c r="R577" s="48">
        <f>IF($Q577="","",IF($J577="Yes",$Q577+7,IF($G577="No",$Q577+14,$Q577+30)))</f>
        <v/>
      </c>
      <c r="S577" s="47" t="n"/>
      <c r="T577" s="50" t="n"/>
      <c r="U577" s="47">
        <f>IF($F577="","",MIN(24,MAX(1,ROUNDUP(($F577-DayPlan!$C$2+1)/7,0))))</f>
        <v/>
      </c>
      <c r="V577" s="47">
        <f>IF($A577=""," ",4*($J577="Yes")+3*($G577="No")+2*(N($I577)&gt;0)+1*(AND(ISNUMBER($H577),$H577&gt;45))+3*(AND(ISNUMBER($P577),$P577&lt;=TODAY()))-6*($S577="Yes")+(750-ROW())/100000)</f>
        <v/>
      </c>
      <c r="W577" s="47">
        <f>IF(OR($A577="",NOT(ISNUMBER($P577))),"",INT($P577-TODAY()))</f>
        <v/>
      </c>
      <c r="X577" s="47" t="n"/>
    </row>
    <row r="578">
      <c r="A578" s="50" t="n"/>
      <c r="B578" s="47" t="n"/>
      <c r="C578" s="47" t="n"/>
      <c r="D578" s="50" t="n"/>
      <c r="E578" s="50" t="n"/>
      <c r="F578" s="48" t="n"/>
      <c r="G578" s="47" t="n"/>
      <c r="H578" s="47" t="n"/>
      <c r="I578" s="47" t="n"/>
      <c r="J578" s="47" t="n"/>
      <c r="K578" s="47" t="n"/>
      <c r="L578" s="47" t="n"/>
      <c r="M578" s="50" t="n"/>
      <c r="N578" s="50" t="n"/>
      <c r="O578" s="50" t="n"/>
      <c r="P578" s="48">
        <f>IF($F578="","",IF($J578="Yes",$F578+1,IF($G578="No",$F578+2,IF(N($I578)&gt;2,$F578+3,IF(N($I578)&gt;0,$F578+5,$F578+7)))))</f>
        <v/>
      </c>
      <c r="Q578" s="48">
        <f>IF($P578="","",IF($J578="Yes",$P578+3,IF($G578="No",$P578+5,IF(N($I578)&gt;0,$P578+7,$P578+14))))</f>
        <v/>
      </c>
      <c r="R578" s="48">
        <f>IF($Q578="","",IF($J578="Yes",$Q578+7,IF($G578="No",$Q578+14,$Q578+30)))</f>
        <v/>
      </c>
      <c r="S578" s="47" t="n"/>
      <c r="T578" s="50" t="n"/>
      <c r="U578" s="47">
        <f>IF($F578="","",MIN(24,MAX(1,ROUNDUP(($F578-DayPlan!$C$2+1)/7,0))))</f>
        <v/>
      </c>
      <c r="V578" s="47">
        <f>IF($A578=""," ",4*($J578="Yes")+3*($G578="No")+2*(N($I578)&gt;0)+1*(AND(ISNUMBER($H578),$H578&gt;45))+3*(AND(ISNUMBER($P578),$P578&lt;=TODAY()))-6*($S578="Yes")+(750-ROW())/100000)</f>
        <v/>
      </c>
      <c r="W578" s="47">
        <f>IF(OR($A578="",NOT(ISNUMBER($P578))),"",INT($P578-TODAY()))</f>
        <v/>
      </c>
      <c r="X578" s="47" t="n"/>
    </row>
    <row r="579">
      <c r="A579" s="50" t="n"/>
      <c r="B579" s="47" t="n"/>
      <c r="C579" s="47" t="n"/>
      <c r="D579" s="50" t="n"/>
      <c r="E579" s="50" t="n"/>
      <c r="F579" s="48" t="n"/>
      <c r="G579" s="47" t="n"/>
      <c r="H579" s="47" t="n"/>
      <c r="I579" s="47" t="n"/>
      <c r="J579" s="47" t="n"/>
      <c r="K579" s="47" t="n"/>
      <c r="L579" s="47" t="n"/>
      <c r="M579" s="50" t="n"/>
      <c r="N579" s="50" t="n"/>
      <c r="O579" s="50" t="n"/>
      <c r="P579" s="48">
        <f>IF($F579="","",IF($J579="Yes",$F579+1,IF($G579="No",$F579+2,IF(N($I579)&gt;2,$F579+3,IF(N($I579)&gt;0,$F579+5,$F579+7)))))</f>
        <v/>
      </c>
      <c r="Q579" s="48">
        <f>IF($P579="","",IF($J579="Yes",$P579+3,IF($G579="No",$P579+5,IF(N($I579)&gt;0,$P579+7,$P579+14))))</f>
        <v/>
      </c>
      <c r="R579" s="48">
        <f>IF($Q579="","",IF($J579="Yes",$Q579+7,IF($G579="No",$Q579+14,$Q579+30)))</f>
        <v/>
      </c>
      <c r="S579" s="47" t="n"/>
      <c r="T579" s="50" t="n"/>
      <c r="U579" s="47">
        <f>IF($F579="","",MIN(24,MAX(1,ROUNDUP(($F579-DayPlan!$C$2+1)/7,0))))</f>
        <v/>
      </c>
      <c r="V579" s="47">
        <f>IF($A579=""," ",4*($J579="Yes")+3*($G579="No")+2*(N($I579)&gt;0)+1*(AND(ISNUMBER($H579),$H579&gt;45))+3*(AND(ISNUMBER($P579),$P579&lt;=TODAY()))-6*($S579="Yes")+(750-ROW())/100000)</f>
        <v/>
      </c>
      <c r="W579" s="47">
        <f>IF(OR($A579="",NOT(ISNUMBER($P579))),"",INT($P579-TODAY()))</f>
        <v/>
      </c>
      <c r="X579" s="47" t="n"/>
    </row>
    <row r="580">
      <c r="A580" s="50" t="n"/>
      <c r="B580" s="47" t="n"/>
      <c r="C580" s="47" t="n"/>
      <c r="D580" s="50" t="n"/>
      <c r="E580" s="50" t="n"/>
      <c r="F580" s="48" t="n"/>
      <c r="G580" s="47" t="n"/>
      <c r="H580" s="47" t="n"/>
      <c r="I580" s="47" t="n"/>
      <c r="J580" s="47" t="n"/>
      <c r="K580" s="47" t="n"/>
      <c r="L580" s="47" t="n"/>
      <c r="M580" s="50" t="n"/>
      <c r="N580" s="50" t="n"/>
      <c r="O580" s="50" t="n"/>
      <c r="P580" s="48">
        <f>IF($F580="","",IF($J580="Yes",$F580+1,IF($G580="No",$F580+2,IF(N($I580)&gt;2,$F580+3,IF(N($I580)&gt;0,$F580+5,$F580+7)))))</f>
        <v/>
      </c>
      <c r="Q580" s="48">
        <f>IF($P580="","",IF($J580="Yes",$P580+3,IF($G580="No",$P580+5,IF(N($I580)&gt;0,$P580+7,$P580+14))))</f>
        <v/>
      </c>
      <c r="R580" s="48">
        <f>IF($Q580="","",IF($J580="Yes",$Q580+7,IF($G580="No",$Q580+14,$Q580+30)))</f>
        <v/>
      </c>
      <c r="S580" s="47" t="n"/>
      <c r="T580" s="50" t="n"/>
      <c r="U580" s="47">
        <f>IF($F580="","",MIN(24,MAX(1,ROUNDUP(($F580-DayPlan!$C$2+1)/7,0))))</f>
        <v/>
      </c>
      <c r="V580" s="47">
        <f>IF($A580=""," ",4*($J580="Yes")+3*($G580="No")+2*(N($I580)&gt;0)+1*(AND(ISNUMBER($H580),$H580&gt;45))+3*(AND(ISNUMBER($P580),$P580&lt;=TODAY()))-6*($S580="Yes")+(750-ROW())/100000)</f>
        <v/>
      </c>
      <c r="W580" s="47">
        <f>IF(OR($A580="",NOT(ISNUMBER($P580))),"",INT($P580-TODAY()))</f>
        <v/>
      </c>
      <c r="X580" s="47" t="n"/>
    </row>
    <row r="581">
      <c r="A581" s="50" t="n"/>
      <c r="B581" s="47" t="n"/>
      <c r="C581" s="47" t="n"/>
      <c r="D581" s="50" t="n"/>
      <c r="E581" s="50" t="n"/>
      <c r="F581" s="48" t="n"/>
      <c r="G581" s="47" t="n"/>
      <c r="H581" s="47" t="n"/>
      <c r="I581" s="47" t="n"/>
      <c r="J581" s="47" t="n"/>
      <c r="K581" s="47" t="n"/>
      <c r="L581" s="47" t="n"/>
      <c r="M581" s="50" t="n"/>
      <c r="N581" s="50" t="n"/>
      <c r="O581" s="50" t="n"/>
      <c r="P581" s="48">
        <f>IF($F581="","",IF($J581="Yes",$F581+1,IF($G581="No",$F581+2,IF(N($I581)&gt;2,$F581+3,IF(N($I581)&gt;0,$F581+5,$F581+7)))))</f>
        <v/>
      </c>
      <c r="Q581" s="48">
        <f>IF($P581="","",IF($J581="Yes",$P581+3,IF($G581="No",$P581+5,IF(N($I581)&gt;0,$P581+7,$P581+14))))</f>
        <v/>
      </c>
      <c r="R581" s="48">
        <f>IF($Q581="","",IF($J581="Yes",$Q581+7,IF($G581="No",$Q581+14,$Q581+30)))</f>
        <v/>
      </c>
      <c r="S581" s="47" t="n"/>
      <c r="T581" s="50" t="n"/>
      <c r="U581" s="47">
        <f>IF($F581="","",MIN(24,MAX(1,ROUNDUP(($F581-DayPlan!$C$2+1)/7,0))))</f>
        <v/>
      </c>
      <c r="V581" s="47">
        <f>IF($A581=""," ",4*($J581="Yes")+3*($G581="No")+2*(N($I581)&gt;0)+1*(AND(ISNUMBER($H581),$H581&gt;45))+3*(AND(ISNUMBER($P581),$P581&lt;=TODAY()))-6*($S581="Yes")+(750-ROW())/100000)</f>
        <v/>
      </c>
      <c r="W581" s="47">
        <f>IF(OR($A581="",NOT(ISNUMBER($P581))),"",INT($P581-TODAY()))</f>
        <v/>
      </c>
      <c r="X581" s="47" t="n"/>
    </row>
    <row r="582">
      <c r="A582" s="50" t="n"/>
      <c r="B582" s="47" t="n"/>
      <c r="C582" s="47" t="n"/>
      <c r="D582" s="50" t="n"/>
      <c r="E582" s="50" t="n"/>
      <c r="F582" s="48" t="n"/>
      <c r="G582" s="47" t="n"/>
      <c r="H582" s="47" t="n"/>
      <c r="I582" s="47" t="n"/>
      <c r="J582" s="47" t="n"/>
      <c r="K582" s="47" t="n"/>
      <c r="L582" s="47" t="n"/>
      <c r="M582" s="50" t="n"/>
      <c r="N582" s="50" t="n"/>
      <c r="O582" s="50" t="n"/>
      <c r="P582" s="48">
        <f>IF($F582="","",IF($J582="Yes",$F582+1,IF($G582="No",$F582+2,IF(N($I582)&gt;2,$F582+3,IF(N($I582)&gt;0,$F582+5,$F582+7)))))</f>
        <v/>
      </c>
      <c r="Q582" s="48">
        <f>IF($P582="","",IF($J582="Yes",$P582+3,IF($G582="No",$P582+5,IF(N($I582)&gt;0,$P582+7,$P582+14))))</f>
        <v/>
      </c>
      <c r="R582" s="48">
        <f>IF($Q582="","",IF($J582="Yes",$Q582+7,IF($G582="No",$Q582+14,$Q582+30)))</f>
        <v/>
      </c>
      <c r="S582" s="47" t="n"/>
      <c r="T582" s="50" t="n"/>
      <c r="U582" s="47">
        <f>IF($F582="","",MIN(24,MAX(1,ROUNDUP(($F582-DayPlan!$C$2+1)/7,0))))</f>
        <v/>
      </c>
      <c r="V582" s="47">
        <f>IF($A582=""," ",4*($J582="Yes")+3*($G582="No")+2*(N($I582)&gt;0)+1*(AND(ISNUMBER($H582),$H582&gt;45))+3*(AND(ISNUMBER($P582),$P582&lt;=TODAY()))-6*($S582="Yes")+(750-ROW())/100000)</f>
        <v/>
      </c>
      <c r="W582" s="47">
        <f>IF(OR($A582="",NOT(ISNUMBER($P582))),"",INT($P582-TODAY()))</f>
        <v/>
      </c>
      <c r="X582" s="47" t="n"/>
    </row>
    <row r="583">
      <c r="A583" s="50" t="n"/>
      <c r="B583" s="47" t="n"/>
      <c r="C583" s="47" t="n"/>
      <c r="D583" s="50" t="n"/>
      <c r="E583" s="50" t="n"/>
      <c r="F583" s="48" t="n"/>
      <c r="G583" s="47" t="n"/>
      <c r="H583" s="47" t="n"/>
      <c r="I583" s="47" t="n"/>
      <c r="J583" s="47" t="n"/>
      <c r="K583" s="47" t="n"/>
      <c r="L583" s="47" t="n"/>
      <c r="M583" s="50" t="n"/>
      <c r="N583" s="50" t="n"/>
      <c r="O583" s="50" t="n"/>
      <c r="P583" s="48">
        <f>IF($F583="","",IF($J583="Yes",$F583+1,IF($G583="No",$F583+2,IF(N($I583)&gt;2,$F583+3,IF(N($I583)&gt;0,$F583+5,$F583+7)))))</f>
        <v/>
      </c>
      <c r="Q583" s="48">
        <f>IF($P583="","",IF($J583="Yes",$P583+3,IF($G583="No",$P583+5,IF(N($I583)&gt;0,$P583+7,$P583+14))))</f>
        <v/>
      </c>
      <c r="R583" s="48">
        <f>IF($Q583="","",IF($J583="Yes",$Q583+7,IF($G583="No",$Q583+14,$Q583+30)))</f>
        <v/>
      </c>
      <c r="S583" s="47" t="n"/>
      <c r="T583" s="50" t="n"/>
      <c r="U583" s="47">
        <f>IF($F583="","",MIN(24,MAX(1,ROUNDUP(($F583-DayPlan!$C$2+1)/7,0))))</f>
        <v/>
      </c>
      <c r="V583" s="47">
        <f>IF($A583=""," ",4*($J583="Yes")+3*($G583="No")+2*(N($I583)&gt;0)+1*(AND(ISNUMBER($H583),$H583&gt;45))+3*(AND(ISNUMBER($P583),$P583&lt;=TODAY()))-6*($S583="Yes")+(750-ROW())/100000)</f>
        <v/>
      </c>
      <c r="W583" s="47">
        <f>IF(OR($A583="",NOT(ISNUMBER($P583))),"",INT($P583-TODAY()))</f>
        <v/>
      </c>
      <c r="X583" s="47" t="n"/>
    </row>
    <row r="584">
      <c r="A584" s="50" t="n"/>
      <c r="B584" s="47" t="n"/>
      <c r="C584" s="47" t="n"/>
      <c r="D584" s="50" t="n"/>
      <c r="E584" s="50" t="n"/>
      <c r="F584" s="48" t="n"/>
      <c r="G584" s="47" t="n"/>
      <c r="H584" s="47" t="n"/>
      <c r="I584" s="47" t="n"/>
      <c r="J584" s="47" t="n"/>
      <c r="K584" s="47" t="n"/>
      <c r="L584" s="47" t="n"/>
      <c r="M584" s="50" t="n"/>
      <c r="N584" s="50" t="n"/>
      <c r="O584" s="50" t="n"/>
      <c r="P584" s="48">
        <f>IF($F584="","",IF($J584="Yes",$F584+1,IF($G584="No",$F584+2,IF(N($I584)&gt;2,$F584+3,IF(N($I584)&gt;0,$F584+5,$F584+7)))))</f>
        <v/>
      </c>
      <c r="Q584" s="48">
        <f>IF($P584="","",IF($J584="Yes",$P584+3,IF($G584="No",$P584+5,IF(N($I584)&gt;0,$P584+7,$P584+14))))</f>
        <v/>
      </c>
      <c r="R584" s="48">
        <f>IF($Q584="","",IF($J584="Yes",$Q584+7,IF($G584="No",$Q584+14,$Q584+30)))</f>
        <v/>
      </c>
      <c r="S584" s="47" t="n"/>
      <c r="T584" s="50" t="n"/>
      <c r="U584" s="47">
        <f>IF($F584="","",MIN(24,MAX(1,ROUNDUP(($F584-DayPlan!$C$2+1)/7,0))))</f>
        <v/>
      </c>
      <c r="V584" s="47">
        <f>IF($A584=""," ",4*($J584="Yes")+3*($G584="No")+2*(N($I584)&gt;0)+1*(AND(ISNUMBER($H584),$H584&gt;45))+3*(AND(ISNUMBER($P584),$P584&lt;=TODAY()))-6*($S584="Yes")+(750-ROW())/100000)</f>
        <v/>
      </c>
      <c r="W584" s="47">
        <f>IF(OR($A584="",NOT(ISNUMBER($P584))),"",INT($P584-TODAY()))</f>
        <v/>
      </c>
      <c r="X584" s="47" t="n"/>
    </row>
    <row r="585">
      <c r="A585" s="50" t="n"/>
      <c r="B585" s="47" t="n"/>
      <c r="C585" s="47" t="n"/>
      <c r="D585" s="50" t="n"/>
      <c r="E585" s="50" t="n"/>
      <c r="F585" s="48" t="n"/>
      <c r="G585" s="47" t="n"/>
      <c r="H585" s="47" t="n"/>
      <c r="I585" s="47" t="n"/>
      <c r="J585" s="47" t="n"/>
      <c r="K585" s="47" t="n"/>
      <c r="L585" s="47" t="n"/>
      <c r="M585" s="50" t="n"/>
      <c r="N585" s="50" t="n"/>
      <c r="O585" s="50" t="n"/>
      <c r="P585" s="48">
        <f>IF($F585="","",IF($J585="Yes",$F585+1,IF($G585="No",$F585+2,IF(N($I585)&gt;2,$F585+3,IF(N($I585)&gt;0,$F585+5,$F585+7)))))</f>
        <v/>
      </c>
      <c r="Q585" s="48">
        <f>IF($P585="","",IF($J585="Yes",$P585+3,IF($G585="No",$P585+5,IF(N($I585)&gt;0,$P585+7,$P585+14))))</f>
        <v/>
      </c>
      <c r="R585" s="48">
        <f>IF($Q585="","",IF($J585="Yes",$Q585+7,IF($G585="No",$Q585+14,$Q585+30)))</f>
        <v/>
      </c>
      <c r="S585" s="47" t="n"/>
      <c r="T585" s="50" t="n"/>
      <c r="U585" s="47">
        <f>IF($F585="","",MIN(24,MAX(1,ROUNDUP(($F585-DayPlan!$C$2+1)/7,0))))</f>
        <v/>
      </c>
      <c r="V585" s="47">
        <f>IF($A585=""," ",4*($J585="Yes")+3*($G585="No")+2*(N($I585)&gt;0)+1*(AND(ISNUMBER($H585),$H585&gt;45))+3*(AND(ISNUMBER($P585),$P585&lt;=TODAY()))-6*($S585="Yes")+(750-ROW())/100000)</f>
        <v/>
      </c>
      <c r="W585" s="47">
        <f>IF(OR($A585="",NOT(ISNUMBER($P585))),"",INT($P585-TODAY()))</f>
        <v/>
      </c>
      <c r="X585" s="47" t="n"/>
    </row>
    <row r="586">
      <c r="A586" s="50" t="n"/>
      <c r="B586" s="47" t="n"/>
      <c r="C586" s="47" t="n"/>
      <c r="D586" s="50" t="n"/>
      <c r="E586" s="50" t="n"/>
      <c r="F586" s="48" t="n"/>
      <c r="G586" s="47" t="n"/>
      <c r="H586" s="47" t="n"/>
      <c r="I586" s="47" t="n"/>
      <c r="J586" s="47" t="n"/>
      <c r="K586" s="47" t="n"/>
      <c r="L586" s="47" t="n"/>
      <c r="M586" s="50" t="n"/>
      <c r="N586" s="50" t="n"/>
      <c r="O586" s="50" t="n"/>
      <c r="P586" s="48">
        <f>IF($F586="","",IF($J586="Yes",$F586+1,IF($G586="No",$F586+2,IF(N($I586)&gt;2,$F586+3,IF(N($I586)&gt;0,$F586+5,$F586+7)))))</f>
        <v/>
      </c>
      <c r="Q586" s="48">
        <f>IF($P586="","",IF($J586="Yes",$P586+3,IF($G586="No",$P586+5,IF(N($I586)&gt;0,$P586+7,$P586+14))))</f>
        <v/>
      </c>
      <c r="R586" s="48">
        <f>IF($Q586="","",IF($J586="Yes",$Q586+7,IF($G586="No",$Q586+14,$Q586+30)))</f>
        <v/>
      </c>
      <c r="S586" s="47" t="n"/>
      <c r="T586" s="50" t="n"/>
      <c r="U586" s="47">
        <f>IF($F586="","",MIN(24,MAX(1,ROUNDUP(($F586-DayPlan!$C$2+1)/7,0))))</f>
        <v/>
      </c>
      <c r="V586" s="47">
        <f>IF($A586=""," ",4*($J586="Yes")+3*($G586="No")+2*(N($I586)&gt;0)+1*(AND(ISNUMBER($H586),$H586&gt;45))+3*(AND(ISNUMBER($P586),$P586&lt;=TODAY()))-6*($S586="Yes")+(750-ROW())/100000)</f>
        <v/>
      </c>
      <c r="W586" s="47">
        <f>IF(OR($A586="",NOT(ISNUMBER($P586))),"",INT($P586-TODAY()))</f>
        <v/>
      </c>
      <c r="X586" s="47" t="n"/>
    </row>
    <row r="587">
      <c r="A587" s="50" t="n"/>
      <c r="B587" s="47" t="n"/>
      <c r="C587" s="47" t="n"/>
      <c r="D587" s="50" t="n"/>
      <c r="E587" s="50" t="n"/>
      <c r="F587" s="48" t="n"/>
      <c r="G587" s="47" t="n"/>
      <c r="H587" s="47" t="n"/>
      <c r="I587" s="47" t="n"/>
      <c r="J587" s="47" t="n"/>
      <c r="K587" s="47" t="n"/>
      <c r="L587" s="47" t="n"/>
      <c r="M587" s="50" t="n"/>
      <c r="N587" s="50" t="n"/>
      <c r="O587" s="50" t="n"/>
      <c r="P587" s="48">
        <f>IF($F587="","",IF($J587="Yes",$F587+1,IF($G587="No",$F587+2,IF(N($I587)&gt;2,$F587+3,IF(N($I587)&gt;0,$F587+5,$F587+7)))))</f>
        <v/>
      </c>
      <c r="Q587" s="48">
        <f>IF($P587="","",IF($J587="Yes",$P587+3,IF($G587="No",$P587+5,IF(N($I587)&gt;0,$P587+7,$P587+14))))</f>
        <v/>
      </c>
      <c r="R587" s="48">
        <f>IF($Q587="","",IF($J587="Yes",$Q587+7,IF($G587="No",$Q587+14,$Q587+30)))</f>
        <v/>
      </c>
      <c r="S587" s="47" t="n"/>
      <c r="T587" s="50" t="n"/>
      <c r="U587" s="47">
        <f>IF($F587="","",MIN(24,MAX(1,ROUNDUP(($F587-DayPlan!$C$2+1)/7,0))))</f>
        <v/>
      </c>
      <c r="V587" s="47">
        <f>IF($A587=""," ",4*($J587="Yes")+3*($G587="No")+2*(N($I587)&gt;0)+1*(AND(ISNUMBER($H587),$H587&gt;45))+3*(AND(ISNUMBER($P587),$P587&lt;=TODAY()))-6*($S587="Yes")+(750-ROW())/100000)</f>
        <v/>
      </c>
      <c r="W587" s="47">
        <f>IF(OR($A587="",NOT(ISNUMBER($P587))),"",INT($P587-TODAY()))</f>
        <v/>
      </c>
      <c r="X587" s="47" t="n"/>
    </row>
    <row r="588">
      <c r="A588" s="50" t="n"/>
      <c r="B588" s="47" t="n"/>
      <c r="C588" s="47" t="n"/>
      <c r="D588" s="50" t="n"/>
      <c r="E588" s="50" t="n"/>
      <c r="F588" s="48" t="n"/>
      <c r="G588" s="47" t="n"/>
      <c r="H588" s="47" t="n"/>
      <c r="I588" s="47" t="n"/>
      <c r="J588" s="47" t="n"/>
      <c r="K588" s="47" t="n"/>
      <c r="L588" s="47" t="n"/>
      <c r="M588" s="50" t="n"/>
      <c r="N588" s="50" t="n"/>
      <c r="O588" s="50" t="n"/>
      <c r="P588" s="48">
        <f>IF($F588="","",IF($J588="Yes",$F588+1,IF($G588="No",$F588+2,IF(N($I588)&gt;2,$F588+3,IF(N($I588)&gt;0,$F588+5,$F588+7)))))</f>
        <v/>
      </c>
      <c r="Q588" s="48">
        <f>IF($P588="","",IF($J588="Yes",$P588+3,IF($G588="No",$P588+5,IF(N($I588)&gt;0,$P588+7,$P588+14))))</f>
        <v/>
      </c>
      <c r="R588" s="48">
        <f>IF($Q588="","",IF($J588="Yes",$Q588+7,IF($G588="No",$Q588+14,$Q588+30)))</f>
        <v/>
      </c>
      <c r="S588" s="47" t="n"/>
      <c r="T588" s="50" t="n"/>
      <c r="U588" s="47">
        <f>IF($F588="","",MIN(24,MAX(1,ROUNDUP(($F588-DayPlan!$C$2+1)/7,0))))</f>
        <v/>
      </c>
      <c r="V588" s="47">
        <f>IF($A588=""," ",4*($J588="Yes")+3*($G588="No")+2*(N($I588)&gt;0)+1*(AND(ISNUMBER($H588),$H588&gt;45))+3*(AND(ISNUMBER($P588),$P588&lt;=TODAY()))-6*($S588="Yes")+(750-ROW())/100000)</f>
        <v/>
      </c>
      <c r="W588" s="47">
        <f>IF(OR($A588="",NOT(ISNUMBER($P588))),"",INT($P588-TODAY()))</f>
        <v/>
      </c>
      <c r="X588" s="47" t="n"/>
    </row>
    <row r="589">
      <c r="A589" s="50" t="n"/>
      <c r="B589" s="47" t="n"/>
      <c r="C589" s="47" t="n"/>
      <c r="D589" s="50" t="n"/>
      <c r="E589" s="50" t="n"/>
      <c r="F589" s="48" t="n"/>
      <c r="G589" s="47" t="n"/>
      <c r="H589" s="47" t="n"/>
      <c r="I589" s="47" t="n"/>
      <c r="J589" s="47" t="n"/>
      <c r="K589" s="47" t="n"/>
      <c r="L589" s="47" t="n"/>
      <c r="M589" s="50" t="n"/>
      <c r="N589" s="50" t="n"/>
      <c r="O589" s="50" t="n"/>
      <c r="P589" s="48">
        <f>IF($F589="","",IF($J589="Yes",$F589+1,IF($G589="No",$F589+2,IF(N($I589)&gt;2,$F589+3,IF(N($I589)&gt;0,$F589+5,$F589+7)))))</f>
        <v/>
      </c>
      <c r="Q589" s="48">
        <f>IF($P589="","",IF($J589="Yes",$P589+3,IF($G589="No",$P589+5,IF(N($I589)&gt;0,$P589+7,$P589+14))))</f>
        <v/>
      </c>
      <c r="R589" s="48">
        <f>IF($Q589="","",IF($J589="Yes",$Q589+7,IF($G589="No",$Q589+14,$Q589+30)))</f>
        <v/>
      </c>
      <c r="S589" s="47" t="n"/>
      <c r="T589" s="50" t="n"/>
      <c r="U589" s="47">
        <f>IF($F589="","",MIN(24,MAX(1,ROUNDUP(($F589-DayPlan!$C$2+1)/7,0))))</f>
        <v/>
      </c>
      <c r="V589" s="47">
        <f>IF($A589=""," ",4*($J589="Yes")+3*($G589="No")+2*(N($I589)&gt;0)+1*(AND(ISNUMBER($H589),$H589&gt;45))+3*(AND(ISNUMBER($P589),$P589&lt;=TODAY()))-6*($S589="Yes")+(750-ROW())/100000)</f>
        <v/>
      </c>
      <c r="W589" s="47">
        <f>IF(OR($A589="",NOT(ISNUMBER($P589))),"",INT($P589-TODAY()))</f>
        <v/>
      </c>
      <c r="X589" s="47" t="n"/>
    </row>
    <row r="590">
      <c r="A590" s="50" t="n"/>
      <c r="B590" s="47" t="n"/>
      <c r="C590" s="47" t="n"/>
      <c r="D590" s="50" t="n"/>
      <c r="E590" s="50" t="n"/>
      <c r="F590" s="48" t="n"/>
      <c r="G590" s="47" t="n"/>
      <c r="H590" s="47" t="n"/>
      <c r="I590" s="47" t="n"/>
      <c r="J590" s="47" t="n"/>
      <c r="K590" s="47" t="n"/>
      <c r="L590" s="47" t="n"/>
      <c r="M590" s="50" t="n"/>
      <c r="N590" s="50" t="n"/>
      <c r="O590" s="50" t="n"/>
      <c r="P590" s="48">
        <f>IF($F590="","",IF($J590="Yes",$F590+1,IF($G590="No",$F590+2,IF(N($I590)&gt;2,$F590+3,IF(N($I590)&gt;0,$F590+5,$F590+7)))))</f>
        <v/>
      </c>
      <c r="Q590" s="48">
        <f>IF($P590="","",IF($J590="Yes",$P590+3,IF($G590="No",$P590+5,IF(N($I590)&gt;0,$P590+7,$P590+14))))</f>
        <v/>
      </c>
      <c r="R590" s="48">
        <f>IF($Q590="","",IF($J590="Yes",$Q590+7,IF($G590="No",$Q590+14,$Q590+30)))</f>
        <v/>
      </c>
      <c r="S590" s="47" t="n"/>
      <c r="T590" s="50" t="n"/>
      <c r="U590" s="47">
        <f>IF($F590="","",MIN(24,MAX(1,ROUNDUP(($F590-DayPlan!$C$2+1)/7,0))))</f>
        <v/>
      </c>
      <c r="V590" s="47">
        <f>IF($A590=""," ",4*($J590="Yes")+3*($G590="No")+2*(N($I590)&gt;0)+1*(AND(ISNUMBER($H590),$H590&gt;45))+3*(AND(ISNUMBER($P590),$P590&lt;=TODAY()))-6*($S590="Yes")+(750-ROW())/100000)</f>
        <v/>
      </c>
      <c r="W590" s="47">
        <f>IF(OR($A590="",NOT(ISNUMBER($P590))),"",INT($P590-TODAY()))</f>
        <v/>
      </c>
      <c r="X590" s="47" t="n"/>
    </row>
    <row r="591">
      <c r="A591" s="50" t="n"/>
      <c r="B591" s="47" t="n"/>
      <c r="C591" s="47" t="n"/>
      <c r="D591" s="50" t="n"/>
      <c r="E591" s="50" t="n"/>
      <c r="F591" s="48" t="n"/>
      <c r="G591" s="47" t="n"/>
      <c r="H591" s="47" t="n"/>
      <c r="I591" s="47" t="n"/>
      <c r="J591" s="47" t="n"/>
      <c r="K591" s="47" t="n"/>
      <c r="L591" s="47" t="n"/>
      <c r="M591" s="50" t="n"/>
      <c r="N591" s="50" t="n"/>
      <c r="O591" s="50" t="n"/>
      <c r="P591" s="48">
        <f>IF($F591="","",IF($J591="Yes",$F591+1,IF($G591="No",$F591+2,IF(N($I591)&gt;2,$F591+3,IF(N($I591)&gt;0,$F591+5,$F591+7)))))</f>
        <v/>
      </c>
      <c r="Q591" s="48">
        <f>IF($P591="","",IF($J591="Yes",$P591+3,IF($G591="No",$P591+5,IF(N($I591)&gt;0,$P591+7,$P591+14))))</f>
        <v/>
      </c>
      <c r="R591" s="48">
        <f>IF($Q591="","",IF($J591="Yes",$Q591+7,IF($G591="No",$Q591+14,$Q591+30)))</f>
        <v/>
      </c>
      <c r="S591" s="47" t="n"/>
      <c r="T591" s="50" t="n"/>
      <c r="U591" s="47">
        <f>IF($F591="","",MIN(24,MAX(1,ROUNDUP(($F591-DayPlan!$C$2+1)/7,0))))</f>
        <v/>
      </c>
      <c r="V591" s="47">
        <f>IF($A591=""," ",4*($J591="Yes")+3*($G591="No")+2*(N($I591)&gt;0)+1*(AND(ISNUMBER($H591),$H591&gt;45))+3*(AND(ISNUMBER($P591),$P591&lt;=TODAY()))-6*($S591="Yes")+(750-ROW())/100000)</f>
        <v/>
      </c>
      <c r="W591" s="47">
        <f>IF(OR($A591="",NOT(ISNUMBER($P591))),"",INT($P591-TODAY()))</f>
        <v/>
      </c>
      <c r="X591" s="47" t="n"/>
    </row>
    <row r="592">
      <c r="A592" s="50" t="n"/>
      <c r="B592" s="47" t="n"/>
      <c r="C592" s="47" t="n"/>
      <c r="D592" s="50" t="n"/>
      <c r="E592" s="50" t="n"/>
      <c r="F592" s="48" t="n"/>
      <c r="G592" s="47" t="n"/>
      <c r="H592" s="47" t="n"/>
      <c r="I592" s="47" t="n"/>
      <c r="J592" s="47" t="n"/>
      <c r="K592" s="47" t="n"/>
      <c r="L592" s="47" t="n"/>
      <c r="M592" s="50" t="n"/>
      <c r="N592" s="50" t="n"/>
      <c r="O592" s="50" t="n"/>
      <c r="P592" s="48">
        <f>IF($F592="","",IF($J592="Yes",$F592+1,IF($G592="No",$F592+2,IF(N($I592)&gt;2,$F592+3,IF(N($I592)&gt;0,$F592+5,$F592+7)))))</f>
        <v/>
      </c>
      <c r="Q592" s="48">
        <f>IF($P592="","",IF($J592="Yes",$P592+3,IF($G592="No",$P592+5,IF(N($I592)&gt;0,$P592+7,$P592+14))))</f>
        <v/>
      </c>
      <c r="R592" s="48">
        <f>IF($Q592="","",IF($J592="Yes",$Q592+7,IF($G592="No",$Q592+14,$Q592+30)))</f>
        <v/>
      </c>
      <c r="S592" s="47" t="n"/>
      <c r="T592" s="50" t="n"/>
      <c r="U592" s="47">
        <f>IF($F592="","",MIN(24,MAX(1,ROUNDUP(($F592-DayPlan!$C$2+1)/7,0))))</f>
        <v/>
      </c>
      <c r="V592" s="47">
        <f>IF($A592=""," ",4*($J592="Yes")+3*($G592="No")+2*(N($I592)&gt;0)+1*(AND(ISNUMBER($H592),$H592&gt;45))+3*(AND(ISNUMBER($P592),$P592&lt;=TODAY()))-6*($S592="Yes")+(750-ROW())/100000)</f>
        <v/>
      </c>
      <c r="W592" s="47">
        <f>IF(OR($A592="",NOT(ISNUMBER($P592))),"",INT($P592-TODAY()))</f>
        <v/>
      </c>
      <c r="X592" s="47" t="n"/>
    </row>
    <row r="593">
      <c r="A593" s="50" t="n"/>
      <c r="B593" s="47" t="n"/>
      <c r="C593" s="47" t="n"/>
      <c r="D593" s="50" t="n"/>
      <c r="E593" s="50" t="n"/>
      <c r="F593" s="48" t="n"/>
      <c r="G593" s="47" t="n"/>
      <c r="H593" s="47" t="n"/>
      <c r="I593" s="47" t="n"/>
      <c r="J593" s="47" t="n"/>
      <c r="K593" s="47" t="n"/>
      <c r="L593" s="47" t="n"/>
      <c r="M593" s="50" t="n"/>
      <c r="N593" s="50" t="n"/>
      <c r="O593" s="50" t="n"/>
      <c r="P593" s="48">
        <f>IF($F593="","",IF($J593="Yes",$F593+1,IF($G593="No",$F593+2,IF(N($I593)&gt;2,$F593+3,IF(N($I593)&gt;0,$F593+5,$F593+7)))))</f>
        <v/>
      </c>
      <c r="Q593" s="48">
        <f>IF($P593="","",IF($J593="Yes",$P593+3,IF($G593="No",$P593+5,IF(N($I593)&gt;0,$P593+7,$P593+14))))</f>
        <v/>
      </c>
      <c r="R593" s="48">
        <f>IF($Q593="","",IF($J593="Yes",$Q593+7,IF($G593="No",$Q593+14,$Q593+30)))</f>
        <v/>
      </c>
      <c r="S593" s="47" t="n"/>
      <c r="T593" s="50" t="n"/>
      <c r="U593" s="47">
        <f>IF($F593="","",MIN(24,MAX(1,ROUNDUP(($F593-DayPlan!$C$2+1)/7,0))))</f>
        <v/>
      </c>
      <c r="V593" s="47">
        <f>IF($A593=""," ",4*($J593="Yes")+3*($G593="No")+2*(N($I593)&gt;0)+1*(AND(ISNUMBER($H593),$H593&gt;45))+3*(AND(ISNUMBER($P593),$P593&lt;=TODAY()))-6*($S593="Yes")+(750-ROW())/100000)</f>
        <v/>
      </c>
      <c r="W593" s="47">
        <f>IF(OR($A593="",NOT(ISNUMBER($P593))),"",INT($P593-TODAY()))</f>
        <v/>
      </c>
      <c r="X593" s="47" t="n"/>
    </row>
    <row r="594">
      <c r="A594" s="50" t="n"/>
      <c r="B594" s="47" t="n"/>
      <c r="C594" s="47" t="n"/>
      <c r="D594" s="50" t="n"/>
      <c r="E594" s="50" t="n"/>
      <c r="F594" s="48" t="n"/>
      <c r="G594" s="47" t="n"/>
      <c r="H594" s="47" t="n"/>
      <c r="I594" s="47" t="n"/>
      <c r="J594" s="47" t="n"/>
      <c r="K594" s="47" t="n"/>
      <c r="L594" s="47" t="n"/>
      <c r="M594" s="50" t="n"/>
      <c r="N594" s="50" t="n"/>
      <c r="O594" s="50" t="n"/>
      <c r="P594" s="48">
        <f>IF($F594="","",IF($J594="Yes",$F594+1,IF($G594="No",$F594+2,IF(N($I594)&gt;2,$F594+3,IF(N($I594)&gt;0,$F594+5,$F594+7)))))</f>
        <v/>
      </c>
      <c r="Q594" s="48">
        <f>IF($P594="","",IF($J594="Yes",$P594+3,IF($G594="No",$P594+5,IF(N($I594)&gt;0,$P594+7,$P594+14))))</f>
        <v/>
      </c>
      <c r="R594" s="48">
        <f>IF($Q594="","",IF($J594="Yes",$Q594+7,IF($G594="No",$Q594+14,$Q594+30)))</f>
        <v/>
      </c>
      <c r="S594" s="47" t="n"/>
      <c r="T594" s="50" t="n"/>
      <c r="U594" s="47">
        <f>IF($F594="","",MIN(24,MAX(1,ROUNDUP(($F594-DayPlan!$C$2+1)/7,0))))</f>
        <v/>
      </c>
      <c r="V594" s="47">
        <f>IF($A594=""," ",4*($J594="Yes")+3*($G594="No")+2*(N($I594)&gt;0)+1*(AND(ISNUMBER($H594),$H594&gt;45))+3*(AND(ISNUMBER($P594),$P594&lt;=TODAY()))-6*($S594="Yes")+(750-ROW())/100000)</f>
        <v/>
      </c>
      <c r="W594" s="47">
        <f>IF(OR($A594="",NOT(ISNUMBER($P594))),"",INT($P594-TODAY()))</f>
        <v/>
      </c>
      <c r="X594" s="47" t="n"/>
    </row>
    <row r="595">
      <c r="A595" s="50" t="n"/>
      <c r="B595" s="47" t="n"/>
      <c r="C595" s="47" t="n"/>
      <c r="D595" s="50" t="n"/>
      <c r="E595" s="50" t="n"/>
      <c r="F595" s="48" t="n"/>
      <c r="G595" s="47" t="n"/>
      <c r="H595" s="47" t="n"/>
      <c r="I595" s="47" t="n"/>
      <c r="J595" s="47" t="n"/>
      <c r="K595" s="47" t="n"/>
      <c r="L595" s="47" t="n"/>
      <c r="M595" s="50" t="n"/>
      <c r="N595" s="50" t="n"/>
      <c r="O595" s="50" t="n"/>
      <c r="P595" s="48">
        <f>IF($F595="","",IF($J595="Yes",$F595+1,IF($G595="No",$F595+2,IF(N($I595)&gt;2,$F595+3,IF(N($I595)&gt;0,$F595+5,$F595+7)))))</f>
        <v/>
      </c>
      <c r="Q595" s="48">
        <f>IF($P595="","",IF($J595="Yes",$P595+3,IF($G595="No",$P595+5,IF(N($I595)&gt;0,$P595+7,$P595+14))))</f>
        <v/>
      </c>
      <c r="R595" s="48">
        <f>IF($Q595="","",IF($J595="Yes",$Q595+7,IF($G595="No",$Q595+14,$Q595+30)))</f>
        <v/>
      </c>
      <c r="S595" s="47" t="n"/>
      <c r="T595" s="50" t="n"/>
      <c r="U595" s="47">
        <f>IF($F595="","",MIN(24,MAX(1,ROUNDUP(($F595-DayPlan!$C$2+1)/7,0))))</f>
        <v/>
      </c>
      <c r="V595" s="47">
        <f>IF($A595=""," ",4*($J595="Yes")+3*($G595="No")+2*(N($I595)&gt;0)+1*(AND(ISNUMBER($H595),$H595&gt;45))+3*(AND(ISNUMBER($P595),$P595&lt;=TODAY()))-6*($S595="Yes")+(750-ROW())/100000)</f>
        <v/>
      </c>
      <c r="W595" s="47">
        <f>IF(OR($A595="",NOT(ISNUMBER($P595))),"",INT($P595-TODAY()))</f>
        <v/>
      </c>
      <c r="X595" s="47" t="n"/>
    </row>
    <row r="596">
      <c r="A596" s="50" t="n"/>
      <c r="B596" s="47" t="n"/>
      <c r="C596" s="47" t="n"/>
      <c r="D596" s="50" t="n"/>
      <c r="E596" s="50" t="n"/>
      <c r="F596" s="48" t="n"/>
      <c r="G596" s="47" t="n"/>
      <c r="H596" s="47" t="n"/>
      <c r="I596" s="47" t="n"/>
      <c r="J596" s="47" t="n"/>
      <c r="K596" s="47" t="n"/>
      <c r="L596" s="47" t="n"/>
      <c r="M596" s="50" t="n"/>
      <c r="N596" s="50" t="n"/>
      <c r="O596" s="50" t="n"/>
      <c r="P596" s="48">
        <f>IF($F596="","",IF($J596="Yes",$F596+1,IF($G596="No",$F596+2,IF(N($I596)&gt;2,$F596+3,IF(N($I596)&gt;0,$F596+5,$F596+7)))))</f>
        <v/>
      </c>
      <c r="Q596" s="48">
        <f>IF($P596="","",IF($J596="Yes",$P596+3,IF($G596="No",$P596+5,IF(N($I596)&gt;0,$P596+7,$P596+14))))</f>
        <v/>
      </c>
      <c r="R596" s="48">
        <f>IF($Q596="","",IF($J596="Yes",$Q596+7,IF($G596="No",$Q596+14,$Q596+30)))</f>
        <v/>
      </c>
      <c r="S596" s="47" t="n"/>
      <c r="T596" s="50" t="n"/>
      <c r="U596" s="47">
        <f>IF($F596="","",MIN(24,MAX(1,ROUNDUP(($F596-DayPlan!$C$2+1)/7,0))))</f>
        <v/>
      </c>
      <c r="V596" s="47">
        <f>IF($A596=""," ",4*($J596="Yes")+3*($G596="No")+2*(N($I596)&gt;0)+1*(AND(ISNUMBER($H596),$H596&gt;45))+3*(AND(ISNUMBER($P596),$P596&lt;=TODAY()))-6*($S596="Yes")+(750-ROW())/100000)</f>
        <v/>
      </c>
      <c r="W596" s="47">
        <f>IF(OR($A596="",NOT(ISNUMBER($P596))),"",INT($P596-TODAY()))</f>
        <v/>
      </c>
      <c r="X596" s="47" t="n"/>
    </row>
    <row r="597">
      <c r="A597" s="50" t="n"/>
      <c r="B597" s="47" t="n"/>
      <c r="C597" s="47" t="n"/>
      <c r="D597" s="50" t="n"/>
      <c r="E597" s="50" t="n"/>
      <c r="F597" s="48" t="n"/>
      <c r="G597" s="47" t="n"/>
      <c r="H597" s="47" t="n"/>
      <c r="I597" s="47" t="n"/>
      <c r="J597" s="47" t="n"/>
      <c r="K597" s="47" t="n"/>
      <c r="L597" s="47" t="n"/>
      <c r="M597" s="50" t="n"/>
      <c r="N597" s="50" t="n"/>
      <c r="O597" s="50" t="n"/>
      <c r="P597" s="48">
        <f>IF($F597="","",IF($J597="Yes",$F597+1,IF($G597="No",$F597+2,IF(N($I597)&gt;2,$F597+3,IF(N($I597)&gt;0,$F597+5,$F597+7)))))</f>
        <v/>
      </c>
      <c r="Q597" s="48">
        <f>IF($P597="","",IF($J597="Yes",$P597+3,IF($G597="No",$P597+5,IF(N($I597)&gt;0,$P597+7,$P597+14))))</f>
        <v/>
      </c>
      <c r="R597" s="48">
        <f>IF($Q597="","",IF($J597="Yes",$Q597+7,IF($G597="No",$Q597+14,$Q597+30)))</f>
        <v/>
      </c>
      <c r="S597" s="47" t="n"/>
      <c r="T597" s="50" t="n"/>
      <c r="U597" s="47">
        <f>IF($F597="","",MIN(24,MAX(1,ROUNDUP(($F597-DayPlan!$C$2+1)/7,0))))</f>
        <v/>
      </c>
      <c r="V597" s="47">
        <f>IF($A597=""," ",4*($J597="Yes")+3*($G597="No")+2*(N($I597)&gt;0)+1*(AND(ISNUMBER($H597),$H597&gt;45))+3*(AND(ISNUMBER($P597),$P597&lt;=TODAY()))-6*($S597="Yes")+(750-ROW())/100000)</f>
        <v/>
      </c>
      <c r="W597" s="47">
        <f>IF(OR($A597="",NOT(ISNUMBER($P597))),"",INT($P597-TODAY()))</f>
        <v/>
      </c>
      <c r="X597" s="47" t="n"/>
    </row>
    <row r="598">
      <c r="A598" s="50" t="n"/>
      <c r="B598" s="47" t="n"/>
      <c r="C598" s="47" t="n"/>
      <c r="D598" s="50" t="n"/>
      <c r="E598" s="50" t="n"/>
      <c r="F598" s="48" t="n"/>
      <c r="G598" s="47" t="n"/>
      <c r="H598" s="47" t="n"/>
      <c r="I598" s="47" t="n"/>
      <c r="J598" s="47" t="n"/>
      <c r="K598" s="47" t="n"/>
      <c r="L598" s="47" t="n"/>
      <c r="M598" s="50" t="n"/>
      <c r="N598" s="50" t="n"/>
      <c r="O598" s="50" t="n"/>
      <c r="P598" s="48">
        <f>IF($F598="","",IF($J598="Yes",$F598+1,IF($G598="No",$F598+2,IF(N($I598)&gt;2,$F598+3,IF(N($I598)&gt;0,$F598+5,$F598+7)))))</f>
        <v/>
      </c>
      <c r="Q598" s="48">
        <f>IF($P598="","",IF($J598="Yes",$P598+3,IF($G598="No",$P598+5,IF(N($I598)&gt;0,$P598+7,$P598+14))))</f>
        <v/>
      </c>
      <c r="R598" s="48">
        <f>IF($Q598="","",IF($J598="Yes",$Q598+7,IF($G598="No",$Q598+14,$Q598+30)))</f>
        <v/>
      </c>
      <c r="S598" s="47" t="n"/>
      <c r="T598" s="50" t="n"/>
      <c r="U598" s="47">
        <f>IF($F598="","",MIN(24,MAX(1,ROUNDUP(($F598-DayPlan!$C$2+1)/7,0))))</f>
        <v/>
      </c>
      <c r="V598" s="47">
        <f>IF($A598=""," ",4*($J598="Yes")+3*($G598="No")+2*(N($I598)&gt;0)+1*(AND(ISNUMBER($H598),$H598&gt;45))+3*(AND(ISNUMBER($P598),$P598&lt;=TODAY()))-6*($S598="Yes")+(750-ROW())/100000)</f>
        <v/>
      </c>
      <c r="W598" s="47">
        <f>IF(OR($A598="",NOT(ISNUMBER($P598))),"",INT($P598-TODAY()))</f>
        <v/>
      </c>
      <c r="X598" s="47" t="n"/>
    </row>
    <row r="599">
      <c r="A599" s="50" t="n"/>
      <c r="B599" s="47" t="n"/>
      <c r="C599" s="47" t="n"/>
      <c r="D599" s="50" t="n"/>
      <c r="E599" s="50" t="n"/>
      <c r="F599" s="48" t="n"/>
      <c r="G599" s="47" t="n"/>
      <c r="H599" s="47" t="n"/>
      <c r="I599" s="47" t="n"/>
      <c r="J599" s="47" t="n"/>
      <c r="K599" s="47" t="n"/>
      <c r="L599" s="47" t="n"/>
      <c r="M599" s="50" t="n"/>
      <c r="N599" s="50" t="n"/>
      <c r="O599" s="50" t="n"/>
      <c r="P599" s="48">
        <f>IF($F599="","",IF($J599="Yes",$F599+1,IF($G599="No",$F599+2,IF(N($I599)&gt;2,$F599+3,IF(N($I599)&gt;0,$F599+5,$F599+7)))))</f>
        <v/>
      </c>
      <c r="Q599" s="48">
        <f>IF($P599="","",IF($J599="Yes",$P599+3,IF($G599="No",$P599+5,IF(N($I599)&gt;0,$P599+7,$P599+14))))</f>
        <v/>
      </c>
      <c r="R599" s="48">
        <f>IF($Q599="","",IF($J599="Yes",$Q599+7,IF($G599="No",$Q599+14,$Q599+30)))</f>
        <v/>
      </c>
      <c r="S599" s="47" t="n"/>
      <c r="T599" s="50" t="n"/>
      <c r="U599" s="47">
        <f>IF($F599="","",MIN(24,MAX(1,ROUNDUP(($F599-DayPlan!$C$2+1)/7,0))))</f>
        <v/>
      </c>
      <c r="V599" s="47">
        <f>IF($A599=""," ",4*($J599="Yes")+3*($G599="No")+2*(N($I599)&gt;0)+1*(AND(ISNUMBER($H599),$H599&gt;45))+3*(AND(ISNUMBER($P599),$P599&lt;=TODAY()))-6*($S599="Yes")+(750-ROW())/100000)</f>
        <v/>
      </c>
      <c r="W599" s="47">
        <f>IF(OR($A599="",NOT(ISNUMBER($P599))),"",INT($P599-TODAY()))</f>
        <v/>
      </c>
      <c r="X599" s="47" t="n"/>
    </row>
    <row r="600">
      <c r="A600" s="50" t="n"/>
      <c r="B600" s="47" t="n"/>
      <c r="C600" s="47" t="n"/>
      <c r="D600" s="50" t="n"/>
      <c r="E600" s="50" t="n"/>
      <c r="F600" s="48" t="n"/>
      <c r="G600" s="47" t="n"/>
      <c r="H600" s="47" t="n"/>
      <c r="I600" s="47" t="n"/>
      <c r="J600" s="47" t="n"/>
      <c r="K600" s="47" t="n"/>
      <c r="L600" s="47" t="n"/>
      <c r="M600" s="50" t="n"/>
      <c r="N600" s="50" t="n"/>
      <c r="O600" s="50" t="n"/>
      <c r="P600" s="48">
        <f>IF($F600="","",IF($J600="Yes",$F600+1,IF($G600="No",$F600+2,IF(N($I600)&gt;2,$F600+3,IF(N($I600)&gt;0,$F600+5,$F600+7)))))</f>
        <v/>
      </c>
      <c r="Q600" s="48">
        <f>IF($P600="","",IF($J600="Yes",$P600+3,IF($G600="No",$P600+5,IF(N($I600)&gt;0,$P600+7,$P600+14))))</f>
        <v/>
      </c>
      <c r="R600" s="48">
        <f>IF($Q600="","",IF($J600="Yes",$Q600+7,IF($G600="No",$Q600+14,$Q600+30)))</f>
        <v/>
      </c>
      <c r="S600" s="47" t="n"/>
      <c r="T600" s="50" t="n"/>
      <c r="U600" s="47">
        <f>IF($F600="","",MIN(24,MAX(1,ROUNDUP(($F600-DayPlan!$C$2+1)/7,0))))</f>
        <v/>
      </c>
      <c r="V600" s="47">
        <f>IF($A600=""," ",4*($J600="Yes")+3*($G600="No")+2*(N($I600)&gt;0)+1*(AND(ISNUMBER($H600),$H600&gt;45))+3*(AND(ISNUMBER($P600),$P600&lt;=TODAY()))-6*($S600="Yes")+(750-ROW())/100000)</f>
        <v/>
      </c>
      <c r="W600" s="47">
        <f>IF(OR($A600="",NOT(ISNUMBER($P600))),"",INT($P600-TODAY()))</f>
        <v/>
      </c>
      <c r="X600" s="47" t="n"/>
    </row>
    <row r="601">
      <c r="A601" s="50" t="n"/>
      <c r="B601" s="47" t="n"/>
      <c r="C601" s="47" t="n"/>
      <c r="D601" s="50" t="n"/>
      <c r="E601" s="50" t="n"/>
      <c r="F601" s="48" t="n"/>
      <c r="G601" s="47" t="n"/>
      <c r="H601" s="47" t="n"/>
      <c r="I601" s="47" t="n"/>
      <c r="J601" s="47" t="n"/>
      <c r="K601" s="47" t="n"/>
      <c r="L601" s="47" t="n"/>
      <c r="M601" s="50" t="n"/>
      <c r="N601" s="50" t="n"/>
      <c r="O601" s="50" t="n"/>
      <c r="P601" s="48">
        <f>IF($F601="","",IF($J601="Yes",$F601+1,IF($G601="No",$F601+2,IF(N($I601)&gt;2,$F601+3,IF(N($I601)&gt;0,$F601+5,$F601+7)))))</f>
        <v/>
      </c>
      <c r="Q601" s="48">
        <f>IF($P601="","",IF($J601="Yes",$P601+3,IF($G601="No",$P601+5,IF(N($I601)&gt;0,$P601+7,$P601+14))))</f>
        <v/>
      </c>
      <c r="R601" s="48">
        <f>IF($Q601="","",IF($J601="Yes",$Q601+7,IF($G601="No",$Q601+14,$Q601+30)))</f>
        <v/>
      </c>
      <c r="S601" s="47" t="n"/>
      <c r="T601" s="50" t="n"/>
      <c r="U601" s="47">
        <f>IF($F601="","",MIN(24,MAX(1,ROUNDUP(($F601-DayPlan!$C$2+1)/7,0))))</f>
        <v/>
      </c>
      <c r="V601" s="47">
        <f>IF($A601=""," ",4*($J601="Yes")+3*($G601="No")+2*(N($I601)&gt;0)+1*(AND(ISNUMBER($H601),$H601&gt;45))+3*(AND(ISNUMBER($P601),$P601&lt;=TODAY()))-6*($S601="Yes")+(750-ROW())/100000)</f>
        <v/>
      </c>
      <c r="W601" s="47">
        <f>IF(OR($A601="",NOT(ISNUMBER($P601))),"",INT($P601-TODAY()))</f>
        <v/>
      </c>
      <c r="X601" s="47" t="n"/>
    </row>
    <row r="602">
      <c r="A602" s="50" t="n"/>
      <c r="B602" s="47" t="n"/>
      <c r="C602" s="47" t="n"/>
      <c r="D602" s="50" t="n"/>
      <c r="E602" s="50" t="n"/>
      <c r="F602" s="48" t="n"/>
      <c r="G602" s="47" t="n"/>
      <c r="H602" s="47" t="n"/>
      <c r="I602" s="47" t="n"/>
      <c r="J602" s="47" t="n"/>
      <c r="K602" s="47" t="n"/>
      <c r="L602" s="47" t="n"/>
      <c r="M602" s="50" t="n"/>
      <c r="N602" s="50" t="n"/>
      <c r="O602" s="50" t="n"/>
      <c r="P602" s="48">
        <f>IF($F602="","",IF($J602="Yes",$F602+1,IF($G602="No",$F602+2,IF(N($I602)&gt;2,$F602+3,IF(N($I602)&gt;0,$F602+5,$F602+7)))))</f>
        <v/>
      </c>
      <c r="Q602" s="48">
        <f>IF($P602="","",IF($J602="Yes",$P602+3,IF($G602="No",$P602+5,IF(N($I602)&gt;0,$P602+7,$P602+14))))</f>
        <v/>
      </c>
      <c r="R602" s="48">
        <f>IF($Q602="","",IF($J602="Yes",$Q602+7,IF($G602="No",$Q602+14,$Q602+30)))</f>
        <v/>
      </c>
      <c r="S602" s="47" t="n"/>
      <c r="T602" s="50" t="n"/>
      <c r="U602" s="47">
        <f>IF($F602="","",MIN(24,MAX(1,ROUNDUP(($F602-DayPlan!$C$2+1)/7,0))))</f>
        <v/>
      </c>
      <c r="V602" s="47">
        <f>IF($A602=""," ",4*($J602="Yes")+3*($G602="No")+2*(N($I602)&gt;0)+1*(AND(ISNUMBER($H602),$H602&gt;45))+3*(AND(ISNUMBER($P602),$P602&lt;=TODAY()))-6*($S602="Yes")+(750-ROW())/100000)</f>
        <v/>
      </c>
      <c r="W602" s="47">
        <f>IF(OR($A602="",NOT(ISNUMBER($P602))),"",INT($P602-TODAY()))</f>
        <v/>
      </c>
      <c r="X602" s="47" t="n"/>
    </row>
    <row r="603">
      <c r="A603" s="50" t="n"/>
      <c r="B603" s="47" t="n"/>
      <c r="C603" s="47" t="n"/>
      <c r="D603" s="50" t="n"/>
      <c r="E603" s="50" t="n"/>
      <c r="F603" s="48" t="n"/>
      <c r="G603" s="47" t="n"/>
      <c r="H603" s="47" t="n"/>
      <c r="I603" s="47" t="n"/>
      <c r="J603" s="47" t="n"/>
      <c r="K603" s="47" t="n"/>
      <c r="L603" s="47" t="n"/>
      <c r="M603" s="50" t="n"/>
      <c r="N603" s="50" t="n"/>
      <c r="O603" s="50" t="n"/>
      <c r="P603" s="48">
        <f>IF($F603="","",IF($J603="Yes",$F603+1,IF($G603="No",$F603+2,IF(N($I603)&gt;2,$F603+3,IF(N($I603)&gt;0,$F603+5,$F603+7)))))</f>
        <v/>
      </c>
      <c r="Q603" s="48">
        <f>IF($P603="","",IF($J603="Yes",$P603+3,IF($G603="No",$P603+5,IF(N($I603)&gt;0,$P603+7,$P603+14))))</f>
        <v/>
      </c>
      <c r="R603" s="48">
        <f>IF($Q603="","",IF($J603="Yes",$Q603+7,IF($G603="No",$Q603+14,$Q603+30)))</f>
        <v/>
      </c>
      <c r="S603" s="47" t="n"/>
      <c r="T603" s="50" t="n"/>
      <c r="U603" s="47">
        <f>IF($F603="","",MIN(24,MAX(1,ROUNDUP(($F603-DayPlan!$C$2+1)/7,0))))</f>
        <v/>
      </c>
      <c r="V603" s="47">
        <f>IF($A603=""," ",4*($J603="Yes")+3*($G603="No")+2*(N($I603)&gt;0)+1*(AND(ISNUMBER($H603),$H603&gt;45))+3*(AND(ISNUMBER($P603),$P603&lt;=TODAY()))-6*($S603="Yes")+(750-ROW())/100000)</f>
        <v/>
      </c>
      <c r="W603" s="47">
        <f>IF(OR($A603="",NOT(ISNUMBER($P603))),"",INT($P603-TODAY()))</f>
        <v/>
      </c>
      <c r="X603" s="47" t="n"/>
    </row>
    <row r="604">
      <c r="A604" s="50" t="n"/>
      <c r="B604" s="47" t="n"/>
      <c r="C604" s="47" t="n"/>
      <c r="D604" s="50" t="n"/>
      <c r="E604" s="50" t="n"/>
      <c r="F604" s="48" t="n"/>
      <c r="G604" s="47" t="n"/>
      <c r="H604" s="47" t="n"/>
      <c r="I604" s="47" t="n"/>
      <c r="J604" s="47" t="n"/>
      <c r="K604" s="47" t="n"/>
      <c r="L604" s="47" t="n"/>
      <c r="M604" s="50" t="n"/>
      <c r="N604" s="50" t="n"/>
      <c r="O604" s="50" t="n"/>
      <c r="P604" s="48">
        <f>IF($F604="","",IF($J604="Yes",$F604+1,IF($G604="No",$F604+2,IF(N($I604)&gt;2,$F604+3,IF(N($I604)&gt;0,$F604+5,$F604+7)))))</f>
        <v/>
      </c>
      <c r="Q604" s="48">
        <f>IF($P604="","",IF($J604="Yes",$P604+3,IF($G604="No",$P604+5,IF(N($I604)&gt;0,$P604+7,$P604+14))))</f>
        <v/>
      </c>
      <c r="R604" s="48">
        <f>IF($Q604="","",IF($J604="Yes",$Q604+7,IF($G604="No",$Q604+14,$Q604+30)))</f>
        <v/>
      </c>
      <c r="S604" s="47" t="n"/>
      <c r="T604" s="50" t="n"/>
      <c r="U604" s="47">
        <f>IF($F604="","",MIN(24,MAX(1,ROUNDUP(($F604-DayPlan!$C$2+1)/7,0))))</f>
        <v/>
      </c>
      <c r="V604" s="47">
        <f>IF($A604=""," ",4*($J604="Yes")+3*($G604="No")+2*(N($I604)&gt;0)+1*(AND(ISNUMBER($H604),$H604&gt;45))+3*(AND(ISNUMBER($P604),$P604&lt;=TODAY()))-6*($S604="Yes")+(750-ROW())/100000)</f>
        <v/>
      </c>
      <c r="W604" s="47">
        <f>IF(OR($A604="",NOT(ISNUMBER($P604))),"",INT($P604-TODAY()))</f>
        <v/>
      </c>
      <c r="X604" s="47" t="n"/>
    </row>
    <row r="605">
      <c r="A605" s="50" t="n"/>
      <c r="B605" s="47" t="n"/>
      <c r="C605" s="47" t="n"/>
      <c r="D605" s="50" t="n"/>
      <c r="E605" s="50" t="n"/>
      <c r="F605" s="48" t="n"/>
      <c r="G605" s="47" t="n"/>
      <c r="H605" s="47" t="n"/>
      <c r="I605" s="47" t="n"/>
      <c r="J605" s="47" t="n"/>
      <c r="K605" s="47" t="n"/>
      <c r="L605" s="47" t="n"/>
      <c r="M605" s="50" t="n"/>
      <c r="N605" s="50" t="n"/>
      <c r="O605" s="50" t="n"/>
      <c r="P605" s="48">
        <f>IF($F605="","",IF($J605="Yes",$F605+1,IF($G605="No",$F605+2,IF(N($I605)&gt;2,$F605+3,IF(N($I605)&gt;0,$F605+5,$F605+7)))))</f>
        <v/>
      </c>
      <c r="Q605" s="48">
        <f>IF($P605="","",IF($J605="Yes",$P605+3,IF($G605="No",$P605+5,IF(N($I605)&gt;0,$P605+7,$P605+14))))</f>
        <v/>
      </c>
      <c r="R605" s="48">
        <f>IF($Q605="","",IF($J605="Yes",$Q605+7,IF($G605="No",$Q605+14,$Q605+30)))</f>
        <v/>
      </c>
      <c r="S605" s="47" t="n"/>
      <c r="T605" s="50" t="n"/>
      <c r="U605" s="47">
        <f>IF($F605="","",MIN(24,MAX(1,ROUNDUP(($F605-DayPlan!$C$2+1)/7,0))))</f>
        <v/>
      </c>
      <c r="V605" s="47">
        <f>IF($A605=""," ",4*($J605="Yes")+3*($G605="No")+2*(N($I605)&gt;0)+1*(AND(ISNUMBER($H605),$H605&gt;45))+3*(AND(ISNUMBER($P605),$P605&lt;=TODAY()))-6*($S605="Yes")+(750-ROW())/100000)</f>
        <v/>
      </c>
      <c r="W605" s="47">
        <f>IF(OR($A605="",NOT(ISNUMBER($P605))),"",INT($P605-TODAY()))</f>
        <v/>
      </c>
      <c r="X605" s="47" t="n"/>
    </row>
    <row r="606">
      <c r="A606" s="50" t="n"/>
      <c r="B606" s="47" t="n"/>
      <c r="C606" s="47" t="n"/>
      <c r="D606" s="50" t="n"/>
      <c r="E606" s="50" t="n"/>
      <c r="F606" s="48" t="n"/>
      <c r="G606" s="47" t="n"/>
      <c r="H606" s="47" t="n"/>
      <c r="I606" s="47" t="n"/>
      <c r="J606" s="47" t="n"/>
      <c r="K606" s="47" t="n"/>
      <c r="L606" s="47" t="n"/>
      <c r="M606" s="50" t="n"/>
      <c r="N606" s="50" t="n"/>
      <c r="O606" s="50" t="n"/>
      <c r="P606" s="48">
        <f>IF($F606="","",IF($J606="Yes",$F606+1,IF($G606="No",$F606+2,IF(N($I606)&gt;2,$F606+3,IF(N($I606)&gt;0,$F606+5,$F606+7)))))</f>
        <v/>
      </c>
      <c r="Q606" s="48">
        <f>IF($P606="","",IF($J606="Yes",$P606+3,IF($G606="No",$P606+5,IF(N($I606)&gt;0,$P606+7,$P606+14))))</f>
        <v/>
      </c>
      <c r="R606" s="48">
        <f>IF($Q606="","",IF($J606="Yes",$Q606+7,IF($G606="No",$Q606+14,$Q606+30)))</f>
        <v/>
      </c>
      <c r="S606" s="47" t="n"/>
      <c r="T606" s="50" t="n"/>
      <c r="U606" s="47">
        <f>IF($F606="","",MIN(24,MAX(1,ROUNDUP(($F606-DayPlan!$C$2+1)/7,0))))</f>
        <v/>
      </c>
      <c r="V606" s="47">
        <f>IF($A606=""," ",4*($J606="Yes")+3*($G606="No")+2*(N($I606)&gt;0)+1*(AND(ISNUMBER($H606),$H606&gt;45))+3*(AND(ISNUMBER($P606),$P606&lt;=TODAY()))-6*($S606="Yes")+(750-ROW())/100000)</f>
        <v/>
      </c>
      <c r="W606" s="47">
        <f>IF(OR($A606="",NOT(ISNUMBER($P606))),"",INT($P606-TODAY()))</f>
        <v/>
      </c>
      <c r="X606" s="47" t="n"/>
    </row>
    <row r="607">
      <c r="A607" s="50" t="n"/>
      <c r="B607" s="47" t="n"/>
      <c r="C607" s="47" t="n"/>
      <c r="D607" s="50" t="n"/>
      <c r="E607" s="50" t="n"/>
      <c r="F607" s="48" t="n"/>
      <c r="G607" s="47" t="n"/>
      <c r="H607" s="47" t="n"/>
      <c r="I607" s="47" t="n"/>
      <c r="J607" s="47" t="n"/>
      <c r="K607" s="47" t="n"/>
      <c r="L607" s="47" t="n"/>
      <c r="M607" s="50" t="n"/>
      <c r="N607" s="50" t="n"/>
      <c r="O607" s="50" t="n"/>
      <c r="P607" s="48">
        <f>IF($F607="","",IF($J607="Yes",$F607+1,IF($G607="No",$F607+2,IF(N($I607)&gt;2,$F607+3,IF(N($I607)&gt;0,$F607+5,$F607+7)))))</f>
        <v/>
      </c>
      <c r="Q607" s="48">
        <f>IF($P607="","",IF($J607="Yes",$P607+3,IF($G607="No",$P607+5,IF(N($I607)&gt;0,$P607+7,$P607+14))))</f>
        <v/>
      </c>
      <c r="R607" s="48">
        <f>IF($Q607="","",IF($J607="Yes",$Q607+7,IF($G607="No",$Q607+14,$Q607+30)))</f>
        <v/>
      </c>
      <c r="S607" s="47" t="n"/>
      <c r="T607" s="50" t="n"/>
      <c r="U607" s="47">
        <f>IF($F607="","",MIN(24,MAX(1,ROUNDUP(($F607-DayPlan!$C$2+1)/7,0))))</f>
        <v/>
      </c>
      <c r="V607" s="47">
        <f>IF($A607=""," ",4*($J607="Yes")+3*($G607="No")+2*(N($I607)&gt;0)+1*(AND(ISNUMBER($H607),$H607&gt;45))+3*(AND(ISNUMBER($P607),$P607&lt;=TODAY()))-6*($S607="Yes")+(750-ROW())/100000)</f>
        <v/>
      </c>
      <c r="W607" s="47">
        <f>IF(OR($A607="",NOT(ISNUMBER($P607))),"",INT($P607-TODAY()))</f>
        <v/>
      </c>
      <c r="X607" s="47" t="n"/>
    </row>
    <row r="608">
      <c r="A608" s="50" t="n"/>
      <c r="B608" s="47" t="n"/>
      <c r="C608" s="47" t="n"/>
      <c r="D608" s="50" t="n"/>
      <c r="E608" s="50" t="n"/>
      <c r="F608" s="48" t="n"/>
      <c r="G608" s="47" t="n"/>
      <c r="H608" s="47" t="n"/>
      <c r="I608" s="47" t="n"/>
      <c r="J608" s="47" t="n"/>
      <c r="K608" s="47" t="n"/>
      <c r="L608" s="47" t="n"/>
      <c r="M608" s="50" t="n"/>
      <c r="N608" s="50" t="n"/>
      <c r="O608" s="50" t="n"/>
      <c r="P608" s="48">
        <f>IF($F608="","",IF($J608="Yes",$F608+1,IF($G608="No",$F608+2,IF(N($I608)&gt;2,$F608+3,IF(N($I608)&gt;0,$F608+5,$F608+7)))))</f>
        <v/>
      </c>
      <c r="Q608" s="48">
        <f>IF($P608="","",IF($J608="Yes",$P608+3,IF($G608="No",$P608+5,IF(N($I608)&gt;0,$P608+7,$P608+14))))</f>
        <v/>
      </c>
      <c r="R608" s="48">
        <f>IF($Q608="","",IF($J608="Yes",$Q608+7,IF($G608="No",$Q608+14,$Q608+30)))</f>
        <v/>
      </c>
      <c r="S608" s="47" t="n"/>
      <c r="T608" s="50" t="n"/>
      <c r="U608" s="47">
        <f>IF($F608="","",MIN(24,MAX(1,ROUNDUP(($F608-DayPlan!$C$2+1)/7,0))))</f>
        <v/>
      </c>
      <c r="V608" s="47">
        <f>IF($A608=""," ",4*($J608="Yes")+3*($G608="No")+2*(N($I608)&gt;0)+1*(AND(ISNUMBER($H608),$H608&gt;45))+3*(AND(ISNUMBER($P608),$P608&lt;=TODAY()))-6*($S608="Yes")+(750-ROW())/100000)</f>
        <v/>
      </c>
      <c r="W608" s="47">
        <f>IF(OR($A608="",NOT(ISNUMBER($P608))),"",INT($P608-TODAY()))</f>
        <v/>
      </c>
      <c r="X608" s="47" t="n"/>
    </row>
    <row r="609">
      <c r="A609" s="50" t="n"/>
      <c r="B609" s="47" t="n"/>
      <c r="C609" s="47" t="n"/>
      <c r="D609" s="50" t="n"/>
      <c r="E609" s="50" t="n"/>
      <c r="F609" s="48" t="n"/>
      <c r="G609" s="47" t="n"/>
      <c r="H609" s="47" t="n"/>
      <c r="I609" s="47" t="n"/>
      <c r="J609" s="47" t="n"/>
      <c r="K609" s="47" t="n"/>
      <c r="L609" s="47" t="n"/>
      <c r="M609" s="50" t="n"/>
      <c r="N609" s="50" t="n"/>
      <c r="O609" s="50" t="n"/>
      <c r="P609" s="48">
        <f>IF($F609="","",IF($J609="Yes",$F609+1,IF($G609="No",$F609+2,IF(N($I609)&gt;2,$F609+3,IF(N($I609)&gt;0,$F609+5,$F609+7)))))</f>
        <v/>
      </c>
      <c r="Q609" s="48">
        <f>IF($P609="","",IF($J609="Yes",$P609+3,IF($G609="No",$P609+5,IF(N($I609)&gt;0,$P609+7,$P609+14))))</f>
        <v/>
      </c>
      <c r="R609" s="48">
        <f>IF($Q609="","",IF($J609="Yes",$Q609+7,IF($G609="No",$Q609+14,$Q609+30)))</f>
        <v/>
      </c>
      <c r="S609" s="47" t="n"/>
      <c r="T609" s="50" t="n"/>
      <c r="U609" s="47">
        <f>IF($F609="","",MIN(24,MAX(1,ROUNDUP(($F609-DayPlan!$C$2+1)/7,0))))</f>
        <v/>
      </c>
      <c r="V609" s="47">
        <f>IF($A609=""," ",4*($J609="Yes")+3*($G609="No")+2*(N($I609)&gt;0)+1*(AND(ISNUMBER($H609),$H609&gt;45))+3*(AND(ISNUMBER($P609),$P609&lt;=TODAY()))-6*($S609="Yes")+(750-ROW())/100000)</f>
        <v/>
      </c>
      <c r="W609" s="47">
        <f>IF(OR($A609="",NOT(ISNUMBER($P609))),"",INT($P609-TODAY()))</f>
        <v/>
      </c>
      <c r="X609" s="47" t="n"/>
    </row>
    <row r="610">
      <c r="A610" s="50" t="n"/>
      <c r="B610" s="47" t="n"/>
      <c r="C610" s="47" t="n"/>
      <c r="D610" s="50" t="n"/>
      <c r="E610" s="50" t="n"/>
      <c r="F610" s="48" t="n"/>
      <c r="G610" s="47" t="n"/>
      <c r="H610" s="47" t="n"/>
      <c r="I610" s="47" t="n"/>
      <c r="J610" s="47" t="n"/>
      <c r="K610" s="47" t="n"/>
      <c r="L610" s="47" t="n"/>
      <c r="M610" s="50" t="n"/>
      <c r="N610" s="50" t="n"/>
      <c r="O610" s="50" t="n"/>
      <c r="P610" s="48">
        <f>IF($F610="","",IF($J610="Yes",$F610+1,IF($G610="No",$F610+2,IF(N($I610)&gt;2,$F610+3,IF(N($I610)&gt;0,$F610+5,$F610+7)))))</f>
        <v/>
      </c>
      <c r="Q610" s="48">
        <f>IF($P610="","",IF($J610="Yes",$P610+3,IF($G610="No",$P610+5,IF(N($I610)&gt;0,$P610+7,$P610+14))))</f>
        <v/>
      </c>
      <c r="R610" s="48">
        <f>IF($Q610="","",IF($J610="Yes",$Q610+7,IF($G610="No",$Q610+14,$Q610+30)))</f>
        <v/>
      </c>
      <c r="S610" s="47" t="n"/>
      <c r="T610" s="50" t="n"/>
      <c r="U610" s="47">
        <f>IF($F610="","",MIN(24,MAX(1,ROUNDUP(($F610-DayPlan!$C$2+1)/7,0))))</f>
        <v/>
      </c>
      <c r="V610" s="47">
        <f>IF($A610=""," ",4*($J610="Yes")+3*($G610="No")+2*(N($I610)&gt;0)+1*(AND(ISNUMBER($H610),$H610&gt;45))+3*(AND(ISNUMBER($P610),$P610&lt;=TODAY()))-6*($S610="Yes")+(750-ROW())/100000)</f>
        <v/>
      </c>
      <c r="W610" s="47">
        <f>IF(OR($A610="",NOT(ISNUMBER($P610))),"",INT($P610-TODAY()))</f>
        <v/>
      </c>
      <c r="X610" s="47" t="n"/>
    </row>
    <row r="611">
      <c r="A611" s="50" t="n"/>
      <c r="B611" s="47" t="n"/>
      <c r="C611" s="47" t="n"/>
      <c r="D611" s="50" t="n"/>
      <c r="E611" s="50" t="n"/>
      <c r="F611" s="48" t="n"/>
      <c r="G611" s="47" t="n"/>
      <c r="H611" s="47" t="n"/>
      <c r="I611" s="47" t="n"/>
      <c r="J611" s="47" t="n"/>
      <c r="K611" s="47" t="n"/>
      <c r="L611" s="47" t="n"/>
      <c r="M611" s="50" t="n"/>
      <c r="N611" s="50" t="n"/>
      <c r="O611" s="50" t="n"/>
      <c r="P611" s="48">
        <f>IF($F611="","",IF($J611="Yes",$F611+1,IF($G611="No",$F611+2,IF(N($I611)&gt;2,$F611+3,IF(N($I611)&gt;0,$F611+5,$F611+7)))))</f>
        <v/>
      </c>
      <c r="Q611" s="48">
        <f>IF($P611="","",IF($J611="Yes",$P611+3,IF($G611="No",$P611+5,IF(N($I611)&gt;0,$P611+7,$P611+14))))</f>
        <v/>
      </c>
      <c r="R611" s="48">
        <f>IF($Q611="","",IF($J611="Yes",$Q611+7,IF($G611="No",$Q611+14,$Q611+30)))</f>
        <v/>
      </c>
      <c r="S611" s="47" t="n"/>
      <c r="T611" s="50" t="n"/>
      <c r="U611" s="47">
        <f>IF($F611="","",MIN(24,MAX(1,ROUNDUP(($F611-DayPlan!$C$2+1)/7,0))))</f>
        <v/>
      </c>
      <c r="V611" s="47">
        <f>IF($A611=""," ",4*($J611="Yes")+3*($G611="No")+2*(N($I611)&gt;0)+1*(AND(ISNUMBER($H611),$H611&gt;45))+3*(AND(ISNUMBER($P611),$P611&lt;=TODAY()))-6*($S611="Yes")+(750-ROW())/100000)</f>
        <v/>
      </c>
      <c r="W611" s="47">
        <f>IF(OR($A611="",NOT(ISNUMBER($P611))),"",INT($P611-TODAY()))</f>
        <v/>
      </c>
      <c r="X611" s="47" t="n"/>
    </row>
    <row r="612">
      <c r="A612" s="50" t="n"/>
      <c r="B612" s="47" t="n"/>
      <c r="C612" s="47" t="n"/>
      <c r="D612" s="50" t="n"/>
      <c r="E612" s="50" t="n"/>
      <c r="F612" s="48" t="n"/>
      <c r="G612" s="47" t="n"/>
      <c r="H612" s="47" t="n"/>
      <c r="I612" s="47" t="n"/>
      <c r="J612" s="47" t="n"/>
      <c r="K612" s="47" t="n"/>
      <c r="L612" s="47" t="n"/>
      <c r="M612" s="50" t="n"/>
      <c r="N612" s="50" t="n"/>
      <c r="O612" s="50" t="n"/>
      <c r="P612" s="48">
        <f>IF($F612="","",IF($J612="Yes",$F612+1,IF($G612="No",$F612+2,IF(N($I612)&gt;2,$F612+3,IF(N($I612)&gt;0,$F612+5,$F612+7)))))</f>
        <v/>
      </c>
      <c r="Q612" s="48">
        <f>IF($P612="","",IF($J612="Yes",$P612+3,IF($G612="No",$P612+5,IF(N($I612)&gt;0,$P612+7,$P612+14))))</f>
        <v/>
      </c>
      <c r="R612" s="48">
        <f>IF($Q612="","",IF($J612="Yes",$Q612+7,IF($G612="No",$Q612+14,$Q612+30)))</f>
        <v/>
      </c>
      <c r="S612" s="47" t="n"/>
      <c r="T612" s="50" t="n"/>
      <c r="U612" s="47">
        <f>IF($F612="","",MIN(24,MAX(1,ROUNDUP(($F612-DayPlan!$C$2+1)/7,0))))</f>
        <v/>
      </c>
      <c r="V612" s="47">
        <f>IF($A612=""," ",4*($J612="Yes")+3*($G612="No")+2*(N($I612)&gt;0)+1*(AND(ISNUMBER($H612),$H612&gt;45))+3*(AND(ISNUMBER($P612),$P612&lt;=TODAY()))-6*($S612="Yes")+(750-ROW())/100000)</f>
        <v/>
      </c>
      <c r="W612" s="47">
        <f>IF(OR($A612="",NOT(ISNUMBER($P612))),"",INT($P612-TODAY()))</f>
        <v/>
      </c>
      <c r="X612" s="47" t="n"/>
    </row>
    <row r="613">
      <c r="A613" s="50" t="n"/>
      <c r="B613" s="47" t="n"/>
      <c r="C613" s="47" t="n"/>
      <c r="D613" s="50" t="n"/>
      <c r="E613" s="50" t="n"/>
      <c r="F613" s="48" t="n"/>
      <c r="G613" s="47" t="n"/>
      <c r="H613" s="47" t="n"/>
      <c r="I613" s="47" t="n"/>
      <c r="J613" s="47" t="n"/>
      <c r="K613" s="47" t="n"/>
      <c r="L613" s="47" t="n"/>
      <c r="M613" s="50" t="n"/>
      <c r="N613" s="50" t="n"/>
      <c r="O613" s="50" t="n"/>
      <c r="P613" s="48">
        <f>IF($F613="","",IF($J613="Yes",$F613+1,IF($G613="No",$F613+2,IF(N($I613)&gt;2,$F613+3,IF(N($I613)&gt;0,$F613+5,$F613+7)))))</f>
        <v/>
      </c>
      <c r="Q613" s="48">
        <f>IF($P613="","",IF($J613="Yes",$P613+3,IF($G613="No",$P613+5,IF(N($I613)&gt;0,$P613+7,$P613+14))))</f>
        <v/>
      </c>
      <c r="R613" s="48">
        <f>IF($Q613="","",IF($J613="Yes",$Q613+7,IF($G613="No",$Q613+14,$Q613+30)))</f>
        <v/>
      </c>
      <c r="S613" s="47" t="n"/>
      <c r="T613" s="50" t="n"/>
      <c r="U613" s="47">
        <f>IF($F613="","",MIN(24,MAX(1,ROUNDUP(($F613-DayPlan!$C$2+1)/7,0))))</f>
        <v/>
      </c>
      <c r="V613" s="47">
        <f>IF($A613=""," ",4*($J613="Yes")+3*($G613="No")+2*(N($I613)&gt;0)+1*(AND(ISNUMBER($H613),$H613&gt;45))+3*(AND(ISNUMBER($P613),$P613&lt;=TODAY()))-6*($S613="Yes")+(750-ROW())/100000)</f>
        <v/>
      </c>
      <c r="W613" s="47">
        <f>IF(OR($A613="",NOT(ISNUMBER($P613))),"",INT($P613-TODAY()))</f>
        <v/>
      </c>
      <c r="X613" s="47" t="n"/>
    </row>
    <row r="614">
      <c r="A614" s="50" t="n"/>
      <c r="B614" s="47" t="n"/>
      <c r="C614" s="47" t="n"/>
      <c r="D614" s="50" t="n"/>
      <c r="E614" s="50" t="n"/>
      <c r="F614" s="48" t="n"/>
      <c r="G614" s="47" t="n"/>
      <c r="H614" s="47" t="n"/>
      <c r="I614" s="47" t="n"/>
      <c r="J614" s="47" t="n"/>
      <c r="K614" s="47" t="n"/>
      <c r="L614" s="47" t="n"/>
      <c r="M614" s="50" t="n"/>
      <c r="N614" s="50" t="n"/>
      <c r="O614" s="50" t="n"/>
      <c r="P614" s="48">
        <f>IF($F614="","",IF($J614="Yes",$F614+1,IF($G614="No",$F614+2,IF(N($I614)&gt;2,$F614+3,IF(N($I614)&gt;0,$F614+5,$F614+7)))))</f>
        <v/>
      </c>
      <c r="Q614" s="48">
        <f>IF($P614="","",IF($J614="Yes",$P614+3,IF($G614="No",$P614+5,IF(N($I614)&gt;0,$P614+7,$P614+14))))</f>
        <v/>
      </c>
      <c r="R614" s="48">
        <f>IF($Q614="","",IF($J614="Yes",$Q614+7,IF($G614="No",$Q614+14,$Q614+30)))</f>
        <v/>
      </c>
      <c r="S614" s="47" t="n"/>
      <c r="T614" s="50" t="n"/>
      <c r="U614" s="47">
        <f>IF($F614="","",MIN(24,MAX(1,ROUNDUP(($F614-DayPlan!$C$2+1)/7,0))))</f>
        <v/>
      </c>
      <c r="V614" s="47">
        <f>IF($A614=""," ",4*($J614="Yes")+3*($G614="No")+2*(N($I614)&gt;0)+1*(AND(ISNUMBER($H614),$H614&gt;45))+3*(AND(ISNUMBER($P614),$P614&lt;=TODAY()))-6*($S614="Yes")+(750-ROW())/100000)</f>
        <v/>
      </c>
      <c r="W614" s="47">
        <f>IF(OR($A614="",NOT(ISNUMBER($P614))),"",INT($P614-TODAY()))</f>
        <v/>
      </c>
      <c r="X614" s="47" t="n"/>
    </row>
    <row r="615">
      <c r="A615" s="50" t="n"/>
      <c r="B615" s="47" t="n"/>
      <c r="C615" s="47" t="n"/>
      <c r="D615" s="50" t="n"/>
      <c r="E615" s="50" t="n"/>
      <c r="F615" s="48" t="n"/>
      <c r="G615" s="47" t="n"/>
      <c r="H615" s="47" t="n"/>
      <c r="I615" s="47" t="n"/>
      <c r="J615" s="47" t="n"/>
      <c r="K615" s="47" t="n"/>
      <c r="L615" s="47" t="n"/>
      <c r="M615" s="50" t="n"/>
      <c r="N615" s="50" t="n"/>
      <c r="O615" s="50" t="n"/>
      <c r="P615" s="48">
        <f>IF($F615="","",IF($J615="Yes",$F615+1,IF($G615="No",$F615+2,IF(N($I615)&gt;2,$F615+3,IF(N($I615)&gt;0,$F615+5,$F615+7)))))</f>
        <v/>
      </c>
      <c r="Q615" s="48">
        <f>IF($P615="","",IF($J615="Yes",$P615+3,IF($G615="No",$P615+5,IF(N($I615)&gt;0,$P615+7,$P615+14))))</f>
        <v/>
      </c>
      <c r="R615" s="48">
        <f>IF($Q615="","",IF($J615="Yes",$Q615+7,IF($G615="No",$Q615+14,$Q615+30)))</f>
        <v/>
      </c>
      <c r="S615" s="47" t="n"/>
      <c r="T615" s="50" t="n"/>
      <c r="U615" s="47">
        <f>IF($F615="","",MIN(24,MAX(1,ROUNDUP(($F615-DayPlan!$C$2+1)/7,0))))</f>
        <v/>
      </c>
      <c r="V615" s="47">
        <f>IF($A615=""," ",4*($J615="Yes")+3*($G615="No")+2*(N($I615)&gt;0)+1*(AND(ISNUMBER($H615),$H615&gt;45))+3*(AND(ISNUMBER($P615),$P615&lt;=TODAY()))-6*($S615="Yes")+(750-ROW())/100000)</f>
        <v/>
      </c>
      <c r="W615" s="47">
        <f>IF(OR($A615="",NOT(ISNUMBER($P615))),"",INT($P615-TODAY()))</f>
        <v/>
      </c>
      <c r="X615" s="47" t="n"/>
    </row>
    <row r="616">
      <c r="A616" s="50" t="n"/>
      <c r="B616" s="47" t="n"/>
      <c r="C616" s="47" t="n"/>
      <c r="D616" s="50" t="n"/>
      <c r="E616" s="50" t="n"/>
      <c r="F616" s="48" t="n"/>
      <c r="G616" s="47" t="n"/>
      <c r="H616" s="47" t="n"/>
      <c r="I616" s="47" t="n"/>
      <c r="J616" s="47" t="n"/>
      <c r="K616" s="47" t="n"/>
      <c r="L616" s="47" t="n"/>
      <c r="M616" s="50" t="n"/>
      <c r="N616" s="50" t="n"/>
      <c r="O616" s="50" t="n"/>
      <c r="P616" s="48">
        <f>IF($F616="","",IF($J616="Yes",$F616+1,IF($G616="No",$F616+2,IF(N($I616)&gt;2,$F616+3,IF(N($I616)&gt;0,$F616+5,$F616+7)))))</f>
        <v/>
      </c>
      <c r="Q616" s="48">
        <f>IF($P616="","",IF($J616="Yes",$P616+3,IF($G616="No",$P616+5,IF(N($I616)&gt;0,$P616+7,$P616+14))))</f>
        <v/>
      </c>
      <c r="R616" s="48">
        <f>IF($Q616="","",IF($J616="Yes",$Q616+7,IF($G616="No",$Q616+14,$Q616+30)))</f>
        <v/>
      </c>
      <c r="S616" s="47" t="n"/>
      <c r="T616" s="50" t="n"/>
      <c r="U616" s="47">
        <f>IF($F616="","",MIN(24,MAX(1,ROUNDUP(($F616-DayPlan!$C$2+1)/7,0))))</f>
        <v/>
      </c>
      <c r="V616" s="47">
        <f>IF($A616=""," ",4*($J616="Yes")+3*($G616="No")+2*(N($I616)&gt;0)+1*(AND(ISNUMBER($H616),$H616&gt;45))+3*(AND(ISNUMBER($P616),$P616&lt;=TODAY()))-6*($S616="Yes")+(750-ROW())/100000)</f>
        <v/>
      </c>
      <c r="W616" s="47">
        <f>IF(OR($A616="",NOT(ISNUMBER($P616))),"",INT($P616-TODAY()))</f>
        <v/>
      </c>
      <c r="X616" s="47" t="n"/>
    </row>
    <row r="617">
      <c r="A617" s="50" t="n"/>
      <c r="B617" s="47" t="n"/>
      <c r="C617" s="47" t="n"/>
      <c r="D617" s="50" t="n"/>
      <c r="E617" s="50" t="n"/>
      <c r="F617" s="48" t="n"/>
      <c r="G617" s="47" t="n"/>
      <c r="H617" s="47" t="n"/>
      <c r="I617" s="47" t="n"/>
      <c r="J617" s="47" t="n"/>
      <c r="K617" s="47" t="n"/>
      <c r="L617" s="47" t="n"/>
      <c r="M617" s="50" t="n"/>
      <c r="N617" s="50" t="n"/>
      <c r="O617" s="50" t="n"/>
      <c r="P617" s="48">
        <f>IF($F617="","",IF($J617="Yes",$F617+1,IF($G617="No",$F617+2,IF(N($I617)&gt;2,$F617+3,IF(N($I617)&gt;0,$F617+5,$F617+7)))))</f>
        <v/>
      </c>
      <c r="Q617" s="48">
        <f>IF($P617="","",IF($J617="Yes",$P617+3,IF($G617="No",$P617+5,IF(N($I617)&gt;0,$P617+7,$P617+14))))</f>
        <v/>
      </c>
      <c r="R617" s="48">
        <f>IF($Q617="","",IF($J617="Yes",$Q617+7,IF($G617="No",$Q617+14,$Q617+30)))</f>
        <v/>
      </c>
      <c r="S617" s="47" t="n"/>
      <c r="T617" s="50" t="n"/>
      <c r="U617" s="47">
        <f>IF($F617="","",MIN(24,MAX(1,ROUNDUP(($F617-DayPlan!$C$2+1)/7,0))))</f>
        <v/>
      </c>
      <c r="V617" s="47">
        <f>IF($A617=""," ",4*($J617="Yes")+3*($G617="No")+2*(N($I617)&gt;0)+1*(AND(ISNUMBER($H617),$H617&gt;45))+3*(AND(ISNUMBER($P617),$P617&lt;=TODAY()))-6*($S617="Yes")+(750-ROW())/100000)</f>
        <v/>
      </c>
      <c r="W617" s="47">
        <f>IF(OR($A617="",NOT(ISNUMBER($P617))),"",INT($P617-TODAY()))</f>
        <v/>
      </c>
      <c r="X617" s="47" t="n"/>
    </row>
    <row r="618">
      <c r="A618" s="50" t="n"/>
      <c r="B618" s="47" t="n"/>
      <c r="C618" s="47" t="n"/>
      <c r="D618" s="50" t="n"/>
      <c r="E618" s="50" t="n"/>
      <c r="F618" s="48" t="n"/>
      <c r="G618" s="47" t="n"/>
      <c r="H618" s="47" t="n"/>
      <c r="I618" s="47" t="n"/>
      <c r="J618" s="47" t="n"/>
      <c r="K618" s="47" t="n"/>
      <c r="L618" s="47" t="n"/>
      <c r="M618" s="50" t="n"/>
      <c r="N618" s="50" t="n"/>
      <c r="O618" s="50" t="n"/>
      <c r="P618" s="48">
        <f>IF($F618="","",IF($J618="Yes",$F618+1,IF($G618="No",$F618+2,IF(N($I618)&gt;2,$F618+3,IF(N($I618)&gt;0,$F618+5,$F618+7)))))</f>
        <v/>
      </c>
      <c r="Q618" s="48">
        <f>IF($P618="","",IF($J618="Yes",$P618+3,IF($G618="No",$P618+5,IF(N($I618)&gt;0,$P618+7,$P618+14))))</f>
        <v/>
      </c>
      <c r="R618" s="48">
        <f>IF($Q618="","",IF($J618="Yes",$Q618+7,IF($G618="No",$Q618+14,$Q618+30)))</f>
        <v/>
      </c>
      <c r="S618" s="47" t="n"/>
      <c r="T618" s="50" t="n"/>
      <c r="U618" s="47">
        <f>IF($F618="","",MIN(24,MAX(1,ROUNDUP(($F618-DayPlan!$C$2+1)/7,0))))</f>
        <v/>
      </c>
      <c r="V618" s="47">
        <f>IF($A618=""," ",4*($J618="Yes")+3*($G618="No")+2*(N($I618)&gt;0)+1*(AND(ISNUMBER($H618),$H618&gt;45))+3*(AND(ISNUMBER($P618),$P618&lt;=TODAY()))-6*($S618="Yes")+(750-ROW())/100000)</f>
        <v/>
      </c>
      <c r="W618" s="47">
        <f>IF(OR($A618="",NOT(ISNUMBER($P618))),"",INT($P618-TODAY()))</f>
        <v/>
      </c>
      <c r="X618" s="47" t="n"/>
    </row>
    <row r="619">
      <c r="A619" s="50" t="n"/>
      <c r="B619" s="47" t="n"/>
      <c r="C619" s="47" t="n"/>
      <c r="D619" s="50" t="n"/>
      <c r="E619" s="50" t="n"/>
      <c r="F619" s="48" t="n"/>
      <c r="G619" s="47" t="n"/>
      <c r="H619" s="47" t="n"/>
      <c r="I619" s="47" t="n"/>
      <c r="J619" s="47" t="n"/>
      <c r="K619" s="47" t="n"/>
      <c r="L619" s="47" t="n"/>
      <c r="M619" s="50" t="n"/>
      <c r="N619" s="50" t="n"/>
      <c r="O619" s="50" t="n"/>
      <c r="P619" s="48">
        <f>IF($F619="","",IF($J619="Yes",$F619+1,IF($G619="No",$F619+2,IF(N($I619)&gt;2,$F619+3,IF(N($I619)&gt;0,$F619+5,$F619+7)))))</f>
        <v/>
      </c>
      <c r="Q619" s="48">
        <f>IF($P619="","",IF($J619="Yes",$P619+3,IF($G619="No",$P619+5,IF(N($I619)&gt;0,$P619+7,$P619+14))))</f>
        <v/>
      </c>
      <c r="R619" s="48">
        <f>IF($Q619="","",IF($J619="Yes",$Q619+7,IF($G619="No",$Q619+14,$Q619+30)))</f>
        <v/>
      </c>
      <c r="S619" s="47" t="n"/>
      <c r="T619" s="50" t="n"/>
      <c r="U619" s="47">
        <f>IF($F619="","",MIN(24,MAX(1,ROUNDUP(($F619-DayPlan!$C$2+1)/7,0))))</f>
        <v/>
      </c>
      <c r="V619" s="47">
        <f>IF($A619=""," ",4*($J619="Yes")+3*($G619="No")+2*(N($I619)&gt;0)+1*(AND(ISNUMBER($H619),$H619&gt;45))+3*(AND(ISNUMBER($P619),$P619&lt;=TODAY()))-6*($S619="Yes")+(750-ROW())/100000)</f>
        <v/>
      </c>
      <c r="W619" s="47">
        <f>IF(OR($A619="",NOT(ISNUMBER($P619))),"",INT($P619-TODAY()))</f>
        <v/>
      </c>
      <c r="X619" s="47" t="n"/>
    </row>
    <row r="620">
      <c r="A620" s="50" t="n"/>
      <c r="B620" s="47" t="n"/>
      <c r="C620" s="47" t="n"/>
      <c r="D620" s="50" t="n"/>
      <c r="E620" s="50" t="n"/>
      <c r="F620" s="48" t="n"/>
      <c r="G620" s="47" t="n"/>
      <c r="H620" s="47" t="n"/>
      <c r="I620" s="47" t="n"/>
      <c r="J620" s="47" t="n"/>
      <c r="K620" s="47" t="n"/>
      <c r="L620" s="47" t="n"/>
      <c r="M620" s="50" t="n"/>
      <c r="N620" s="50" t="n"/>
      <c r="O620" s="50" t="n"/>
      <c r="P620" s="48">
        <f>IF($F620="","",IF($J620="Yes",$F620+1,IF($G620="No",$F620+2,IF(N($I620)&gt;2,$F620+3,IF(N($I620)&gt;0,$F620+5,$F620+7)))))</f>
        <v/>
      </c>
      <c r="Q620" s="48">
        <f>IF($P620="","",IF($J620="Yes",$P620+3,IF($G620="No",$P620+5,IF(N($I620)&gt;0,$P620+7,$P620+14))))</f>
        <v/>
      </c>
      <c r="R620" s="48">
        <f>IF($Q620="","",IF($J620="Yes",$Q620+7,IF($G620="No",$Q620+14,$Q620+30)))</f>
        <v/>
      </c>
      <c r="S620" s="47" t="n"/>
      <c r="T620" s="50" t="n"/>
      <c r="U620" s="47">
        <f>IF($F620="","",MIN(24,MAX(1,ROUNDUP(($F620-DayPlan!$C$2+1)/7,0))))</f>
        <v/>
      </c>
      <c r="V620" s="47">
        <f>IF($A620=""," ",4*($J620="Yes")+3*($G620="No")+2*(N($I620)&gt;0)+1*(AND(ISNUMBER($H620),$H620&gt;45))+3*(AND(ISNUMBER($P620),$P620&lt;=TODAY()))-6*($S620="Yes")+(750-ROW())/100000)</f>
        <v/>
      </c>
      <c r="W620" s="47">
        <f>IF(OR($A620="",NOT(ISNUMBER($P620))),"",INT($P620-TODAY()))</f>
        <v/>
      </c>
      <c r="X620" s="47" t="n"/>
    </row>
    <row r="621">
      <c r="A621" s="50" t="n"/>
      <c r="B621" s="47" t="n"/>
      <c r="C621" s="47" t="n"/>
      <c r="D621" s="50" t="n"/>
      <c r="E621" s="50" t="n"/>
      <c r="F621" s="48" t="n"/>
      <c r="G621" s="47" t="n"/>
      <c r="H621" s="47" t="n"/>
      <c r="I621" s="47" t="n"/>
      <c r="J621" s="47" t="n"/>
      <c r="K621" s="47" t="n"/>
      <c r="L621" s="47" t="n"/>
      <c r="M621" s="50" t="n"/>
      <c r="N621" s="50" t="n"/>
      <c r="O621" s="50" t="n"/>
      <c r="P621" s="48">
        <f>IF($F621="","",IF($J621="Yes",$F621+1,IF($G621="No",$F621+2,IF(N($I621)&gt;2,$F621+3,IF(N($I621)&gt;0,$F621+5,$F621+7)))))</f>
        <v/>
      </c>
      <c r="Q621" s="48">
        <f>IF($P621="","",IF($J621="Yes",$P621+3,IF($G621="No",$P621+5,IF(N($I621)&gt;0,$P621+7,$P621+14))))</f>
        <v/>
      </c>
      <c r="R621" s="48">
        <f>IF($Q621="","",IF($J621="Yes",$Q621+7,IF($G621="No",$Q621+14,$Q621+30)))</f>
        <v/>
      </c>
      <c r="S621" s="47" t="n"/>
      <c r="T621" s="50" t="n"/>
      <c r="U621" s="47">
        <f>IF($F621="","",MIN(24,MAX(1,ROUNDUP(($F621-DayPlan!$C$2+1)/7,0))))</f>
        <v/>
      </c>
      <c r="V621" s="47">
        <f>IF($A621=""," ",4*($J621="Yes")+3*($G621="No")+2*(N($I621)&gt;0)+1*(AND(ISNUMBER($H621),$H621&gt;45))+3*(AND(ISNUMBER($P621),$P621&lt;=TODAY()))-6*($S621="Yes")+(750-ROW())/100000)</f>
        <v/>
      </c>
      <c r="W621" s="47">
        <f>IF(OR($A621="",NOT(ISNUMBER($P621))),"",INT($P621-TODAY()))</f>
        <v/>
      </c>
      <c r="X621" s="47" t="n"/>
    </row>
    <row r="622">
      <c r="A622" s="50" t="n"/>
      <c r="B622" s="47" t="n"/>
      <c r="C622" s="47" t="n"/>
      <c r="D622" s="50" t="n"/>
      <c r="E622" s="50" t="n"/>
      <c r="F622" s="48" t="n"/>
      <c r="G622" s="47" t="n"/>
      <c r="H622" s="47" t="n"/>
      <c r="I622" s="47" t="n"/>
      <c r="J622" s="47" t="n"/>
      <c r="K622" s="47" t="n"/>
      <c r="L622" s="47" t="n"/>
      <c r="M622" s="50" t="n"/>
      <c r="N622" s="50" t="n"/>
      <c r="O622" s="50" t="n"/>
      <c r="P622" s="48">
        <f>IF($F622="","",IF($J622="Yes",$F622+1,IF($G622="No",$F622+2,IF(N($I622)&gt;2,$F622+3,IF(N($I622)&gt;0,$F622+5,$F622+7)))))</f>
        <v/>
      </c>
      <c r="Q622" s="48">
        <f>IF($P622="","",IF($J622="Yes",$P622+3,IF($G622="No",$P622+5,IF(N($I622)&gt;0,$P622+7,$P622+14))))</f>
        <v/>
      </c>
      <c r="R622" s="48">
        <f>IF($Q622="","",IF($J622="Yes",$Q622+7,IF($G622="No",$Q622+14,$Q622+30)))</f>
        <v/>
      </c>
      <c r="S622" s="47" t="n"/>
      <c r="T622" s="50" t="n"/>
      <c r="U622" s="47">
        <f>IF($F622="","",MIN(24,MAX(1,ROUNDUP(($F622-DayPlan!$C$2+1)/7,0))))</f>
        <v/>
      </c>
      <c r="V622" s="47">
        <f>IF($A622=""," ",4*($J622="Yes")+3*($G622="No")+2*(N($I622)&gt;0)+1*(AND(ISNUMBER($H622),$H622&gt;45))+3*(AND(ISNUMBER($P622),$P622&lt;=TODAY()))-6*($S622="Yes")+(750-ROW())/100000)</f>
        <v/>
      </c>
      <c r="W622" s="47">
        <f>IF(OR($A622="",NOT(ISNUMBER($P622))),"",INT($P622-TODAY()))</f>
        <v/>
      </c>
      <c r="X622" s="47" t="n"/>
    </row>
    <row r="623">
      <c r="A623" s="50" t="n"/>
      <c r="B623" s="47" t="n"/>
      <c r="C623" s="47" t="n"/>
      <c r="D623" s="50" t="n"/>
      <c r="E623" s="50" t="n"/>
      <c r="F623" s="48" t="n"/>
      <c r="G623" s="47" t="n"/>
      <c r="H623" s="47" t="n"/>
      <c r="I623" s="47" t="n"/>
      <c r="J623" s="47" t="n"/>
      <c r="K623" s="47" t="n"/>
      <c r="L623" s="47" t="n"/>
      <c r="M623" s="50" t="n"/>
      <c r="N623" s="50" t="n"/>
      <c r="O623" s="50" t="n"/>
      <c r="P623" s="48">
        <f>IF($F623="","",IF($J623="Yes",$F623+1,IF($G623="No",$F623+2,IF(N($I623)&gt;2,$F623+3,IF(N($I623)&gt;0,$F623+5,$F623+7)))))</f>
        <v/>
      </c>
      <c r="Q623" s="48">
        <f>IF($P623="","",IF($J623="Yes",$P623+3,IF($G623="No",$P623+5,IF(N($I623)&gt;0,$P623+7,$P623+14))))</f>
        <v/>
      </c>
      <c r="R623" s="48">
        <f>IF($Q623="","",IF($J623="Yes",$Q623+7,IF($G623="No",$Q623+14,$Q623+30)))</f>
        <v/>
      </c>
      <c r="S623" s="47" t="n"/>
      <c r="T623" s="50" t="n"/>
      <c r="U623" s="47">
        <f>IF($F623="","",MIN(24,MAX(1,ROUNDUP(($F623-DayPlan!$C$2+1)/7,0))))</f>
        <v/>
      </c>
      <c r="V623" s="47">
        <f>IF($A623=""," ",4*($J623="Yes")+3*($G623="No")+2*(N($I623)&gt;0)+1*(AND(ISNUMBER($H623),$H623&gt;45))+3*(AND(ISNUMBER($P623),$P623&lt;=TODAY()))-6*($S623="Yes")+(750-ROW())/100000)</f>
        <v/>
      </c>
      <c r="W623" s="47">
        <f>IF(OR($A623="",NOT(ISNUMBER($P623))),"",INT($P623-TODAY()))</f>
        <v/>
      </c>
      <c r="X623" s="47" t="n"/>
    </row>
    <row r="624">
      <c r="A624" s="50" t="n"/>
      <c r="B624" s="47" t="n"/>
      <c r="C624" s="47" t="n"/>
      <c r="D624" s="50" t="n"/>
      <c r="E624" s="50" t="n"/>
      <c r="F624" s="48" t="n"/>
      <c r="G624" s="47" t="n"/>
      <c r="H624" s="47" t="n"/>
      <c r="I624" s="47" t="n"/>
      <c r="J624" s="47" t="n"/>
      <c r="K624" s="47" t="n"/>
      <c r="L624" s="47" t="n"/>
      <c r="M624" s="50" t="n"/>
      <c r="N624" s="50" t="n"/>
      <c r="O624" s="50" t="n"/>
      <c r="P624" s="48">
        <f>IF($F624="","",IF($J624="Yes",$F624+1,IF($G624="No",$F624+2,IF(N($I624)&gt;2,$F624+3,IF(N($I624)&gt;0,$F624+5,$F624+7)))))</f>
        <v/>
      </c>
      <c r="Q624" s="48">
        <f>IF($P624="","",IF($J624="Yes",$P624+3,IF($G624="No",$P624+5,IF(N($I624)&gt;0,$P624+7,$P624+14))))</f>
        <v/>
      </c>
      <c r="R624" s="48">
        <f>IF($Q624="","",IF($J624="Yes",$Q624+7,IF($G624="No",$Q624+14,$Q624+30)))</f>
        <v/>
      </c>
      <c r="S624" s="47" t="n"/>
      <c r="T624" s="50" t="n"/>
      <c r="U624" s="47">
        <f>IF($F624="","",MIN(24,MAX(1,ROUNDUP(($F624-DayPlan!$C$2+1)/7,0))))</f>
        <v/>
      </c>
      <c r="V624" s="47">
        <f>IF($A624=""," ",4*($J624="Yes")+3*($G624="No")+2*(N($I624)&gt;0)+1*(AND(ISNUMBER($H624),$H624&gt;45))+3*(AND(ISNUMBER($P624),$P624&lt;=TODAY()))-6*($S624="Yes")+(750-ROW())/100000)</f>
        <v/>
      </c>
      <c r="W624" s="47">
        <f>IF(OR($A624="",NOT(ISNUMBER($P624))),"",INT($P624-TODAY()))</f>
        <v/>
      </c>
      <c r="X624" s="47" t="n"/>
    </row>
    <row r="625">
      <c r="A625" s="50" t="n"/>
      <c r="B625" s="47" t="n"/>
      <c r="C625" s="47" t="n"/>
      <c r="D625" s="50" t="n"/>
      <c r="E625" s="50" t="n"/>
      <c r="F625" s="48" t="n"/>
      <c r="G625" s="47" t="n"/>
      <c r="H625" s="47" t="n"/>
      <c r="I625" s="47" t="n"/>
      <c r="J625" s="47" t="n"/>
      <c r="K625" s="47" t="n"/>
      <c r="L625" s="47" t="n"/>
      <c r="M625" s="50" t="n"/>
      <c r="N625" s="50" t="n"/>
      <c r="O625" s="50" t="n"/>
      <c r="P625" s="48">
        <f>IF($F625="","",IF($J625="Yes",$F625+1,IF($G625="No",$F625+2,IF(N($I625)&gt;2,$F625+3,IF(N($I625)&gt;0,$F625+5,$F625+7)))))</f>
        <v/>
      </c>
      <c r="Q625" s="48">
        <f>IF($P625="","",IF($J625="Yes",$P625+3,IF($G625="No",$P625+5,IF(N($I625)&gt;0,$P625+7,$P625+14))))</f>
        <v/>
      </c>
      <c r="R625" s="48">
        <f>IF($Q625="","",IF($J625="Yes",$Q625+7,IF($G625="No",$Q625+14,$Q625+30)))</f>
        <v/>
      </c>
      <c r="S625" s="47" t="n"/>
      <c r="T625" s="50" t="n"/>
      <c r="U625" s="47">
        <f>IF($F625="","",MIN(24,MAX(1,ROUNDUP(($F625-DayPlan!$C$2+1)/7,0))))</f>
        <v/>
      </c>
      <c r="V625" s="47">
        <f>IF($A625=""," ",4*($J625="Yes")+3*($G625="No")+2*(N($I625)&gt;0)+1*(AND(ISNUMBER($H625),$H625&gt;45))+3*(AND(ISNUMBER($P625),$P625&lt;=TODAY()))-6*($S625="Yes")+(750-ROW())/100000)</f>
        <v/>
      </c>
      <c r="W625" s="47">
        <f>IF(OR($A625="",NOT(ISNUMBER($P625))),"",INT($P625-TODAY()))</f>
        <v/>
      </c>
      <c r="X625" s="47" t="n"/>
    </row>
    <row r="626">
      <c r="A626" s="50" t="n"/>
      <c r="B626" s="47" t="n"/>
      <c r="C626" s="47" t="n"/>
      <c r="D626" s="50" t="n"/>
      <c r="E626" s="50" t="n"/>
      <c r="F626" s="48" t="n"/>
      <c r="G626" s="47" t="n"/>
      <c r="H626" s="47" t="n"/>
      <c r="I626" s="47" t="n"/>
      <c r="J626" s="47" t="n"/>
      <c r="K626" s="47" t="n"/>
      <c r="L626" s="47" t="n"/>
      <c r="M626" s="50" t="n"/>
      <c r="N626" s="50" t="n"/>
      <c r="O626" s="50" t="n"/>
      <c r="P626" s="48">
        <f>IF($F626="","",IF($J626="Yes",$F626+1,IF($G626="No",$F626+2,IF(N($I626)&gt;2,$F626+3,IF(N($I626)&gt;0,$F626+5,$F626+7)))))</f>
        <v/>
      </c>
      <c r="Q626" s="48">
        <f>IF($P626="","",IF($J626="Yes",$P626+3,IF($G626="No",$P626+5,IF(N($I626)&gt;0,$P626+7,$P626+14))))</f>
        <v/>
      </c>
      <c r="R626" s="48">
        <f>IF($Q626="","",IF($J626="Yes",$Q626+7,IF($G626="No",$Q626+14,$Q626+30)))</f>
        <v/>
      </c>
      <c r="S626" s="47" t="n"/>
      <c r="T626" s="50" t="n"/>
      <c r="U626" s="47">
        <f>IF($F626="","",MIN(24,MAX(1,ROUNDUP(($F626-DayPlan!$C$2+1)/7,0))))</f>
        <v/>
      </c>
      <c r="V626" s="47">
        <f>IF($A626=""," ",4*($J626="Yes")+3*($G626="No")+2*(N($I626)&gt;0)+1*(AND(ISNUMBER($H626),$H626&gt;45))+3*(AND(ISNUMBER($P626),$P626&lt;=TODAY()))-6*($S626="Yes")+(750-ROW())/100000)</f>
        <v/>
      </c>
      <c r="W626" s="47">
        <f>IF(OR($A626="",NOT(ISNUMBER($P626))),"",INT($P626-TODAY()))</f>
        <v/>
      </c>
      <c r="X626" s="47" t="n"/>
    </row>
    <row r="627">
      <c r="A627" s="50" t="n"/>
      <c r="B627" s="47" t="n"/>
      <c r="C627" s="47" t="n"/>
      <c r="D627" s="50" t="n"/>
      <c r="E627" s="50" t="n"/>
      <c r="F627" s="48" t="n"/>
      <c r="G627" s="47" t="n"/>
      <c r="H627" s="47" t="n"/>
      <c r="I627" s="47" t="n"/>
      <c r="J627" s="47" t="n"/>
      <c r="K627" s="47" t="n"/>
      <c r="L627" s="47" t="n"/>
      <c r="M627" s="50" t="n"/>
      <c r="N627" s="50" t="n"/>
      <c r="O627" s="50" t="n"/>
      <c r="P627" s="48">
        <f>IF($F627="","",IF($J627="Yes",$F627+1,IF($G627="No",$F627+2,IF(N($I627)&gt;2,$F627+3,IF(N($I627)&gt;0,$F627+5,$F627+7)))))</f>
        <v/>
      </c>
      <c r="Q627" s="48">
        <f>IF($P627="","",IF($J627="Yes",$P627+3,IF($G627="No",$P627+5,IF(N($I627)&gt;0,$P627+7,$P627+14))))</f>
        <v/>
      </c>
      <c r="R627" s="48">
        <f>IF($Q627="","",IF($J627="Yes",$Q627+7,IF($G627="No",$Q627+14,$Q627+30)))</f>
        <v/>
      </c>
      <c r="S627" s="47" t="n"/>
      <c r="T627" s="50" t="n"/>
      <c r="U627" s="47">
        <f>IF($F627="","",MIN(24,MAX(1,ROUNDUP(($F627-DayPlan!$C$2+1)/7,0))))</f>
        <v/>
      </c>
      <c r="V627" s="47">
        <f>IF($A627=""," ",4*($J627="Yes")+3*($G627="No")+2*(N($I627)&gt;0)+1*(AND(ISNUMBER($H627),$H627&gt;45))+3*(AND(ISNUMBER($P627),$P627&lt;=TODAY()))-6*($S627="Yes")+(750-ROW())/100000)</f>
        <v/>
      </c>
      <c r="W627" s="47">
        <f>IF(OR($A627="",NOT(ISNUMBER($P627))),"",INT($P627-TODAY()))</f>
        <v/>
      </c>
      <c r="X627" s="47" t="n"/>
    </row>
    <row r="628">
      <c r="A628" s="50" t="n"/>
      <c r="B628" s="47" t="n"/>
      <c r="C628" s="47" t="n"/>
      <c r="D628" s="50" t="n"/>
      <c r="E628" s="50" t="n"/>
      <c r="F628" s="48" t="n"/>
      <c r="G628" s="47" t="n"/>
      <c r="H628" s="47" t="n"/>
      <c r="I628" s="47" t="n"/>
      <c r="J628" s="47" t="n"/>
      <c r="K628" s="47" t="n"/>
      <c r="L628" s="47" t="n"/>
      <c r="M628" s="50" t="n"/>
      <c r="N628" s="50" t="n"/>
      <c r="O628" s="50" t="n"/>
      <c r="P628" s="48">
        <f>IF($F628="","",IF($J628="Yes",$F628+1,IF($G628="No",$F628+2,IF(N($I628)&gt;2,$F628+3,IF(N($I628)&gt;0,$F628+5,$F628+7)))))</f>
        <v/>
      </c>
      <c r="Q628" s="48">
        <f>IF($P628="","",IF($J628="Yes",$P628+3,IF($G628="No",$P628+5,IF(N($I628)&gt;0,$P628+7,$P628+14))))</f>
        <v/>
      </c>
      <c r="R628" s="48">
        <f>IF($Q628="","",IF($J628="Yes",$Q628+7,IF($G628="No",$Q628+14,$Q628+30)))</f>
        <v/>
      </c>
      <c r="S628" s="47" t="n"/>
      <c r="T628" s="50" t="n"/>
      <c r="U628" s="47">
        <f>IF($F628="","",MIN(24,MAX(1,ROUNDUP(($F628-DayPlan!$C$2+1)/7,0))))</f>
        <v/>
      </c>
      <c r="V628" s="47">
        <f>IF($A628=""," ",4*($J628="Yes")+3*($G628="No")+2*(N($I628)&gt;0)+1*(AND(ISNUMBER($H628),$H628&gt;45))+3*(AND(ISNUMBER($P628),$P628&lt;=TODAY()))-6*($S628="Yes")+(750-ROW())/100000)</f>
        <v/>
      </c>
      <c r="W628" s="47">
        <f>IF(OR($A628="",NOT(ISNUMBER($P628))),"",INT($P628-TODAY()))</f>
        <v/>
      </c>
      <c r="X628" s="47" t="n"/>
    </row>
    <row r="629">
      <c r="A629" s="50" t="n"/>
      <c r="B629" s="47" t="n"/>
      <c r="C629" s="47" t="n"/>
      <c r="D629" s="50" t="n"/>
      <c r="E629" s="50" t="n"/>
      <c r="F629" s="48" t="n"/>
      <c r="G629" s="47" t="n"/>
      <c r="H629" s="47" t="n"/>
      <c r="I629" s="47" t="n"/>
      <c r="J629" s="47" t="n"/>
      <c r="K629" s="47" t="n"/>
      <c r="L629" s="47" t="n"/>
      <c r="M629" s="50" t="n"/>
      <c r="N629" s="50" t="n"/>
      <c r="O629" s="50" t="n"/>
      <c r="P629" s="48">
        <f>IF($F629="","",IF($J629="Yes",$F629+1,IF($G629="No",$F629+2,IF(N($I629)&gt;2,$F629+3,IF(N($I629)&gt;0,$F629+5,$F629+7)))))</f>
        <v/>
      </c>
      <c r="Q629" s="48">
        <f>IF($P629="","",IF($J629="Yes",$P629+3,IF($G629="No",$P629+5,IF(N($I629)&gt;0,$P629+7,$P629+14))))</f>
        <v/>
      </c>
      <c r="R629" s="48">
        <f>IF($Q629="","",IF($J629="Yes",$Q629+7,IF($G629="No",$Q629+14,$Q629+30)))</f>
        <v/>
      </c>
      <c r="S629" s="47" t="n"/>
      <c r="T629" s="50" t="n"/>
      <c r="U629" s="47">
        <f>IF($F629="","",MIN(24,MAX(1,ROUNDUP(($F629-DayPlan!$C$2+1)/7,0))))</f>
        <v/>
      </c>
      <c r="V629" s="47">
        <f>IF($A629=""," ",4*($J629="Yes")+3*($G629="No")+2*(N($I629)&gt;0)+1*(AND(ISNUMBER($H629),$H629&gt;45))+3*(AND(ISNUMBER($P629),$P629&lt;=TODAY()))-6*($S629="Yes")+(750-ROW())/100000)</f>
        <v/>
      </c>
      <c r="W629" s="47">
        <f>IF(OR($A629="",NOT(ISNUMBER($P629))),"",INT($P629-TODAY()))</f>
        <v/>
      </c>
      <c r="X629" s="47" t="n"/>
    </row>
    <row r="630">
      <c r="A630" s="50" t="n"/>
      <c r="B630" s="47" t="n"/>
      <c r="C630" s="47" t="n"/>
      <c r="D630" s="50" t="n"/>
      <c r="E630" s="50" t="n"/>
      <c r="F630" s="48" t="n"/>
      <c r="G630" s="47" t="n"/>
      <c r="H630" s="47" t="n"/>
      <c r="I630" s="47" t="n"/>
      <c r="J630" s="47" t="n"/>
      <c r="K630" s="47" t="n"/>
      <c r="L630" s="47" t="n"/>
      <c r="M630" s="50" t="n"/>
      <c r="N630" s="50" t="n"/>
      <c r="O630" s="50" t="n"/>
      <c r="P630" s="48">
        <f>IF($F630="","",IF($J630="Yes",$F630+1,IF($G630="No",$F630+2,IF(N($I630)&gt;2,$F630+3,IF(N($I630)&gt;0,$F630+5,$F630+7)))))</f>
        <v/>
      </c>
      <c r="Q630" s="48">
        <f>IF($P630="","",IF($J630="Yes",$P630+3,IF($G630="No",$P630+5,IF(N($I630)&gt;0,$P630+7,$P630+14))))</f>
        <v/>
      </c>
      <c r="R630" s="48">
        <f>IF($Q630="","",IF($J630="Yes",$Q630+7,IF($G630="No",$Q630+14,$Q630+30)))</f>
        <v/>
      </c>
      <c r="S630" s="47" t="n"/>
      <c r="T630" s="50" t="n"/>
      <c r="U630" s="47">
        <f>IF($F630="","",MIN(24,MAX(1,ROUNDUP(($F630-DayPlan!$C$2+1)/7,0))))</f>
        <v/>
      </c>
      <c r="V630" s="47">
        <f>IF($A630=""," ",4*($J630="Yes")+3*($G630="No")+2*(N($I630)&gt;0)+1*(AND(ISNUMBER($H630),$H630&gt;45))+3*(AND(ISNUMBER($P630),$P630&lt;=TODAY()))-6*($S630="Yes")+(750-ROW())/100000)</f>
        <v/>
      </c>
      <c r="W630" s="47">
        <f>IF(OR($A630="",NOT(ISNUMBER($P630))),"",INT($P630-TODAY()))</f>
        <v/>
      </c>
      <c r="X630" s="47" t="n"/>
    </row>
    <row r="631">
      <c r="A631" s="50" t="n"/>
      <c r="B631" s="47" t="n"/>
      <c r="C631" s="47" t="n"/>
      <c r="D631" s="50" t="n"/>
      <c r="E631" s="50" t="n"/>
      <c r="F631" s="48" t="n"/>
      <c r="G631" s="47" t="n"/>
      <c r="H631" s="47" t="n"/>
      <c r="I631" s="47" t="n"/>
      <c r="J631" s="47" t="n"/>
      <c r="K631" s="47" t="n"/>
      <c r="L631" s="47" t="n"/>
      <c r="M631" s="50" t="n"/>
      <c r="N631" s="50" t="n"/>
      <c r="O631" s="50" t="n"/>
      <c r="P631" s="48">
        <f>IF($F631="","",IF($J631="Yes",$F631+1,IF($G631="No",$F631+2,IF(N($I631)&gt;2,$F631+3,IF(N($I631)&gt;0,$F631+5,$F631+7)))))</f>
        <v/>
      </c>
      <c r="Q631" s="48">
        <f>IF($P631="","",IF($J631="Yes",$P631+3,IF($G631="No",$P631+5,IF(N($I631)&gt;0,$P631+7,$P631+14))))</f>
        <v/>
      </c>
      <c r="R631" s="48">
        <f>IF($Q631="","",IF($J631="Yes",$Q631+7,IF($G631="No",$Q631+14,$Q631+30)))</f>
        <v/>
      </c>
      <c r="S631" s="47" t="n"/>
      <c r="T631" s="50" t="n"/>
      <c r="U631" s="47">
        <f>IF($F631="","",MIN(24,MAX(1,ROUNDUP(($F631-DayPlan!$C$2+1)/7,0))))</f>
        <v/>
      </c>
      <c r="V631" s="47">
        <f>IF($A631=""," ",4*($J631="Yes")+3*($G631="No")+2*(N($I631)&gt;0)+1*(AND(ISNUMBER($H631),$H631&gt;45))+3*(AND(ISNUMBER($P631),$P631&lt;=TODAY()))-6*($S631="Yes")+(750-ROW())/100000)</f>
        <v/>
      </c>
      <c r="W631" s="47">
        <f>IF(OR($A631="",NOT(ISNUMBER($P631))),"",INT($P631-TODAY()))</f>
        <v/>
      </c>
      <c r="X631" s="47" t="n"/>
    </row>
    <row r="632">
      <c r="A632" s="50" t="n"/>
      <c r="B632" s="47" t="n"/>
      <c r="C632" s="47" t="n"/>
      <c r="D632" s="50" t="n"/>
      <c r="E632" s="50" t="n"/>
      <c r="F632" s="48" t="n"/>
      <c r="G632" s="47" t="n"/>
      <c r="H632" s="47" t="n"/>
      <c r="I632" s="47" t="n"/>
      <c r="J632" s="47" t="n"/>
      <c r="K632" s="47" t="n"/>
      <c r="L632" s="47" t="n"/>
      <c r="M632" s="50" t="n"/>
      <c r="N632" s="50" t="n"/>
      <c r="O632" s="50" t="n"/>
      <c r="P632" s="48">
        <f>IF($F632="","",IF($J632="Yes",$F632+1,IF($G632="No",$F632+2,IF(N($I632)&gt;2,$F632+3,IF(N($I632)&gt;0,$F632+5,$F632+7)))))</f>
        <v/>
      </c>
      <c r="Q632" s="48">
        <f>IF($P632="","",IF($J632="Yes",$P632+3,IF($G632="No",$P632+5,IF(N($I632)&gt;0,$P632+7,$P632+14))))</f>
        <v/>
      </c>
      <c r="R632" s="48">
        <f>IF($Q632="","",IF($J632="Yes",$Q632+7,IF($G632="No",$Q632+14,$Q632+30)))</f>
        <v/>
      </c>
      <c r="S632" s="47" t="n"/>
      <c r="T632" s="50" t="n"/>
      <c r="U632" s="47">
        <f>IF($F632="","",MIN(24,MAX(1,ROUNDUP(($F632-DayPlan!$C$2+1)/7,0))))</f>
        <v/>
      </c>
      <c r="V632" s="47">
        <f>IF($A632=""," ",4*($J632="Yes")+3*($G632="No")+2*(N($I632)&gt;0)+1*(AND(ISNUMBER($H632),$H632&gt;45))+3*(AND(ISNUMBER($P632),$P632&lt;=TODAY()))-6*($S632="Yes")+(750-ROW())/100000)</f>
        <v/>
      </c>
      <c r="W632" s="47">
        <f>IF(OR($A632="",NOT(ISNUMBER($P632))),"",INT($P632-TODAY()))</f>
        <v/>
      </c>
      <c r="X632" s="47" t="n"/>
    </row>
    <row r="633">
      <c r="A633" s="50" t="n"/>
      <c r="B633" s="47" t="n"/>
      <c r="C633" s="47" t="n"/>
      <c r="D633" s="50" t="n"/>
      <c r="E633" s="50" t="n"/>
      <c r="F633" s="48" t="n"/>
      <c r="G633" s="47" t="n"/>
      <c r="H633" s="47" t="n"/>
      <c r="I633" s="47" t="n"/>
      <c r="J633" s="47" t="n"/>
      <c r="K633" s="47" t="n"/>
      <c r="L633" s="47" t="n"/>
      <c r="M633" s="50" t="n"/>
      <c r="N633" s="50" t="n"/>
      <c r="O633" s="50" t="n"/>
      <c r="P633" s="48">
        <f>IF($F633="","",IF($J633="Yes",$F633+1,IF($G633="No",$F633+2,IF(N($I633)&gt;2,$F633+3,IF(N($I633)&gt;0,$F633+5,$F633+7)))))</f>
        <v/>
      </c>
      <c r="Q633" s="48">
        <f>IF($P633="","",IF($J633="Yes",$P633+3,IF($G633="No",$P633+5,IF(N($I633)&gt;0,$P633+7,$P633+14))))</f>
        <v/>
      </c>
      <c r="R633" s="48">
        <f>IF($Q633="","",IF($J633="Yes",$Q633+7,IF($G633="No",$Q633+14,$Q633+30)))</f>
        <v/>
      </c>
      <c r="S633" s="47" t="n"/>
      <c r="T633" s="50" t="n"/>
      <c r="U633" s="47">
        <f>IF($F633="","",MIN(24,MAX(1,ROUNDUP(($F633-DayPlan!$C$2+1)/7,0))))</f>
        <v/>
      </c>
      <c r="V633" s="47">
        <f>IF($A633=""," ",4*($J633="Yes")+3*($G633="No")+2*(N($I633)&gt;0)+1*(AND(ISNUMBER($H633),$H633&gt;45))+3*(AND(ISNUMBER($P633),$P633&lt;=TODAY()))-6*($S633="Yes")+(750-ROW())/100000)</f>
        <v/>
      </c>
      <c r="W633" s="47">
        <f>IF(OR($A633="",NOT(ISNUMBER($P633))),"",INT($P633-TODAY()))</f>
        <v/>
      </c>
      <c r="X633" s="47" t="n"/>
    </row>
    <row r="634">
      <c r="A634" s="50" t="n"/>
      <c r="B634" s="47" t="n"/>
      <c r="C634" s="47" t="n"/>
      <c r="D634" s="50" t="n"/>
      <c r="E634" s="50" t="n"/>
      <c r="F634" s="48" t="n"/>
      <c r="G634" s="47" t="n"/>
      <c r="H634" s="47" t="n"/>
      <c r="I634" s="47" t="n"/>
      <c r="J634" s="47" t="n"/>
      <c r="K634" s="47" t="n"/>
      <c r="L634" s="47" t="n"/>
      <c r="M634" s="50" t="n"/>
      <c r="N634" s="50" t="n"/>
      <c r="O634" s="50" t="n"/>
      <c r="P634" s="48">
        <f>IF($F634="","",IF($J634="Yes",$F634+1,IF($G634="No",$F634+2,IF(N($I634)&gt;2,$F634+3,IF(N($I634)&gt;0,$F634+5,$F634+7)))))</f>
        <v/>
      </c>
      <c r="Q634" s="48">
        <f>IF($P634="","",IF($J634="Yes",$P634+3,IF($G634="No",$P634+5,IF(N($I634)&gt;0,$P634+7,$P634+14))))</f>
        <v/>
      </c>
      <c r="R634" s="48">
        <f>IF($Q634="","",IF($J634="Yes",$Q634+7,IF($G634="No",$Q634+14,$Q634+30)))</f>
        <v/>
      </c>
      <c r="S634" s="47" t="n"/>
      <c r="T634" s="50" t="n"/>
      <c r="U634" s="47">
        <f>IF($F634="","",MIN(24,MAX(1,ROUNDUP(($F634-DayPlan!$C$2+1)/7,0))))</f>
        <v/>
      </c>
      <c r="V634" s="47">
        <f>IF($A634=""," ",4*($J634="Yes")+3*($G634="No")+2*(N($I634)&gt;0)+1*(AND(ISNUMBER($H634),$H634&gt;45))+3*(AND(ISNUMBER($P634),$P634&lt;=TODAY()))-6*($S634="Yes")+(750-ROW())/100000)</f>
        <v/>
      </c>
      <c r="W634" s="47">
        <f>IF(OR($A634="",NOT(ISNUMBER($P634))),"",INT($P634-TODAY()))</f>
        <v/>
      </c>
      <c r="X634" s="47" t="n"/>
    </row>
    <row r="635">
      <c r="A635" s="50" t="n"/>
      <c r="B635" s="47" t="n"/>
      <c r="C635" s="47" t="n"/>
      <c r="D635" s="50" t="n"/>
      <c r="E635" s="50" t="n"/>
      <c r="F635" s="48" t="n"/>
      <c r="G635" s="47" t="n"/>
      <c r="H635" s="47" t="n"/>
      <c r="I635" s="47" t="n"/>
      <c r="J635" s="47" t="n"/>
      <c r="K635" s="47" t="n"/>
      <c r="L635" s="47" t="n"/>
      <c r="M635" s="50" t="n"/>
      <c r="N635" s="50" t="n"/>
      <c r="O635" s="50" t="n"/>
      <c r="P635" s="48">
        <f>IF($F635="","",IF($J635="Yes",$F635+1,IF($G635="No",$F635+2,IF(N($I635)&gt;2,$F635+3,IF(N($I635)&gt;0,$F635+5,$F635+7)))))</f>
        <v/>
      </c>
      <c r="Q635" s="48">
        <f>IF($P635="","",IF($J635="Yes",$P635+3,IF($G635="No",$P635+5,IF(N($I635)&gt;0,$P635+7,$P635+14))))</f>
        <v/>
      </c>
      <c r="R635" s="48">
        <f>IF($Q635="","",IF($J635="Yes",$Q635+7,IF($G635="No",$Q635+14,$Q635+30)))</f>
        <v/>
      </c>
      <c r="S635" s="47" t="n"/>
      <c r="T635" s="50" t="n"/>
      <c r="U635" s="47">
        <f>IF($F635="","",MIN(24,MAX(1,ROUNDUP(($F635-DayPlan!$C$2+1)/7,0))))</f>
        <v/>
      </c>
      <c r="V635" s="47">
        <f>IF($A635=""," ",4*($J635="Yes")+3*($G635="No")+2*(N($I635)&gt;0)+1*(AND(ISNUMBER($H635),$H635&gt;45))+3*(AND(ISNUMBER($P635),$P635&lt;=TODAY()))-6*($S635="Yes")+(750-ROW())/100000)</f>
        <v/>
      </c>
      <c r="W635" s="47">
        <f>IF(OR($A635="",NOT(ISNUMBER($P635))),"",INT($P635-TODAY()))</f>
        <v/>
      </c>
      <c r="X635" s="47" t="n"/>
    </row>
    <row r="636">
      <c r="A636" s="50" t="n"/>
      <c r="B636" s="47" t="n"/>
      <c r="C636" s="47" t="n"/>
      <c r="D636" s="50" t="n"/>
      <c r="E636" s="50" t="n"/>
      <c r="F636" s="48" t="n"/>
      <c r="G636" s="47" t="n"/>
      <c r="H636" s="47" t="n"/>
      <c r="I636" s="47" t="n"/>
      <c r="J636" s="47" t="n"/>
      <c r="K636" s="47" t="n"/>
      <c r="L636" s="47" t="n"/>
      <c r="M636" s="50" t="n"/>
      <c r="N636" s="50" t="n"/>
      <c r="O636" s="50" t="n"/>
      <c r="P636" s="48">
        <f>IF($F636="","",IF($J636="Yes",$F636+1,IF($G636="No",$F636+2,IF(N($I636)&gt;2,$F636+3,IF(N($I636)&gt;0,$F636+5,$F636+7)))))</f>
        <v/>
      </c>
      <c r="Q636" s="48">
        <f>IF($P636="","",IF($J636="Yes",$P636+3,IF($G636="No",$P636+5,IF(N($I636)&gt;0,$P636+7,$P636+14))))</f>
        <v/>
      </c>
      <c r="R636" s="48">
        <f>IF($Q636="","",IF($J636="Yes",$Q636+7,IF($G636="No",$Q636+14,$Q636+30)))</f>
        <v/>
      </c>
      <c r="S636" s="47" t="n"/>
      <c r="T636" s="50" t="n"/>
      <c r="U636" s="47">
        <f>IF($F636="","",MIN(24,MAX(1,ROUNDUP(($F636-DayPlan!$C$2+1)/7,0))))</f>
        <v/>
      </c>
      <c r="V636" s="47">
        <f>IF($A636=""," ",4*($J636="Yes")+3*($G636="No")+2*(N($I636)&gt;0)+1*(AND(ISNUMBER($H636),$H636&gt;45))+3*(AND(ISNUMBER($P636),$P636&lt;=TODAY()))-6*($S636="Yes")+(750-ROW())/100000)</f>
        <v/>
      </c>
      <c r="W636" s="47">
        <f>IF(OR($A636="",NOT(ISNUMBER($P636))),"",INT($P636-TODAY()))</f>
        <v/>
      </c>
      <c r="X636" s="47" t="n"/>
    </row>
    <row r="637">
      <c r="A637" s="50" t="n"/>
      <c r="B637" s="47" t="n"/>
      <c r="C637" s="47" t="n"/>
      <c r="D637" s="50" t="n"/>
      <c r="E637" s="50" t="n"/>
      <c r="F637" s="48" t="n"/>
      <c r="G637" s="47" t="n"/>
      <c r="H637" s="47" t="n"/>
      <c r="I637" s="47" t="n"/>
      <c r="J637" s="47" t="n"/>
      <c r="K637" s="47" t="n"/>
      <c r="L637" s="47" t="n"/>
      <c r="M637" s="50" t="n"/>
      <c r="N637" s="50" t="n"/>
      <c r="O637" s="50" t="n"/>
      <c r="P637" s="48">
        <f>IF($F637="","",IF($J637="Yes",$F637+1,IF($G637="No",$F637+2,IF(N($I637)&gt;2,$F637+3,IF(N($I637)&gt;0,$F637+5,$F637+7)))))</f>
        <v/>
      </c>
      <c r="Q637" s="48">
        <f>IF($P637="","",IF($J637="Yes",$P637+3,IF($G637="No",$P637+5,IF(N($I637)&gt;0,$P637+7,$P637+14))))</f>
        <v/>
      </c>
      <c r="R637" s="48">
        <f>IF($Q637="","",IF($J637="Yes",$Q637+7,IF($G637="No",$Q637+14,$Q637+30)))</f>
        <v/>
      </c>
      <c r="S637" s="47" t="n"/>
      <c r="T637" s="50" t="n"/>
      <c r="U637" s="47">
        <f>IF($F637="","",MIN(24,MAX(1,ROUNDUP(($F637-DayPlan!$C$2+1)/7,0))))</f>
        <v/>
      </c>
      <c r="V637" s="47">
        <f>IF($A637=""," ",4*($J637="Yes")+3*($G637="No")+2*(N($I637)&gt;0)+1*(AND(ISNUMBER($H637),$H637&gt;45))+3*(AND(ISNUMBER($P637),$P637&lt;=TODAY()))-6*($S637="Yes")+(750-ROW())/100000)</f>
        <v/>
      </c>
      <c r="W637" s="47">
        <f>IF(OR($A637="",NOT(ISNUMBER($P637))),"",INT($P637-TODAY()))</f>
        <v/>
      </c>
      <c r="X637" s="47" t="n"/>
    </row>
    <row r="638">
      <c r="A638" s="50" t="n"/>
      <c r="B638" s="47" t="n"/>
      <c r="C638" s="47" t="n"/>
      <c r="D638" s="50" t="n"/>
      <c r="E638" s="50" t="n"/>
      <c r="F638" s="48" t="n"/>
      <c r="G638" s="47" t="n"/>
      <c r="H638" s="47" t="n"/>
      <c r="I638" s="47" t="n"/>
      <c r="J638" s="47" t="n"/>
      <c r="K638" s="47" t="n"/>
      <c r="L638" s="47" t="n"/>
      <c r="M638" s="50" t="n"/>
      <c r="N638" s="50" t="n"/>
      <c r="O638" s="50" t="n"/>
      <c r="P638" s="48">
        <f>IF($F638="","",IF($J638="Yes",$F638+1,IF($G638="No",$F638+2,IF(N($I638)&gt;2,$F638+3,IF(N($I638)&gt;0,$F638+5,$F638+7)))))</f>
        <v/>
      </c>
      <c r="Q638" s="48">
        <f>IF($P638="","",IF($J638="Yes",$P638+3,IF($G638="No",$P638+5,IF(N($I638)&gt;0,$P638+7,$P638+14))))</f>
        <v/>
      </c>
      <c r="R638" s="48">
        <f>IF($Q638="","",IF($J638="Yes",$Q638+7,IF($G638="No",$Q638+14,$Q638+30)))</f>
        <v/>
      </c>
      <c r="S638" s="47" t="n"/>
      <c r="T638" s="50" t="n"/>
      <c r="U638" s="47">
        <f>IF($F638="","",MIN(24,MAX(1,ROUNDUP(($F638-DayPlan!$C$2+1)/7,0))))</f>
        <v/>
      </c>
      <c r="V638" s="47">
        <f>IF($A638=""," ",4*($J638="Yes")+3*($G638="No")+2*(N($I638)&gt;0)+1*(AND(ISNUMBER($H638),$H638&gt;45))+3*(AND(ISNUMBER($P638),$P638&lt;=TODAY()))-6*($S638="Yes")+(750-ROW())/100000)</f>
        <v/>
      </c>
      <c r="W638" s="47">
        <f>IF(OR($A638="",NOT(ISNUMBER($P638))),"",INT($P638-TODAY()))</f>
        <v/>
      </c>
      <c r="X638" s="47" t="n"/>
    </row>
    <row r="639">
      <c r="A639" s="50" t="n"/>
      <c r="B639" s="47" t="n"/>
      <c r="C639" s="47" t="n"/>
      <c r="D639" s="50" t="n"/>
      <c r="E639" s="50" t="n"/>
      <c r="F639" s="48" t="n"/>
      <c r="G639" s="47" t="n"/>
      <c r="H639" s="47" t="n"/>
      <c r="I639" s="47" t="n"/>
      <c r="J639" s="47" t="n"/>
      <c r="K639" s="47" t="n"/>
      <c r="L639" s="47" t="n"/>
      <c r="M639" s="50" t="n"/>
      <c r="N639" s="50" t="n"/>
      <c r="O639" s="50" t="n"/>
      <c r="P639" s="48">
        <f>IF($F639="","",IF($J639="Yes",$F639+1,IF($G639="No",$F639+2,IF(N($I639)&gt;2,$F639+3,IF(N($I639)&gt;0,$F639+5,$F639+7)))))</f>
        <v/>
      </c>
      <c r="Q639" s="48">
        <f>IF($P639="","",IF($J639="Yes",$P639+3,IF($G639="No",$P639+5,IF(N($I639)&gt;0,$P639+7,$P639+14))))</f>
        <v/>
      </c>
      <c r="R639" s="48">
        <f>IF($Q639="","",IF($J639="Yes",$Q639+7,IF($G639="No",$Q639+14,$Q639+30)))</f>
        <v/>
      </c>
      <c r="S639" s="47" t="n"/>
      <c r="T639" s="50" t="n"/>
      <c r="U639" s="47">
        <f>IF($F639="","",MIN(24,MAX(1,ROUNDUP(($F639-DayPlan!$C$2+1)/7,0))))</f>
        <v/>
      </c>
      <c r="V639" s="47">
        <f>IF($A639=""," ",4*($J639="Yes")+3*($G639="No")+2*(N($I639)&gt;0)+1*(AND(ISNUMBER($H639),$H639&gt;45))+3*(AND(ISNUMBER($P639),$P639&lt;=TODAY()))-6*($S639="Yes")+(750-ROW())/100000)</f>
        <v/>
      </c>
      <c r="W639" s="47">
        <f>IF(OR($A639="",NOT(ISNUMBER($P639))),"",INT($P639-TODAY()))</f>
        <v/>
      </c>
      <c r="X639" s="47" t="n"/>
    </row>
    <row r="640">
      <c r="A640" s="50" t="n"/>
      <c r="B640" s="47" t="n"/>
      <c r="C640" s="47" t="n"/>
      <c r="D640" s="50" t="n"/>
      <c r="E640" s="50" t="n"/>
      <c r="F640" s="48" t="n"/>
      <c r="G640" s="47" t="n"/>
      <c r="H640" s="47" t="n"/>
      <c r="I640" s="47" t="n"/>
      <c r="J640" s="47" t="n"/>
      <c r="K640" s="47" t="n"/>
      <c r="L640" s="47" t="n"/>
      <c r="M640" s="50" t="n"/>
      <c r="N640" s="50" t="n"/>
      <c r="O640" s="50" t="n"/>
      <c r="P640" s="48">
        <f>IF($F640="","",IF($J640="Yes",$F640+1,IF($G640="No",$F640+2,IF(N($I640)&gt;2,$F640+3,IF(N($I640)&gt;0,$F640+5,$F640+7)))))</f>
        <v/>
      </c>
      <c r="Q640" s="48">
        <f>IF($P640="","",IF($J640="Yes",$P640+3,IF($G640="No",$P640+5,IF(N($I640)&gt;0,$P640+7,$P640+14))))</f>
        <v/>
      </c>
      <c r="R640" s="48">
        <f>IF($Q640="","",IF($J640="Yes",$Q640+7,IF($G640="No",$Q640+14,$Q640+30)))</f>
        <v/>
      </c>
      <c r="S640" s="47" t="n"/>
      <c r="T640" s="50" t="n"/>
      <c r="U640" s="47">
        <f>IF($F640="","",MIN(24,MAX(1,ROUNDUP(($F640-DayPlan!$C$2+1)/7,0))))</f>
        <v/>
      </c>
      <c r="V640" s="47">
        <f>IF($A640=""," ",4*($J640="Yes")+3*($G640="No")+2*(N($I640)&gt;0)+1*(AND(ISNUMBER($H640),$H640&gt;45))+3*(AND(ISNUMBER($P640),$P640&lt;=TODAY()))-6*($S640="Yes")+(750-ROW())/100000)</f>
        <v/>
      </c>
      <c r="W640" s="47">
        <f>IF(OR($A640="",NOT(ISNUMBER($P640))),"",INT($P640-TODAY()))</f>
        <v/>
      </c>
      <c r="X640" s="47" t="n"/>
    </row>
    <row r="641">
      <c r="A641" s="50" t="n"/>
      <c r="B641" s="47" t="n"/>
      <c r="C641" s="47" t="n"/>
      <c r="D641" s="50" t="n"/>
      <c r="E641" s="50" t="n"/>
      <c r="F641" s="48" t="n"/>
      <c r="G641" s="47" t="n"/>
      <c r="H641" s="47" t="n"/>
      <c r="I641" s="47" t="n"/>
      <c r="J641" s="47" t="n"/>
      <c r="K641" s="47" t="n"/>
      <c r="L641" s="47" t="n"/>
      <c r="M641" s="50" t="n"/>
      <c r="N641" s="50" t="n"/>
      <c r="O641" s="50" t="n"/>
      <c r="P641" s="48">
        <f>IF($F641="","",IF($J641="Yes",$F641+1,IF($G641="No",$F641+2,IF(N($I641)&gt;2,$F641+3,IF(N($I641)&gt;0,$F641+5,$F641+7)))))</f>
        <v/>
      </c>
      <c r="Q641" s="48">
        <f>IF($P641="","",IF($J641="Yes",$P641+3,IF($G641="No",$P641+5,IF(N($I641)&gt;0,$P641+7,$P641+14))))</f>
        <v/>
      </c>
      <c r="R641" s="48">
        <f>IF($Q641="","",IF($J641="Yes",$Q641+7,IF($G641="No",$Q641+14,$Q641+30)))</f>
        <v/>
      </c>
      <c r="S641" s="47" t="n"/>
      <c r="T641" s="50" t="n"/>
      <c r="U641" s="47">
        <f>IF($F641="","",MIN(24,MAX(1,ROUNDUP(($F641-DayPlan!$C$2+1)/7,0))))</f>
        <v/>
      </c>
      <c r="V641" s="47">
        <f>IF($A641=""," ",4*($J641="Yes")+3*($G641="No")+2*(N($I641)&gt;0)+1*(AND(ISNUMBER($H641),$H641&gt;45))+3*(AND(ISNUMBER($P641),$P641&lt;=TODAY()))-6*($S641="Yes")+(750-ROW())/100000)</f>
        <v/>
      </c>
      <c r="W641" s="47">
        <f>IF(OR($A641="",NOT(ISNUMBER($P641))),"",INT($P641-TODAY()))</f>
        <v/>
      </c>
      <c r="X641" s="47" t="n"/>
    </row>
    <row r="642">
      <c r="A642" s="50" t="n"/>
      <c r="B642" s="47" t="n"/>
      <c r="C642" s="47" t="n"/>
      <c r="D642" s="50" t="n"/>
      <c r="E642" s="50" t="n"/>
      <c r="F642" s="48" t="n"/>
      <c r="G642" s="47" t="n"/>
      <c r="H642" s="47" t="n"/>
      <c r="I642" s="47" t="n"/>
      <c r="J642" s="47" t="n"/>
      <c r="K642" s="47" t="n"/>
      <c r="L642" s="47" t="n"/>
      <c r="M642" s="50" t="n"/>
      <c r="N642" s="50" t="n"/>
      <c r="O642" s="50" t="n"/>
      <c r="P642" s="48">
        <f>IF($F642="","",IF($J642="Yes",$F642+1,IF($G642="No",$F642+2,IF(N($I642)&gt;2,$F642+3,IF(N($I642)&gt;0,$F642+5,$F642+7)))))</f>
        <v/>
      </c>
      <c r="Q642" s="48">
        <f>IF($P642="","",IF($J642="Yes",$P642+3,IF($G642="No",$P642+5,IF(N($I642)&gt;0,$P642+7,$P642+14))))</f>
        <v/>
      </c>
      <c r="R642" s="48">
        <f>IF($Q642="","",IF($J642="Yes",$Q642+7,IF($G642="No",$Q642+14,$Q642+30)))</f>
        <v/>
      </c>
      <c r="S642" s="47" t="n"/>
      <c r="T642" s="50" t="n"/>
      <c r="U642" s="47">
        <f>IF($F642="","",MIN(24,MAX(1,ROUNDUP(($F642-DayPlan!$C$2+1)/7,0))))</f>
        <v/>
      </c>
      <c r="V642" s="47">
        <f>IF($A642=""," ",4*($J642="Yes")+3*($G642="No")+2*(N($I642)&gt;0)+1*(AND(ISNUMBER($H642),$H642&gt;45))+3*(AND(ISNUMBER($P642),$P642&lt;=TODAY()))-6*($S642="Yes")+(750-ROW())/100000)</f>
        <v/>
      </c>
      <c r="W642" s="47">
        <f>IF(OR($A642="",NOT(ISNUMBER($P642))),"",INT($P642-TODAY()))</f>
        <v/>
      </c>
      <c r="X642" s="47" t="n"/>
    </row>
    <row r="643">
      <c r="A643" s="50" t="n"/>
      <c r="B643" s="47" t="n"/>
      <c r="C643" s="47" t="n"/>
      <c r="D643" s="50" t="n"/>
      <c r="E643" s="50" t="n"/>
      <c r="F643" s="48" t="n"/>
      <c r="G643" s="47" t="n"/>
      <c r="H643" s="47" t="n"/>
      <c r="I643" s="47" t="n"/>
      <c r="J643" s="47" t="n"/>
      <c r="K643" s="47" t="n"/>
      <c r="L643" s="47" t="n"/>
      <c r="M643" s="50" t="n"/>
      <c r="N643" s="50" t="n"/>
      <c r="O643" s="50" t="n"/>
      <c r="P643" s="48">
        <f>IF($F643="","",IF($J643="Yes",$F643+1,IF($G643="No",$F643+2,IF(N($I643)&gt;2,$F643+3,IF(N($I643)&gt;0,$F643+5,$F643+7)))))</f>
        <v/>
      </c>
      <c r="Q643" s="48">
        <f>IF($P643="","",IF($J643="Yes",$P643+3,IF($G643="No",$P643+5,IF(N($I643)&gt;0,$P643+7,$P643+14))))</f>
        <v/>
      </c>
      <c r="R643" s="48">
        <f>IF($Q643="","",IF($J643="Yes",$Q643+7,IF($G643="No",$Q643+14,$Q643+30)))</f>
        <v/>
      </c>
      <c r="S643" s="47" t="n"/>
      <c r="T643" s="50" t="n"/>
      <c r="U643" s="47">
        <f>IF($F643="","",MIN(24,MAX(1,ROUNDUP(($F643-DayPlan!$C$2+1)/7,0))))</f>
        <v/>
      </c>
      <c r="V643" s="47">
        <f>IF($A643=""," ",4*($J643="Yes")+3*($G643="No")+2*(N($I643)&gt;0)+1*(AND(ISNUMBER($H643),$H643&gt;45))+3*(AND(ISNUMBER($P643),$P643&lt;=TODAY()))-6*($S643="Yes")+(750-ROW())/100000)</f>
        <v/>
      </c>
      <c r="W643" s="47">
        <f>IF(OR($A643="",NOT(ISNUMBER($P643))),"",INT($P643-TODAY()))</f>
        <v/>
      </c>
      <c r="X643" s="47" t="n"/>
    </row>
    <row r="644">
      <c r="A644" s="50" t="n"/>
      <c r="B644" s="47" t="n"/>
      <c r="C644" s="47" t="n"/>
      <c r="D644" s="50" t="n"/>
      <c r="E644" s="50" t="n"/>
      <c r="F644" s="48" t="n"/>
      <c r="G644" s="47" t="n"/>
      <c r="H644" s="47" t="n"/>
      <c r="I644" s="47" t="n"/>
      <c r="J644" s="47" t="n"/>
      <c r="K644" s="47" t="n"/>
      <c r="L644" s="47" t="n"/>
      <c r="M644" s="50" t="n"/>
      <c r="N644" s="50" t="n"/>
      <c r="O644" s="50" t="n"/>
      <c r="P644" s="48">
        <f>IF($F644="","",IF($J644="Yes",$F644+1,IF($G644="No",$F644+2,IF(N($I644)&gt;2,$F644+3,IF(N($I644)&gt;0,$F644+5,$F644+7)))))</f>
        <v/>
      </c>
      <c r="Q644" s="48">
        <f>IF($P644="","",IF($J644="Yes",$P644+3,IF($G644="No",$P644+5,IF(N($I644)&gt;0,$P644+7,$P644+14))))</f>
        <v/>
      </c>
      <c r="R644" s="48">
        <f>IF($Q644="","",IF($J644="Yes",$Q644+7,IF($G644="No",$Q644+14,$Q644+30)))</f>
        <v/>
      </c>
      <c r="S644" s="47" t="n"/>
      <c r="T644" s="50" t="n"/>
      <c r="U644" s="47">
        <f>IF($F644="","",MIN(24,MAX(1,ROUNDUP(($F644-DayPlan!$C$2+1)/7,0))))</f>
        <v/>
      </c>
      <c r="V644" s="47">
        <f>IF($A644=""," ",4*($J644="Yes")+3*($G644="No")+2*(N($I644)&gt;0)+1*(AND(ISNUMBER($H644),$H644&gt;45))+3*(AND(ISNUMBER($P644),$P644&lt;=TODAY()))-6*($S644="Yes")+(750-ROW())/100000)</f>
        <v/>
      </c>
      <c r="W644" s="47">
        <f>IF(OR($A644="",NOT(ISNUMBER($P644))),"",INT($P644-TODAY()))</f>
        <v/>
      </c>
      <c r="X644" s="47" t="n"/>
    </row>
    <row r="645">
      <c r="A645" s="50" t="n"/>
      <c r="B645" s="47" t="n"/>
      <c r="C645" s="47" t="n"/>
      <c r="D645" s="50" t="n"/>
      <c r="E645" s="50" t="n"/>
      <c r="F645" s="48" t="n"/>
      <c r="G645" s="47" t="n"/>
      <c r="H645" s="47" t="n"/>
      <c r="I645" s="47" t="n"/>
      <c r="J645" s="47" t="n"/>
      <c r="K645" s="47" t="n"/>
      <c r="L645" s="47" t="n"/>
      <c r="M645" s="50" t="n"/>
      <c r="N645" s="50" t="n"/>
      <c r="O645" s="50" t="n"/>
      <c r="P645" s="48">
        <f>IF($F645="","",IF($J645="Yes",$F645+1,IF($G645="No",$F645+2,IF(N($I645)&gt;2,$F645+3,IF(N($I645)&gt;0,$F645+5,$F645+7)))))</f>
        <v/>
      </c>
      <c r="Q645" s="48">
        <f>IF($P645="","",IF($J645="Yes",$P645+3,IF($G645="No",$P645+5,IF(N($I645)&gt;0,$P645+7,$P645+14))))</f>
        <v/>
      </c>
      <c r="R645" s="48">
        <f>IF($Q645="","",IF($J645="Yes",$Q645+7,IF($G645="No",$Q645+14,$Q645+30)))</f>
        <v/>
      </c>
      <c r="S645" s="47" t="n"/>
      <c r="T645" s="50" t="n"/>
      <c r="U645" s="47">
        <f>IF($F645="","",MIN(24,MAX(1,ROUNDUP(($F645-DayPlan!$C$2+1)/7,0))))</f>
        <v/>
      </c>
      <c r="V645" s="47">
        <f>IF($A645=""," ",4*($J645="Yes")+3*($G645="No")+2*(N($I645)&gt;0)+1*(AND(ISNUMBER($H645),$H645&gt;45))+3*(AND(ISNUMBER($P645),$P645&lt;=TODAY()))-6*($S645="Yes")+(750-ROW())/100000)</f>
        <v/>
      </c>
      <c r="W645" s="47">
        <f>IF(OR($A645="",NOT(ISNUMBER($P645))),"",INT($P645-TODAY()))</f>
        <v/>
      </c>
      <c r="X645" s="47" t="n"/>
    </row>
    <row r="646">
      <c r="A646" s="50" t="n"/>
      <c r="B646" s="47" t="n"/>
      <c r="C646" s="47" t="n"/>
      <c r="D646" s="50" t="n"/>
      <c r="E646" s="50" t="n"/>
      <c r="F646" s="48" t="n"/>
      <c r="G646" s="47" t="n"/>
      <c r="H646" s="47" t="n"/>
      <c r="I646" s="47" t="n"/>
      <c r="J646" s="47" t="n"/>
      <c r="K646" s="47" t="n"/>
      <c r="L646" s="47" t="n"/>
      <c r="M646" s="50" t="n"/>
      <c r="N646" s="50" t="n"/>
      <c r="O646" s="50" t="n"/>
      <c r="P646" s="48">
        <f>IF($F646="","",IF($J646="Yes",$F646+1,IF($G646="No",$F646+2,IF(N($I646)&gt;2,$F646+3,IF(N($I646)&gt;0,$F646+5,$F646+7)))))</f>
        <v/>
      </c>
      <c r="Q646" s="48">
        <f>IF($P646="","",IF($J646="Yes",$P646+3,IF($G646="No",$P646+5,IF(N($I646)&gt;0,$P646+7,$P646+14))))</f>
        <v/>
      </c>
      <c r="R646" s="48">
        <f>IF($Q646="","",IF($J646="Yes",$Q646+7,IF($G646="No",$Q646+14,$Q646+30)))</f>
        <v/>
      </c>
      <c r="S646" s="47" t="n"/>
      <c r="T646" s="50" t="n"/>
      <c r="U646" s="47">
        <f>IF($F646="","",MIN(24,MAX(1,ROUNDUP(($F646-DayPlan!$C$2+1)/7,0))))</f>
        <v/>
      </c>
      <c r="V646" s="47">
        <f>IF($A646=""," ",4*($J646="Yes")+3*($G646="No")+2*(N($I646)&gt;0)+1*(AND(ISNUMBER($H646),$H646&gt;45))+3*(AND(ISNUMBER($P646),$P646&lt;=TODAY()))-6*($S646="Yes")+(750-ROW())/100000)</f>
        <v/>
      </c>
      <c r="W646" s="47">
        <f>IF(OR($A646="",NOT(ISNUMBER($P646))),"",INT($P646-TODAY()))</f>
        <v/>
      </c>
      <c r="X646" s="47" t="n"/>
    </row>
    <row r="647">
      <c r="A647" s="50" t="n"/>
      <c r="B647" s="47" t="n"/>
      <c r="C647" s="47" t="n"/>
      <c r="D647" s="50" t="n"/>
      <c r="E647" s="50" t="n"/>
      <c r="F647" s="48" t="n"/>
      <c r="G647" s="47" t="n"/>
      <c r="H647" s="47" t="n"/>
      <c r="I647" s="47" t="n"/>
      <c r="J647" s="47" t="n"/>
      <c r="K647" s="47" t="n"/>
      <c r="L647" s="47" t="n"/>
      <c r="M647" s="50" t="n"/>
      <c r="N647" s="50" t="n"/>
      <c r="O647" s="50" t="n"/>
      <c r="P647" s="48">
        <f>IF($F647="","",IF($J647="Yes",$F647+1,IF($G647="No",$F647+2,IF(N($I647)&gt;2,$F647+3,IF(N($I647)&gt;0,$F647+5,$F647+7)))))</f>
        <v/>
      </c>
      <c r="Q647" s="48">
        <f>IF($P647="","",IF($J647="Yes",$P647+3,IF($G647="No",$P647+5,IF(N($I647)&gt;0,$P647+7,$P647+14))))</f>
        <v/>
      </c>
      <c r="R647" s="48">
        <f>IF($Q647="","",IF($J647="Yes",$Q647+7,IF($G647="No",$Q647+14,$Q647+30)))</f>
        <v/>
      </c>
      <c r="S647" s="47" t="n"/>
      <c r="T647" s="50" t="n"/>
      <c r="U647" s="47">
        <f>IF($F647="","",MIN(24,MAX(1,ROUNDUP(($F647-DayPlan!$C$2+1)/7,0))))</f>
        <v/>
      </c>
      <c r="V647" s="47">
        <f>IF($A647=""," ",4*($J647="Yes")+3*($G647="No")+2*(N($I647)&gt;0)+1*(AND(ISNUMBER($H647),$H647&gt;45))+3*(AND(ISNUMBER($P647),$P647&lt;=TODAY()))-6*($S647="Yes")+(750-ROW())/100000)</f>
        <v/>
      </c>
      <c r="W647" s="47">
        <f>IF(OR($A647="",NOT(ISNUMBER($P647))),"",INT($P647-TODAY()))</f>
        <v/>
      </c>
      <c r="X647" s="47" t="n"/>
    </row>
    <row r="648">
      <c r="A648" s="50" t="n"/>
      <c r="B648" s="47" t="n"/>
      <c r="C648" s="47" t="n"/>
      <c r="D648" s="50" t="n"/>
      <c r="E648" s="50" t="n"/>
      <c r="F648" s="48" t="n"/>
      <c r="G648" s="47" t="n"/>
      <c r="H648" s="47" t="n"/>
      <c r="I648" s="47" t="n"/>
      <c r="J648" s="47" t="n"/>
      <c r="K648" s="47" t="n"/>
      <c r="L648" s="47" t="n"/>
      <c r="M648" s="50" t="n"/>
      <c r="N648" s="50" t="n"/>
      <c r="O648" s="50" t="n"/>
      <c r="P648" s="48">
        <f>IF($F648="","",IF($J648="Yes",$F648+1,IF($G648="No",$F648+2,IF(N($I648)&gt;2,$F648+3,IF(N($I648)&gt;0,$F648+5,$F648+7)))))</f>
        <v/>
      </c>
      <c r="Q648" s="48">
        <f>IF($P648="","",IF($J648="Yes",$P648+3,IF($G648="No",$P648+5,IF(N($I648)&gt;0,$P648+7,$P648+14))))</f>
        <v/>
      </c>
      <c r="R648" s="48">
        <f>IF($Q648="","",IF($J648="Yes",$Q648+7,IF($G648="No",$Q648+14,$Q648+30)))</f>
        <v/>
      </c>
      <c r="S648" s="47" t="n"/>
      <c r="T648" s="50" t="n"/>
      <c r="U648" s="47">
        <f>IF($F648="","",MIN(24,MAX(1,ROUNDUP(($F648-DayPlan!$C$2+1)/7,0))))</f>
        <v/>
      </c>
      <c r="V648" s="47">
        <f>IF($A648=""," ",4*($J648="Yes")+3*($G648="No")+2*(N($I648)&gt;0)+1*(AND(ISNUMBER($H648),$H648&gt;45))+3*(AND(ISNUMBER($P648),$P648&lt;=TODAY()))-6*($S648="Yes")+(750-ROW())/100000)</f>
        <v/>
      </c>
      <c r="W648" s="47">
        <f>IF(OR($A648="",NOT(ISNUMBER($P648))),"",INT($P648-TODAY()))</f>
        <v/>
      </c>
      <c r="X648" s="47" t="n"/>
    </row>
    <row r="649">
      <c r="A649" s="50" t="n"/>
      <c r="B649" s="47" t="n"/>
      <c r="C649" s="47" t="n"/>
      <c r="D649" s="50" t="n"/>
      <c r="E649" s="50" t="n"/>
      <c r="F649" s="48" t="n"/>
      <c r="G649" s="47" t="n"/>
      <c r="H649" s="47" t="n"/>
      <c r="I649" s="47" t="n"/>
      <c r="J649" s="47" t="n"/>
      <c r="K649" s="47" t="n"/>
      <c r="L649" s="47" t="n"/>
      <c r="M649" s="50" t="n"/>
      <c r="N649" s="50" t="n"/>
      <c r="O649" s="50" t="n"/>
      <c r="P649" s="48">
        <f>IF($F649="","",IF($J649="Yes",$F649+1,IF($G649="No",$F649+2,IF(N($I649)&gt;2,$F649+3,IF(N($I649)&gt;0,$F649+5,$F649+7)))))</f>
        <v/>
      </c>
      <c r="Q649" s="48">
        <f>IF($P649="","",IF($J649="Yes",$P649+3,IF($G649="No",$P649+5,IF(N($I649)&gt;0,$P649+7,$P649+14))))</f>
        <v/>
      </c>
      <c r="R649" s="48">
        <f>IF($Q649="","",IF($J649="Yes",$Q649+7,IF($G649="No",$Q649+14,$Q649+30)))</f>
        <v/>
      </c>
      <c r="S649" s="47" t="n"/>
      <c r="T649" s="50" t="n"/>
      <c r="U649" s="47">
        <f>IF($F649="","",MIN(24,MAX(1,ROUNDUP(($F649-DayPlan!$C$2+1)/7,0))))</f>
        <v/>
      </c>
      <c r="V649" s="47">
        <f>IF($A649=""," ",4*($J649="Yes")+3*($G649="No")+2*(N($I649)&gt;0)+1*(AND(ISNUMBER($H649),$H649&gt;45))+3*(AND(ISNUMBER($P649),$P649&lt;=TODAY()))-6*($S649="Yes")+(750-ROW())/100000)</f>
        <v/>
      </c>
      <c r="W649" s="47">
        <f>IF(OR($A649="",NOT(ISNUMBER($P649))),"",INT($P649-TODAY()))</f>
        <v/>
      </c>
      <c r="X649" s="47" t="n"/>
    </row>
    <row r="650">
      <c r="A650" s="50" t="n"/>
      <c r="B650" s="47" t="n"/>
      <c r="C650" s="47" t="n"/>
      <c r="D650" s="50" t="n"/>
      <c r="E650" s="50" t="n"/>
      <c r="F650" s="48" t="n"/>
      <c r="G650" s="47" t="n"/>
      <c r="H650" s="47" t="n"/>
      <c r="I650" s="47" t="n"/>
      <c r="J650" s="47" t="n"/>
      <c r="K650" s="47" t="n"/>
      <c r="L650" s="47" t="n"/>
      <c r="M650" s="50" t="n"/>
      <c r="N650" s="50" t="n"/>
      <c r="O650" s="50" t="n"/>
      <c r="P650" s="48">
        <f>IF($F650="","",IF($J650="Yes",$F650+1,IF($G650="No",$F650+2,IF(N($I650)&gt;2,$F650+3,IF(N($I650)&gt;0,$F650+5,$F650+7)))))</f>
        <v/>
      </c>
      <c r="Q650" s="48">
        <f>IF($P650="","",IF($J650="Yes",$P650+3,IF($G650="No",$P650+5,IF(N($I650)&gt;0,$P650+7,$P650+14))))</f>
        <v/>
      </c>
      <c r="R650" s="48">
        <f>IF($Q650="","",IF($J650="Yes",$Q650+7,IF($G650="No",$Q650+14,$Q650+30)))</f>
        <v/>
      </c>
      <c r="S650" s="47" t="n"/>
      <c r="T650" s="50" t="n"/>
      <c r="U650" s="47">
        <f>IF($F650="","",MIN(24,MAX(1,ROUNDUP(($F650-DayPlan!$C$2+1)/7,0))))</f>
        <v/>
      </c>
      <c r="V650" s="47">
        <f>IF($A650=""," ",4*($J650="Yes")+3*($G650="No")+2*(N($I650)&gt;0)+1*(AND(ISNUMBER($H650),$H650&gt;45))+3*(AND(ISNUMBER($P650),$P650&lt;=TODAY()))-6*($S650="Yes")+(750-ROW())/100000)</f>
        <v/>
      </c>
      <c r="W650" s="47">
        <f>IF(OR($A650="",NOT(ISNUMBER($P650))),"",INT($P650-TODAY()))</f>
        <v/>
      </c>
      <c r="X650" s="47" t="n"/>
    </row>
    <row r="651">
      <c r="A651" s="50" t="n"/>
      <c r="B651" s="47" t="n"/>
      <c r="C651" s="47" t="n"/>
      <c r="D651" s="50" t="n"/>
      <c r="E651" s="50" t="n"/>
      <c r="F651" s="48" t="n"/>
      <c r="G651" s="47" t="n"/>
      <c r="H651" s="47" t="n"/>
      <c r="I651" s="47" t="n"/>
      <c r="J651" s="47" t="n"/>
      <c r="K651" s="47" t="n"/>
      <c r="L651" s="47" t="n"/>
      <c r="M651" s="50" t="n"/>
      <c r="N651" s="50" t="n"/>
      <c r="O651" s="50" t="n"/>
      <c r="P651" s="48">
        <f>IF($F651="","",IF($J651="Yes",$F651+1,IF($G651="No",$F651+2,IF(N($I651)&gt;2,$F651+3,IF(N($I651)&gt;0,$F651+5,$F651+7)))))</f>
        <v/>
      </c>
      <c r="Q651" s="48">
        <f>IF($P651="","",IF($J651="Yes",$P651+3,IF($G651="No",$P651+5,IF(N($I651)&gt;0,$P651+7,$P651+14))))</f>
        <v/>
      </c>
      <c r="R651" s="48">
        <f>IF($Q651="","",IF($J651="Yes",$Q651+7,IF($G651="No",$Q651+14,$Q651+30)))</f>
        <v/>
      </c>
      <c r="S651" s="47" t="n"/>
      <c r="T651" s="50" t="n"/>
      <c r="U651" s="47">
        <f>IF($F651="","",MIN(24,MAX(1,ROUNDUP(($F651-DayPlan!$C$2+1)/7,0))))</f>
        <v/>
      </c>
      <c r="V651" s="47">
        <f>IF($A651=""," ",4*($J651="Yes")+3*($G651="No")+2*(N($I651)&gt;0)+1*(AND(ISNUMBER($H651),$H651&gt;45))+3*(AND(ISNUMBER($P651),$P651&lt;=TODAY()))-6*($S651="Yes")+(750-ROW())/100000)</f>
        <v/>
      </c>
      <c r="W651" s="47">
        <f>IF(OR($A651="",NOT(ISNUMBER($P651))),"",INT($P651-TODAY()))</f>
        <v/>
      </c>
      <c r="X651" s="47" t="n"/>
    </row>
    <row r="652">
      <c r="A652" s="50" t="n"/>
      <c r="B652" s="47" t="n"/>
      <c r="C652" s="47" t="n"/>
      <c r="D652" s="50" t="n"/>
      <c r="E652" s="50" t="n"/>
      <c r="F652" s="48" t="n"/>
      <c r="G652" s="47" t="n"/>
      <c r="H652" s="47" t="n"/>
      <c r="I652" s="47" t="n"/>
      <c r="J652" s="47" t="n"/>
      <c r="K652" s="47" t="n"/>
      <c r="L652" s="47" t="n"/>
      <c r="M652" s="50" t="n"/>
      <c r="N652" s="50" t="n"/>
      <c r="O652" s="50" t="n"/>
      <c r="P652" s="48">
        <f>IF($F652="","",IF($J652="Yes",$F652+1,IF($G652="No",$F652+2,IF(N($I652)&gt;2,$F652+3,IF(N($I652)&gt;0,$F652+5,$F652+7)))))</f>
        <v/>
      </c>
      <c r="Q652" s="48">
        <f>IF($P652="","",IF($J652="Yes",$P652+3,IF($G652="No",$P652+5,IF(N($I652)&gt;0,$P652+7,$P652+14))))</f>
        <v/>
      </c>
      <c r="R652" s="48">
        <f>IF($Q652="","",IF($J652="Yes",$Q652+7,IF($G652="No",$Q652+14,$Q652+30)))</f>
        <v/>
      </c>
      <c r="S652" s="47" t="n"/>
      <c r="T652" s="50" t="n"/>
      <c r="U652" s="47">
        <f>IF($F652="","",MIN(24,MAX(1,ROUNDUP(($F652-DayPlan!$C$2+1)/7,0))))</f>
        <v/>
      </c>
      <c r="V652" s="47">
        <f>IF($A652=""," ",4*($J652="Yes")+3*($G652="No")+2*(N($I652)&gt;0)+1*(AND(ISNUMBER($H652),$H652&gt;45))+3*(AND(ISNUMBER($P652),$P652&lt;=TODAY()))-6*($S652="Yes")+(750-ROW())/100000)</f>
        <v/>
      </c>
      <c r="W652" s="47">
        <f>IF(OR($A652="",NOT(ISNUMBER($P652))),"",INT($P652-TODAY()))</f>
        <v/>
      </c>
      <c r="X652" s="47" t="n"/>
    </row>
    <row r="653">
      <c r="A653" s="50" t="n"/>
      <c r="B653" s="47" t="n"/>
      <c r="C653" s="47" t="n"/>
      <c r="D653" s="50" t="n"/>
      <c r="E653" s="50" t="n"/>
      <c r="F653" s="48" t="n"/>
      <c r="G653" s="47" t="n"/>
      <c r="H653" s="47" t="n"/>
      <c r="I653" s="47" t="n"/>
      <c r="J653" s="47" t="n"/>
      <c r="K653" s="47" t="n"/>
      <c r="L653" s="47" t="n"/>
      <c r="M653" s="50" t="n"/>
      <c r="N653" s="50" t="n"/>
      <c r="O653" s="50" t="n"/>
      <c r="P653" s="48">
        <f>IF($F653="","",IF($J653="Yes",$F653+1,IF($G653="No",$F653+2,IF(N($I653)&gt;2,$F653+3,IF(N($I653)&gt;0,$F653+5,$F653+7)))))</f>
        <v/>
      </c>
      <c r="Q653" s="48">
        <f>IF($P653="","",IF($J653="Yes",$P653+3,IF($G653="No",$P653+5,IF(N($I653)&gt;0,$P653+7,$P653+14))))</f>
        <v/>
      </c>
      <c r="R653" s="48">
        <f>IF($Q653="","",IF($J653="Yes",$Q653+7,IF($G653="No",$Q653+14,$Q653+30)))</f>
        <v/>
      </c>
      <c r="S653" s="47" t="n"/>
      <c r="T653" s="50" t="n"/>
      <c r="U653" s="47">
        <f>IF($F653="","",MIN(24,MAX(1,ROUNDUP(($F653-DayPlan!$C$2+1)/7,0))))</f>
        <v/>
      </c>
      <c r="V653" s="47">
        <f>IF($A653=""," ",4*($J653="Yes")+3*($G653="No")+2*(N($I653)&gt;0)+1*(AND(ISNUMBER($H653),$H653&gt;45))+3*(AND(ISNUMBER($P653),$P653&lt;=TODAY()))-6*($S653="Yes")+(750-ROW())/100000)</f>
        <v/>
      </c>
      <c r="W653" s="47">
        <f>IF(OR($A653="",NOT(ISNUMBER($P653))),"",INT($P653-TODAY()))</f>
        <v/>
      </c>
      <c r="X653" s="47" t="n"/>
    </row>
    <row r="654">
      <c r="A654" s="50" t="n"/>
      <c r="B654" s="47" t="n"/>
      <c r="C654" s="47" t="n"/>
      <c r="D654" s="50" t="n"/>
      <c r="E654" s="50" t="n"/>
      <c r="F654" s="48" t="n"/>
      <c r="G654" s="47" t="n"/>
      <c r="H654" s="47" t="n"/>
      <c r="I654" s="47" t="n"/>
      <c r="J654" s="47" t="n"/>
      <c r="K654" s="47" t="n"/>
      <c r="L654" s="47" t="n"/>
      <c r="M654" s="50" t="n"/>
      <c r="N654" s="50" t="n"/>
      <c r="O654" s="50" t="n"/>
      <c r="P654" s="48">
        <f>IF($F654="","",IF($J654="Yes",$F654+1,IF($G654="No",$F654+2,IF(N($I654)&gt;2,$F654+3,IF(N($I654)&gt;0,$F654+5,$F654+7)))))</f>
        <v/>
      </c>
      <c r="Q654" s="48">
        <f>IF($P654="","",IF($J654="Yes",$P654+3,IF($G654="No",$P654+5,IF(N($I654)&gt;0,$P654+7,$P654+14))))</f>
        <v/>
      </c>
      <c r="R654" s="48">
        <f>IF($Q654="","",IF($J654="Yes",$Q654+7,IF($G654="No",$Q654+14,$Q654+30)))</f>
        <v/>
      </c>
      <c r="S654" s="47" t="n"/>
      <c r="T654" s="50" t="n"/>
      <c r="U654" s="47">
        <f>IF($F654="","",MIN(24,MAX(1,ROUNDUP(($F654-DayPlan!$C$2+1)/7,0))))</f>
        <v/>
      </c>
      <c r="V654" s="47">
        <f>IF($A654=""," ",4*($J654="Yes")+3*($G654="No")+2*(N($I654)&gt;0)+1*(AND(ISNUMBER($H654),$H654&gt;45))+3*(AND(ISNUMBER($P654),$P654&lt;=TODAY()))-6*($S654="Yes")+(750-ROW())/100000)</f>
        <v/>
      </c>
      <c r="W654" s="47">
        <f>IF(OR($A654="",NOT(ISNUMBER($P654))),"",INT($P654-TODAY()))</f>
        <v/>
      </c>
      <c r="X654" s="47" t="n"/>
    </row>
    <row r="655">
      <c r="A655" s="50" t="n"/>
      <c r="B655" s="47" t="n"/>
      <c r="C655" s="47" t="n"/>
      <c r="D655" s="50" t="n"/>
      <c r="E655" s="50" t="n"/>
      <c r="F655" s="48" t="n"/>
      <c r="G655" s="47" t="n"/>
      <c r="H655" s="47" t="n"/>
      <c r="I655" s="47" t="n"/>
      <c r="J655" s="47" t="n"/>
      <c r="K655" s="47" t="n"/>
      <c r="L655" s="47" t="n"/>
      <c r="M655" s="50" t="n"/>
      <c r="N655" s="50" t="n"/>
      <c r="O655" s="50" t="n"/>
      <c r="P655" s="48">
        <f>IF($F655="","",IF($J655="Yes",$F655+1,IF($G655="No",$F655+2,IF(N($I655)&gt;2,$F655+3,IF(N($I655)&gt;0,$F655+5,$F655+7)))))</f>
        <v/>
      </c>
      <c r="Q655" s="48">
        <f>IF($P655="","",IF($J655="Yes",$P655+3,IF($G655="No",$P655+5,IF(N($I655)&gt;0,$P655+7,$P655+14))))</f>
        <v/>
      </c>
      <c r="R655" s="48">
        <f>IF($Q655="","",IF($J655="Yes",$Q655+7,IF($G655="No",$Q655+14,$Q655+30)))</f>
        <v/>
      </c>
      <c r="S655" s="47" t="n"/>
      <c r="T655" s="50" t="n"/>
      <c r="U655" s="47">
        <f>IF($F655="","",MIN(24,MAX(1,ROUNDUP(($F655-DayPlan!$C$2+1)/7,0))))</f>
        <v/>
      </c>
      <c r="V655" s="47">
        <f>IF($A655=""," ",4*($J655="Yes")+3*($G655="No")+2*(N($I655)&gt;0)+1*(AND(ISNUMBER($H655),$H655&gt;45))+3*(AND(ISNUMBER($P655),$P655&lt;=TODAY()))-6*($S655="Yes")+(750-ROW())/100000)</f>
        <v/>
      </c>
      <c r="W655" s="47">
        <f>IF(OR($A655="",NOT(ISNUMBER($P655))),"",INT($P655-TODAY()))</f>
        <v/>
      </c>
      <c r="X655" s="47" t="n"/>
    </row>
    <row r="656">
      <c r="A656" s="50" t="n"/>
      <c r="B656" s="47" t="n"/>
      <c r="C656" s="47" t="n"/>
      <c r="D656" s="50" t="n"/>
      <c r="E656" s="50" t="n"/>
      <c r="F656" s="48" t="n"/>
      <c r="G656" s="47" t="n"/>
      <c r="H656" s="47" t="n"/>
      <c r="I656" s="47" t="n"/>
      <c r="J656" s="47" t="n"/>
      <c r="K656" s="47" t="n"/>
      <c r="L656" s="47" t="n"/>
      <c r="M656" s="50" t="n"/>
      <c r="N656" s="50" t="n"/>
      <c r="O656" s="50" t="n"/>
      <c r="P656" s="48">
        <f>IF($F656="","",IF($J656="Yes",$F656+1,IF($G656="No",$F656+2,IF(N($I656)&gt;2,$F656+3,IF(N($I656)&gt;0,$F656+5,$F656+7)))))</f>
        <v/>
      </c>
      <c r="Q656" s="48">
        <f>IF($P656="","",IF($J656="Yes",$P656+3,IF($G656="No",$P656+5,IF(N($I656)&gt;0,$P656+7,$P656+14))))</f>
        <v/>
      </c>
      <c r="R656" s="48">
        <f>IF($Q656="","",IF($J656="Yes",$Q656+7,IF($G656="No",$Q656+14,$Q656+30)))</f>
        <v/>
      </c>
      <c r="S656" s="47" t="n"/>
      <c r="T656" s="50" t="n"/>
      <c r="U656" s="47">
        <f>IF($F656="","",MIN(24,MAX(1,ROUNDUP(($F656-DayPlan!$C$2+1)/7,0))))</f>
        <v/>
      </c>
      <c r="V656" s="47">
        <f>IF($A656=""," ",4*($J656="Yes")+3*($G656="No")+2*(N($I656)&gt;0)+1*(AND(ISNUMBER($H656),$H656&gt;45))+3*(AND(ISNUMBER($P656),$P656&lt;=TODAY()))-6*($S656="Yes")+(750-ROW())/100000)</f>
        <v/>
      </c>
      <c r="W656" s="47">
        <f>IF(OR($A656="",NOT(ISNUMBER($P656))),"",INT($P656-TODAY()))</f>
        <v/>
      </c>
      <c r="X656" s="47" t="n"/>
    </row>
    <row r="657">
      <c r="A657" s="50" t="n"/>
      <c r="B657" s="47" t="n"/>
      <c r="C657" s="47" t="n"/>
      <c r="D657" s="50" t="n"/>
      <c r="E657" s="50" t="n"/>
      <c r="F657" s="48" t="n"/>
      <c r="G657" s="47" t="n"/>
      <c r="H657" s="47" t="n"/>
      <c r="I657" s="47" t="n"/>
      <c r="J657" s="47" t="n"/>
      <c r="K657" s="47" t="n"/>
      <c r="L657" s="47" t="n"/>
      <c r="M657" s="50" t="n"/>
      <c r="N657" s="50" t="n"/>
      <c r="O657" s="50" t="n"/>
      <c r="P657" s="48">
        <f>IF($F657="","",IF($J657="Yes",$F657+1,IF($G657="No",$F657+2,IF(N($I657)&gt;2,$F657+3,IF(N($I657)&gt;0,$F657+5,$F657+7)))))</f>
        <v/>
      </c>
      <c r="Q657" s="48">
        <f>IF($P657="","",IF($J657="Yes",$P657+3,IF($G657="No",$P657+5,IF(N($I657)&gt;0,$P657+7,$P657+14))))</f>
        <v/>
      </c>
      <c r="R657" s="48">
        <f>IF($Q657="","",IF($J657="Yes",$Q657+7,IF($G657="No",$Q657+14,$Q657+30)))</f>
        <v/>
      </c>
      <c r="S657" s="47" t="n"/>
      <c r="T657" s="50" t="n"/>
      <c r="U657" s="47">
        <f>IF($F657="","",MIN(24,MAX(1,ROUNDUP(($F657-DayPlan!$C$2+1)/7,0))))</f>
        <v/>
      </c>
      <c r="V657" s="47">
        <f>IF($A657=""," ",4*($J657="Yes")+3*($G657="No")+2*(N($I657)&gt;0)+1*(AND(ISNUMBER($H657),$H657&gt;45))+3*(AND(ISNUMBER($P657),$P657&lt;=TODAY()))-6*($S657="Yes")+(750-ROW())/100000)</f>
        <v/>
      </c>
      <c r="W657" s="47">
        <f>IF(OR($A657="",NOT(ISNUMBER($P657))),"",INT($P657-TODAY()))</f>
        <v/>
      </c>
      <c r="X657" s="47" t="n"/>
    </row>
    <row r="658">
      <c r="A658" s="50" t="n"/>
      <c r="B658" s="47" t="n"/>
      <c r="C658" s="47" t="n"/>
      <c r="D658" s="50" t="n"/>
      <c r="E658" s="50" t="n"/>
      <c r="F658" s="48" t="n"/>
      <c r="G658" s="47" t="n"/>
      <c r="H658" s="47" t="n"/>
      <c r="I658" s="47" t="n"/>
      <c r="J658" s="47" t="n"/>
      <c r="K658" s="47" t="n"/>
      <c r="L658" s="47" t="n"/>
      <c r="M658" s="50" t="n"/>
      <c r="N658" s="50" t="n"/>
      <c r="O658" s="50" t="n"/>
      <c r="P658" s="48">
        <f>IF($F658="","",IF($J658="Yes",$F658+1,IF($G658="No",$F658+2,IF(N($I658)&gt;2,$F658+3,IF(N($I658)&gt;0,$F658+5,$F658+7)))))</f>
        <v/>
      </c>
      <c r="Q658" s="48">
        <f>IF($P658="","",IF($J658="Yes",$P658+3,IF($G658="No",$P658+5,IF(N($I658)&gt;0,$P658+7,$P658+14))))</f>
        <v/>
      </c>
      <c r="R658" s="48">
        <f>IF($Q658="","",IF($J658="Yes",$Q658+7,IF($G658="No",$Q658+14,$Q658+30)))</f>
        <v/>
      </c>
      <c r="S658" s="47" t="n"/>
      <c r="T658" s="50" t="n"/>
      <c r="U658" s="47">
        <f>IF($F658="","",MIN(24,MAX(1,ROUNDUP(($F658-DayPlan!$C$2+1)/7,0))))</f>
        <v/>
      </c>
      <c r="V658" s="47">
        <f>IF($A658=""," ",4*($J658="Yes")+3*($G658="No")+2*(N($I658)&gt;0)+1*(AND(ISNUMBER($H658),$H658&gt;45))+3*(AND(ISNUMBER($P658),$P658&lt;=TODAY()))-6*($S658="Yes")+(750-ROW())/100000)</f>
        <v/>
      </c>
      <c r="W658" s="47">
        <f>IF(OR($A658="",NOT(ISNUMBER($P658))),"",INT($P658-TODAY()))</f>
        <v/>
      </c>
      <c r="X658" s="47" t="n"/>
    </row>
    <row r="659">
      <c r="A659" s="50" t="n"/>
      <c r="B659" s="47" t="n"/>
      <c r="C659" s="47" t="n"/>
      <c r="D659" s="50" t="n"/>
      <c r="E659" s="50" t="n"/>
      <c r="F659" s="48" t="n"/>
      <c r="G659" s="47" t="n"/>
      <c r="H659" s="47" t="n"/>
      <c r="I659" s="47" t="n"/>
      <c r="J659" s="47" t="n"/>
      <c r="K659" s="47" t="n"/>
      <c r="L659" s="47" t="n"/>
      <c r="M659" s="50" t="n"/>
      <c r="N659" s="50" t="n"/>
      <c r="O659" s="50" t="n"/>
      <c r="P659" s="48">
        <f>IF($F659="","",IF($J659="Yes",$F659+1,IF($G659="No",$F659+2,IF(N($I659)&gt;2,$F659+3,IF(N($I659)&gt;0,$F659+5,$F659+7)))))</f>
        <v/>
      </c>
      <c r="Q659" s="48">
        <f>IF($P659="","",IF($J659="Yes",$P659+3,IF($G659="No",$P659+5,IF(N($I659)&gt;0,$P659+7,$P659+14))))</f>
        <v/>
      </c>
      <c r="R659" s="48">
        <f>IF($Q659="","",IF($J659="Yes",$Q659+7,IF($G659="No",$Q659+14,$Q659+30)))</f>
        <v/>
      </c>
      <c r="S659" s="47" t="n"/>
      <c r="T659" s="50" t="n"/>
      <c r="U659" s="47">
        <f>IF($F659="","",MIN(24,MAX(1,ROUNDUP(($F659-DayPlan!$C$2+1)/7,0))))</f>
        <v/>
      </c>
      <c r="V659" s="47">
        <f>IF($A659=""," ",4*($J659="Yes")+3*($G659="No")+2*(N($I659)&gt;0)+1*(AND(ISNUMBER($H659),$H659&gt;45))+3*(AND(ISNUMBER($P659),$P659&lt;=TODAY()))-6*($S659="Yes")+(750-ROW())/100000)</f>
        <v/>
      </c>
      <c r="W659" s="47">
        <f>IF(OR($A659="",NOT(ISNUMBER($P659))),"",INT($P659-TODAY()))</f>
        <v/>
      </c>
      <c r="X659" s="47" t="n"/>
    </row>
    <row r="660">
      <c r="A660" s="50" t="n"/>
      <c r="B660" s="47" t="n"/>
      <c r="C660" s="47" t="n"/>
      <c r="D660" s="50" t="n"/>
      <c r="E660" s="50" t="n"/>
      <c r="F660" s="48" t="n"/>
      <c r="G660" s="47" t="n"/>
      <c r="H660" s="47" t="n"/>
      <c r="I660" s="47" t="n"/>
      <c r="J660" s="47" t="n"/>
      <c r="K660" s="47" t="n"/>
      <c r="L660" s="47" t="n"/>
      <c r="M660" s="50" t="n"/>
      <c r="N660" s="50" t="n"/>
      <c r="O660" s="50" t="n"/>
      <c r="P660" s="48">
        <f>IF($F660="","",IF($J660="Yes",$F660+1,IF($G660="No",$F660+2,IF(N($I660)&gt;2,$F660+3,IF(N($I660)&gt;0,$F660+5,$F660+7)))))</f>
        <v/>
      </c>
      <c r="Q660" s="48">
        <f>IF($P660="","",IF($J660="Yes",$P660+3,IF($G660="No",$P660+5,IF(N($I660)&gt;0,$P660+7,$P660+14))))</f>
        <v/>
      </c>
      <c r="R660" s="48">
        <f>IF($Q660="","",IF($J660="Yes",$Q660+7,IF($G660="No",$Q660+14,$Q660+30)))</f>
        <v/>
      </c>
      <c r="S660" s="47" t="n"/>
      <c r="T660" s="50" t="n"/>
      <c r="U660" s="47">
        <f>IF($F660="","",MIN(24,MAX(1,ROUNDUP(($F660-DayPlan!$C$2+1)/7,0))))</f>
        <v/>
      </c>
      <c r="V660" s="47">
        <f>IF($A660=""," ",4*($J660="Yes")+3*($G660="No")+2*(N($I660)&gt;0)+1*(AND(ISNUMBER($H660),$H660&gt;45))+3*(AND(ISNUMBER($P660),$P660&lt;=TODAY()))-6*($S660="Yes")+(750-ROW())/100000)</f>
        <v/>
      </c>
      <c r="W660" s="47">
        <f>IF(OR($A660="",NOT(ISNUMBER($P660))),"",INT($P660-TODAY()))</f>
        <v/>
      </c>
      <c r="X660" s="47" t="n"/>
    </row>
    <row r="661">
      <c r="A661" s="50" t="n"/>
      <c r="B661" s="47" t="n"/>
      <c r="C661" s="47" t="n"/>
      <c r="D661" s="50" t="n"/>
      <c r="E661" s="50" t="n"/>
      <c r="F661" s="48" t="n"/>
      <c r="G661" s="47" t="n"/>
      <c r="H661" s="47" t="n"/>
      <c r="I661" s="47" t="n"/>
      <c r="J661" s="47" t="n"/>
      <c r="K661" s="47" t="n"/>
      <c r="L661" s="47" t="n"/>
      <c r="M661" s="50" t="n"/>
      <c r="N661" s="50" t="n"/>
      <c r="O661" s="50" t="n"/>
      <c r="P661" s="48">
        <f>IF($F661="","",IF($J661="Yes",$F661+1,IF($G661="No",$F661+2,IF(N($I661)&gt;2,$F661+3,IF(N($I661)&gt;0,$F661+5,$F661+7)))))</f>
        <v/>
      </c>
      <c r="Q661" s="48">
        <f>IF($P661="","",IF($J661="Yes",$P661+3,IF($G661="No",$P661+5,IF(N($I661)&gt;0,$P661+7,$P661+14))))</f>
        <v/>
      </c>
      <c r="R661" s="48">
        <f>IF($Q661="","",IF($J661="Yes",$Q661+7,IF($G661="No",$Q661+14,$Q661+30)))</f>
        <v/>
      </c>
      <c r="S661" s="47" t="n"/>
      <c r="T661" s="50" t="n"/>
      <c r="U661" s="47">
        <f>IF($F661="","",MIN(24,MAX(1,ROUNDUP(($F661-DayPlan!$C$2+1)/7,0))))</f>
        <v/>
      </c>
      <c r="V661" s="47">
        <f>IF($A661=""," ",4*($J661="Yes")+3*($G661="No")+2*(N($I661)&gt;0)+1*(AND(ISNUMBER($H661),$H661&gt;45))+3*(AND(ISNUMBER($P661),$P661&lt;=TODAY()))-6*($S661="Yes")+(750-ROW())/100000)</f>
        <v/>
      </c>
      <c r="W661" s="47">
        <f>IF(OR($A661="",NOT(ISNUMBER($P661))),"",INT($P661-TODAY()))</f>
        <v/>
      </c>
      <c r="X661" s="47" t="n"/>
    </row>
    <row r="662">
      <c r="A662" s="50" t="n"/>
      <c r="B662" s="47" t="n"/>
      <c r="C662" s="47" t="n"/>
      <c r="D662" s="50" t="n"/>
      <c r="E662" s="50" t="n"/>
      <c r="F662" s="48" t="n"/>
      <c r="G662" s="47" t="n"/>
      <c r="H662" s="47" t="n"/>
      <c r="I662" s="47" t="n"/>
      <c r="J662" s="47" t="n"/>
      <c r="K662" s="47" t="n"/>
      <c r="L662" s="47" t="n"/>
      <c r="M662" s="50" t="n"/>
      <c r="N662" s="50" t="n"/>
      <c r="O662" s="50" t="n"/>
      <c r="P662" s="48">
        <f>IF($F662="","",IF($J662="Yes",$F662+1,IF($G662="No",$F662+2,IF(N($I662)&gt;2,$F662+3,IF(N($I662)&gt;0,$F662+5,$F662+7)))))</f>
        <v/>
      </c>
      <c r="Q662" s="48">
        <f>IF($P662="","",IF($J662="Yes",$P662+3,IF($G662="No",$P662+5,IF(N($I662)&gt;0,$P662+7,$P662+14))))</f>
        <v/>
      </c>
      <c r="R662" s="48">
        <f>IF($Q662="","",IF($J662="Yes",$Q662+7,IF($G662="No",$Q662+14,$Q662+30)))</f>
        <v/>
      </c>
      <c r="S662" s="47" t="n"/>
      <c r="T662" s="50" t="n"/>
      <c r="U662" s="47">
        <f>IF($F662="","",MIN(24,MAX(1,ROUNDUP(($F662-DayPlan!$C$2+1)/7,0))))</f>
        <v/>
      </c>
      <c r="V662" s="47">
        <f>IF($A662=""," ",4*($J662="Yes")+3*($G662="No")+2*(N($I662)&gt;0)+1*(AND(ISNUMBER($H662),$H662&gt;45))+3*(AND(ISNUMBER($P662),$P662&lt;=TODAY()))-6*($S662="Yes")+(750-ROW())/100000)</f>
        <v/>
      </c>
      <c r="W662" s="47">
        <f>IF(OR($A662="",NOT(ISNUMBER($P662))),"",INT($P662-TODAY()))</f>
        <v/>
      </c>
      <c r="X662" s="47" t="n"/>
    </row>
    <row r="663">
      <c r="A663" s="50" t="n"/>
      <c r="B663" s="47" t="n"/>
      <c r="C663" s="47" t="n"/>
      <c r="D663" s="50" t="n"/>
      <c r="E663" s="50" t="n"/>
      <c r="F663" s="48" t="n"/>
      <c r="G663" s="47" t="n"/>
      <c r="H663" s="47" t="n"/>
      <c r="I663" s="47" t="n"/>
      <c r="J663" s="47" t="n"/>
      <c r="K663" s="47" t="n"/>
      <c r="L663" s="47" t="n"/>
      <c r="M663" s="50" t="n"/>
      <c r="N663" s="50" t="n"/>
      <c r="O663" s="50" t="n"/>
      <c r="P663" s="48">
        <f>IF($F663="","",IF($J663="Yes",$F663+1,IF($G663="No",$F663+2,IF(N($I663)&gt;2,$F663+3,IF(N($I663)&gt;0,$F663+5,$F663+7)))))</f>
        <v/>
      </c>
      <c r="Q663" s="48">
        <f>IF($P663="","",IF($J663="Yes",$P663+3,IF($G663="No",$P663+5,IF(N($I663)&gt;0,$P663+7,$P663+14))))</f>
        <v/>
      </c>
      <c r="R663" s="48">
        <f>IF($Q663="","",IF($J663="Yes",$Q663+7,IF($G663="No",$Q663+14,$Q663+30)))</f>
        <v/>
      </c>
      <c r="S663" s="47" t="n"/>
      <c r="T663" s="50" t="n"/>
      <c r="U663" s="47">
        <f>IF($F663="","",MIN(24,MAX(1,ROUNDUP(($F663-DayPlan!$C$2+1)/7,0))))</f>
        <v/>
      </c>
      <c r="V663" s="47">
        <f>IF($A663=""," ",4*($J663="Yes")+3*($G663="No")+2*(N($I663)&gt;0)+1*(AND(ISNUMBER($H663),$H663&gt;45))+3*(AND(ISNUMBER($P663),$P663&lt;=TODAY()))-6*($S663="Yes")+(750-ROW())/100000)</f>
        <v/>
      </c>
      <c r="W663" s="47">
        <f>IF(OR($A663="",NOT(ISNUMBER($P663))),"",INT($P663-TODAY()))</f>
        <v/>
      </c>
      <c r="X663" s="47" t="n"/>
    </row>
    <row r="664">
      <c r="A664" s="50" t="n"/>
      <c r="B664" s="47" t="n"/>
      <c r="C664" s="47" t="n"/>
      <c r="D664" s="50" t="n"/>
      <c r="E664" s="50" t="n"/>
      <c r="F664" s="48" t="n"/>
      <c r="G664" s="47" t="n"/>
      <c r="H664" s="47" t="n"/>
      <c r="I664" s="47" t="n"/>
      <c r="J664" s="47" t="n"/>
      <c r="K664" s="47" t="n"/>
      <c r="L664" s="47" t="n"/>
      <c r="M664" s="50" t="n"/>
      <c r="N664" s="50" t="n"/>
      <c r="O664" s="50" t="n"/>
      <c r="P664" s="48">
        <f>IF($F664="","",IF($J664="Yes",$F664+1,IF($G664="No",$F664+2,IF(N($I664)&gt;2,$F664+3,IF(N($I664)&gt;0,$F664+5,$F664+7)))))</f>
        <v/>
      </c>
      <c r="Q664" s="48">
        <f>IF($P664="","",IF($J664="Yes",$P664+3,IF($G664="No",$P664+5,IF(N($I664)&gt;0,$P664+7,$P664+14))))</f>
        <v/>
      </c>
      <c r="R664" s="48">
        <f>IF($Q664="","",IF($J664="Yes",$Q664+7,IF($G664="No",$Q664+14,$Q664+30)))</f>
        <v/>
      </c>
      <c r="S664" s="47" t="n"/>
      <c r="T664" s="50" t="n"/>
      <c r="U664" s="47">
        <f>IF($F664="","",MIN(24,MAX(1,ROUNDUP(($F664-DayPlan!$C$2+1)/7,0))))</f>
        <v/>
      </c>
      <c r="V664" s="47">
        <f>IF($A664=""," ",4*($J664="Yes")+3*($G664="No")+2*(N($I664)&gt;0)+1*(AND(ISNUMBER($H664),$H664&gt;45))+3*(AND(ISNUMBER($P664),$P664&lt;=TODAY()))-6*($S664="Yes")+(750-ROW())/100000)</f>
        <v/>
      </c>
      <c r="W664" s="47">
        <f>IF(OR($A664="",NOT(ISNUMBER($P664))),"",INT($P664-TODAY()))</f>
        <v/>
      </c>
      <c r="X664" s="47" t="n"/>
    </row>
    <row r="665">
      <c r="A665" s="50" t="n"/>
      <c r="B665" s="47" t="n"/>
      <c r="C665" s="47" t="n"/>
      <c r="D665" s="50" t="n"/>
      <c r="E665" s="50" t="n"/>
      <c r="F665" s="48" t="n"/>
      <c r="G665" s="47" t="n"/>
      <c r="H665" s="47" t="n"/>
      <c r="I665" s="47" t="n"/>
      <c r="J665" s="47" t="n"/>
      <c r="K665" s="47" t="n"/>
      <c r="L665" s="47" t="n"/>
      <c r="M665" s="50" t="n"/>
      <c r="N665" s="50" t="n"/>
      <c r="O665" s="50" t="n"/>
      <c r="P665" s="48">
        <f>IF($F665="","",IF($J665="Yes",$F665+1,IF($G665="No",$F665+2,IF(N($I665)&gt;2,$F665+3,IF(N($I665)&gt;0,$F665+5,$F665+7)))))</f>
        <v/>
      </c>
      <c r="Q665" s="48">
        <f>IF($P665="","",IF($J665="Yes",$P665+3,IF($G665="No",$P665+5,IF(N($I665)&gt;0,$P665+7,$P665+14))))</f>
        <v/>
      </c>
      <c r="R665" s="48">
        <f>IF($Q665="","",IF($J665="Yes",$Q665+7,IF($G665="No",$Q665+14,$Q665+30)))</f>
        <v/>
      </c>
      <c r="S665" s="47" t="n"/>
      <c r="T665" s="50" t="n"/>
      <c r="U665" s="47">
        <f>IF($F665="","",MIN(24,MAX(1,ROUNDUP(($F665-DayPlan!$C$2+1)/7,0))))</f>
        <v/>
      </c>
      <c r="V665" s="47">
        <f>IF($A665=""," ",4*($J665="Yes")+3*($G665="No")+2*(N($I665)&gt;0)+1*(AND(ISNUMBER($H665),$H665&gt;45))+3*(AND(ISNUMBER($P665),$P665&lt;=TODAY()))-6*($S665="Yes")+(750-ROW())/100000)</f>
        <v/>
      </c>
      <c r="W665" s="47">
        <f>IF(OR($A665="",NOT(ISNUMBER($P665))),"",INT($P665-TODAY()))</f>
        <v/>
      </c>
      <c r="X665" s="47" t="n"/>
    </row>
    <row r="666">
      <c r="A666" s="50" t="n"/>
      <c r="B666" s="47" t="n"/>
      <c r="C666" s="47" t="n"/>
      <c r="D666" s="50" t="n"/>
      <c r="E666" s="50" t="n"/>
      <c r="F666" s="48" t="n"/>
      <c r="G666" s="47" t="n"/>
      <c r="H666" s="47" t="n"/>
      <c r="I666" s="47" t="n"/>
      <c r="J666" s="47" t="n"/>
      <c r="K666" s="47" t="n"/>
      <c r="L666" s="47" t="n"/>
      <c r="M666" s="50" t="n"/>
      <c r="N666" s="50" t="n"/>
      <c r="O666" s="50" t="n"/>
      <c r="P666" s="48">
        <f>IF($F666="","",IF($J666="Yes",$F666+1,IF($G666="No",$F666+2,IF(N($I666)&gt;2,$F666+3,IF(N($I666)&gt;0,$F666+5,$F666+7)))))</f>
        <v/>
      </c>
      <c r="Q666" s="48">
        <f>IF($P666="","",IF($J666="Yes",$P666+3,IF($G666="No",$P666+5,IF(N($I666)&gt;0,$P666+7,$P666+14))))</f>
        <v/>
      </c>
      <c r="R666" s="48">
        <f>IF($Q666="","",IF($J666="Yes",$Q666+7,IF($G666="No",$Q666+14,$Q666+30)))</f>
        <v/>
      </c>
      <c r="S666" s="47" t="n"/>
      <c r="T666" s="50" t="n"/>
      <c r="U666" s="47">
        <f>IF($F666="","",MIN(24,MAX(1,ROUNDUP(($F666-DayPlan!$C$2+1)/7,0))))</f>
        <v/>
      </c>
      <c r="V666" s="47">
        <f>IF($A666=""," ",4*($J666="Yes")+3*($G666="No")+2*(N($I666)&gt;0)+1*(AND(ISNUMBER($H666),$H666&gt;45))+3*(AND(ISNUMBER($P666),$P666&lt;=TODAY()))-6*($S666="Yes")+(750-ROW())/100000)</f>
        <v/>
      </c>
      <c r="W666" s="47">
        <f>IF(OR($A666="",NOT(ISNUMBER($P666))),"",INT($P666-TODAY()))</f>
        <v/>
      </c>
      <c r="X666" s="47" t="n"/>
    </row>
    <row r="667">
      <c r="A667" s="50" t="n"/>
      <c r="B667" s="47" t="n"/>
      <c r="C667" s="47" t="n"/>
      <c r="D667" s="50" t="n"/>
      <c r="E667" s="50" t="n"/>
      <c r="F667" s="48" t="n"/>
      <c r="G667" s="47" t="n"/>
      <c r="H667" s="47" t="n"/>
      <c r="I667" s="47" t="n"/>
      <c r="J667" s="47" t="n"/>
      <c r="K667" s="47" t="n"/>
      <c r="L667" s="47" t="n"/>
      <c r="M667" s="50" t="n"/>
      <c r="N667" s="50" t="n"/>
      <c r="O667" s="50" t="n"/>
      <c r="P667" s="48">
        <f>IF($F667="","",IF($J667="Yes",$F667+1,IF($G667="No",$F667+2,IF(N($I667)&gt;2,$F667+3,IF(N($I667)&gt;0,$F667+5,$F667+7)))))</f>
        <v/>
      </c>
      <c r="Q667" s="48">
        <f>IF($P667="","",IF($J667="Yes",$P667+3,IF($G667="No",$P667+5,IF(N($I667)&gt;0,$P667+7,$P667+14))))</f>
        <v/>
      </c>
      <c r="R667" s="48">
        <f>IF($Q667="","",IF($J667="Yes",$Q667+7,IF($G667="No",$Q667+14,$Q667+30)))</f>
        <v/>
      </c>
      <c r="S667" s="47" t="n"/>
      <c r="T667" s="50" t="n"/>
      <c r="U667" s="47">
        <f>IF($F667="","",MIN(24,MAX(1,ROUNDUP(($F667-DayPlan!$C$2+1)/7,0))))</f>
        <v/>
      </c>
      <c r="V667" s="47">
        <f>IF($A667=""," ",4*($J667="Yes")+3*($G667="No")+2*(N($I667)&gt;0)+1*(AND(ISNUMBER($H667),$H667&gt;45))+3*(AND(ISNUMBER($P667),$P667&lt;=TODAY()))-6*($S667="Yes")+(750-ROW())/100000)</f>
        <v/>
      </c>
      <c r="W667" s="47">
        <f>IF(OR($A667="",NOT(ISNUMBER($P667))),"",INT($P667-TODAY()))</f>
        <v/>
      </c>
      <c r="X667" s="47" t="n"/>
    </row>
    <row r="668">
      <c r="A668" s="50" t="n"/>
      <c r="B668" s="47" t="n"/>
      <c r="C668" s="47" t="n"/>
      <c r="D668" s="50" t="n"/>
      <c r="E668" s="50" t="n"/>
      <c r="F668" s="48" t="n"/>
      <c r="G668" s="47" t="n"/>
      <c r="H668" s="47" t="n"/>
      <c r="I668" s="47" t="n"/>
      <c r="J668" s="47" t="n"/>
      <c r="K668" s="47" t="n"/>
      <c r="L668" s="47" t="n"/>
      <c r="M668" s="50" t="n"/>
      <c r="N668" s="50" t="n"/>
      <c r="O668" s="50" t="n"/>
      <c r="P668" s="48">
        <f>IF($F668="","",IF($J668="Yes",$F668+1,IF($G668="No",$F668+2,IF(N($I668)&gt;2,$F668+3,IF(N($I668)&gt;0,$F668+5,$F668+7)))))</f>
        <v/>
      </c>
      <c r="Q668" s="48">
        <f>IF($P668="","",IF($J668="Yes",$P668+3,IF($G668="No",$P668+5,IF(N($I668)&gt;0,$P668+7,$P668+14))))</f>
        <v/>
      </c>
      <c r="R668" s="48">
        <f>IF($Q668="","",IF($J668="Yes",$Q668+7,IF($G668="No",$Q668+14,$Q668+30)))</f>
        <v/>
      </c>
      <c r="S668" s="47" t="n"/>
      <c r="T668" s="50" t="n"/>
      <c r="U668" s="47">
        <f>IF($F668="","",MIN(24,MAX(1,ROUNDUP(($F668-DayPlan!$C$2+1)/7,0))))</f>
        <v/>
      </c>
      <c r="V668" s="47">
        <f>IF($A668=""," ",4*($J668="Yes")+3*($G668="No")+2*(N($I668)&gt;0)+1*(AND(ISNUMBER($H668),$H668&gt;45))+3*(AND(ISNUMBER($P668),$P668&lt;=TODAY()))-6*($S668="Yes")+(750-ROW())/100000)</f>
        <v/>
      </c>
      <c r="W668" s="47">
        <f>IF(OR($A668="",NOT(ISNUMBER($P668))),"",INT($P668-TODAY()))</f>
        <v/>
      </c>
      <c r="X668" s="47" t="n"/>
    </row>
    <row r="669">
      <c r="A669" s="50" t="n"/>
      <c r="B669" s="47" t="n"/>
      <c r="C669" s="47" t="n"/>
      <c r="D669" s="50" t="n"/>
      <c r="E669" s="50" t="n"/>
      <c r="F669" s="48" t="n"/>
      <c r="G669" s="47" t="n"/>
      <c r="H669" s="47" t="n"/>
      <c r="I669" s="47" t="n"/>
      <c r="J669" s="47" t="n"/>
      <c r="K669" s="47" t="n"/>
      <c r="L669" s="47" t="n"/>
      <c r="M669" s="50" t="n"/>
      <c r="N669" s="50" t="n"/>
      <c r="O669" s="50" t="n"/>
      <c r="P669" s="48">
        <f>IF($F669="","",IF($J669="Yes",$F669+1,IF($G669="No",$F669+2,IF(N($I669)&gt;2,$F669+3,IF(N($I669)&gt;0,$F669+5,$F669+7)))))</f>
        <v/>
      </c>
      <c r="Q669" s="48">
        <f>IF($P669="","",IF($J669="Yes",$P669+3,IF($G669="No",$P669+5,IF(N($I669)&gt;0,$P669+7,$P669+14))))</f>
        <v/>
      </c>
      <c r="R669" s="48">
        <f>IF($Q669="","",IF($J669="Yes",$Q669+7,IF($G669="No",$Q669+14,$Q669+30)))</f>
        <v/>
      </c>
      <c r="S669" s="47" t="n"/>
      <c r="T669" s="50" t="n"/>
      <c r="U669" s="47">
        <f>IF($F669="","",MIN(24,MAX(1,ROUNDUP(($F669-DayPlan!$C$2+1)/7,0))))</f>
        <v/>
      </c>
      <c r="V669" s="47">
        <f>IF($A669=""," ",4*($J669="Yes")+3*($G669="No")+2*(N($I669)&gt;0)+1*(AND(ISNUMBER($H669),$H669&gt;45))+3*(AND(ISNUMBER($P669),$P669&lt;=TODAY()))-6*($S669="Yes")+(750-ROW())/100000)</f>
        <v/>
      </c>
      <c r="W669" s="47">
        <f>IF(OR($A669="",NOT(ISNUMBER($P669))),"",INT($P669-TODAY()))</f>
        <v/>
      </c>
      <c r="X669" s="47" t="n"/>
    </row>
    <row r="670">
      <c r="A670" s="50" t="n"/>
      <c r="B670" s="47" t="n"/>
      <c r="C670" s="47" t="n"/>
      <c r="D670" s="50" t="n"/>
      <c r="E670" s="50" t="n"/>
      <c r="F670" s="48" t="n"/>
      <c r="G670" s="47" t="n"/>
      <c r="H670" s="47" t="n"/>
      <c r="I670" s="47" t="n"/>
      <c r="J670" s="47" t="n"/>
      <c r="K670" s="47" t="n"/>
      <c r="L670" s="47" t="n"/>
      <c r="M670" s="50" t="n"/>
      <c r="N670" s="50" t="n"/>
      <c r="O670" s="50" t="n"/>
      <c r="P670" s="48">
        <f>IF($F670="","",IF($J670="Yes",$F670+1,IF($G670="No",$F670+2,IF(N($I670)&gt;2,$F670+3,IF(N($I670)&gt;0,$F670+5,$F670+7)))))</f>
        <v/>
      </c>
      <c r="Q670" s="48">
        <f>IF($P670="","",IF($J670="Yes",$P670+3,IF($G670="No",$P670+5,IF(N($I670)&gt;0,$P670+7,$P670+14))))</f>
        <v/>
      </c>
      <c r="R670" s="48">
        <f>IF($Q670="","",IF($J670="Yes",$Q670+7,IF($G670="No",$Q670+14,$Q670+30)))</f>
        <v/>
      </c>
      <c r="S670" s="47" t="n"/>
      <c r="T670" s="50" t="n"/>
      <c r="U670" s="47">
        <f>IF($F670="","",MIN(24,MAX(1,ROUNDUP(($F670-DayPlan!$C$2+1)/7,0))))</f>
        <v/>
      </c>
      <c r="V670" s="47">
        <f>IF($A670=""," ",4*($J670="Yes")+3*($G670="No")+2*(N($I670)&gt;0)+1*(AND(ISNUMBER($H670),$H670&gt;45))+3*(AND(ISNUMBER($P670),$P670&lt;=TODAY()))-6*($S670="Yes")+(750-ROW())/100000)</f>
        <v/>
      </c>
      <c r="W670" s="47">
        <f>IF(OR($A670="",NOT(ISNUMBER($P670))),"",INT($P670-TODAY()))</f>
        <v/>
      </c>
      <c r="X670" s="47" t="n"/>
    </row>
    <row r="671">
      <c r="A671" s="50" t="n"/>
      <c r="B671" s="47" t="n"/>
      <c r="C671" s="47" t="n"/>
      <c r="D671" s="50" t="n"/>
      <c r="E671" s="50" t="n"/>
      <c r="F671" s="48" t="n"/>
      <c r="G671" s="47" t="n"/>
      <c r="H671" s="47" t="n"/>
      <c r="I671" s="47" t="n"/>
      <c r="J671" s="47" t="n"/>
      <c r="K671" s="47" t="n"/>
      <c r="L671" s="47" t="n"/>
      <c r="M671" s="50" t="n"/>
      <c r="N671" s="50" t="n"/>
      <c r="O671" s="50" t="n"/>
      <c r="P671" s="48">
        <f>IF($F671="","",IF($J671="Yes",$F671+1,IF($G671="No",$F671+2,IF(N($I671)&gt;2,$F671+3,IF(N($I671)&gt;0,$F671+5,$F671+7)))))</f>
        <v/>
      </c>
      <c r="Q671" s="48">
        <f>IF($P671="","",IF($J671="Yes",$P671+3,IF($G671="No",$P671+5,IF(N($I671)&gt;0,$P671+7,$P671+14))))</f>
        <v/>
      </c>
      <c r="R671" s="48">
        <f>IF($Q671="","",IF($J671="Yes",$Q671+7,IF($G671="No",$Q671+14,$Q671+30)))</f>
        <v/>
      </c>
      <c r="S671" s="47" t="n"/>
      <c r="T671" s="50" t="n"/>
      <c r="U671" s="47">
        <f>IF($F671="","",MIN(24,MAX(1,ROUNDUP(($F671-DayPlan!$C$2+1)/7,0))))</f>
        <v/>
      </c>
      <c r="V671" s="47">
        <f>IF($A671=""," ",4*($J671="Yes")+3*($G671="No")+2*(N($I671)&gt;0)+1*(AND(ISNUMBER($H671),$H671&gt;45))+3*(AND(ISNUMBER($P671),$P671&lt;=TODAY()))-6*($S671="Yes")+(750-ROW())/100000)</f>
        <v/>
      </c>
      <c r="W671" s="47">
        <f>IF(OR($A671="",NOT(ISNUMBER($P671))),"",INT($P671-TODAY()))</f>
        <v/>
      </c>
      <c r="X671" s="47" t="n"/>
    </row>
    <row r="672">
      <c r="A672" s="50" t="n"/>
      <c r="B672" s="47" t="n"/>
      <c r="C672" s="47" t="n"/>
      <c r="D672" s="50" t="n"/>
      <c r="E672" s="50" t="n"/>
      <c r="F672" s="48" t="n"/>
      <c r="G672" s="47" t="n"/>
      <c r="H672" s="47" t="n"/>
      <c r="I672" s="47" t="n"/>
      <c r="J672" s="47" t="n"/>
      <c r="K672" s="47" t="n"/>
      <c r="L672" s="47" t="n"/>
      <c r="M672" s="50" t="n"/>
      <c r="N672" s="50" t="n"/>
      <c r="O672" s="50" t="n"/>
      <c r="P672" s="48">
        <f>IF($F672="","",IF($J672="Yes",$F672+1,IF($G672="No",$F672+2,IF(N($I672)&gt;2,$F672+3,IF(N($I672)&gt;0,$F672+5,$F672+7)))))</f>
        <v/>
      </c>
      <c r="Q672" s="48">
        <f>IF($P672="","",IF($J672="Yes",$P672+3,IF($G672="No",$P672+5,IF(N($I672)&gt;0,$P672+7,$P672+14))))</f>
        <v/>
      </c>
      <c r="R672" s="48">
        <f>IF($Q672="","",IF($J672="Yes",$Q672+7,IF($G672="No",$Q672+14,$Q672+30)))</f>
        <v/>
      </c>
      <c r="S672" s="47" t="n"/>
      <c r="T672" s="50" t="n"/>
      <c r="U672" s="47">
        <f>IF($F672="","",MIN(24,MAX(1,ROUNDUP(($F672-DayPlan!$C$2+1)/7,0))))</f>
        <v/>
      </c>
      <c r="V672" s="47">
        <f>IF($A672=""," ",4*($J672="Yes")+3*($G672="No")+2*(N($I672)&gt;0)+1*(AND(ISNUMBER($H672),$H672&gt;45))+3*(AND(ISNUMBER($P672),$P672&lt;=TODAY()))-6*($S672="Yes")+(750-ROW())/100000)</f>
        <v/>
      </c>
      <c r="W672" s="47">
        <f>IF(OR($A672="",NOT(ISNUMBER($P672))),"",INT($P672-TODAY()))</f>
        <v/>
      </c>
      <c r="X672" s="47" t="n"/>
    </row>
    <row r="673">
      <c r="A673" s="50" t="n"/>
      <c r="B673" s="47" t="n"/>
      <c r="C673" s="47" t="n"/>
      <c r="D673" s="50" t="n"/>
      <c r="E673" s="50" t="n"/>
      <c r="F673" s="48" t="n"/>
      <c r="G673" s="47" t="n"/>
      <c r="H673" s="47" t="n"/>
      <c r="I673" s="47" t="n"/>
      <c r="J673" s="47" t="n"/>
      <c r="K673" s="47" t="n"/>
      <c r="L673" s="47" t="n"/>
      <c r="M673" s="50" t="n"/>
      <c r="N673" s="50" t="n"/>
      <c r="O673" s="50" t="n"/>
      <c r="P673" s="48">
        <f>IF($F673="","",IF($J673="Yes",$F673+1,IF($G673="No",$F673+2,IF(N($I673)&gt;2,$F673+3,IF(N($I673)&gt;0,$F673+5,$F673+7)))))</f>
        <v/>
      </c>
      <c r="Q673" s="48">
        <f>IF($P673="","",IF($J673="Yes",$P673+3,IF($G673="No",$P673+5,IF(N($I673)&gt;0,$P673+7,$P673+14))))</f>
        <v/>
      </c>
      <c r="R673" s="48">
        <f>IF($Q673="","",IF($J673="Yes",$Q673+7,IF($G673="No",$Q673+14,$Q673+30)))</f>
        <v/>
      </c>
      <c r="S673" s="47" t="n"/>
      <c r="T673" s="50" t="n"/>
      <c r="U673" s="47">
        <f>IF($F673="","",MIN(24,MAX(1,ROUNDUP(($F673-DayPlan!$C$2+1)/7,0))))</f>
        <v/>
      </c>
      <c r="V673" s="47">
        <f>IF($A673=""," ",4*($J673="Yes")+3*($G673="No")+2*(N($I673)&gt;0)+1*(AND(ISNUMBER($H673),$H673&gt;45))+3*(AND(ISNUMBER($P673),$P673&lt;=TODAY()))-6*($S673="Yes")+(750-ROW())/100000)</f>
        <v/>
      </c>
      <c r="W673" s="47">
        <f>IF(OR($A673="",NOT(ISNUMBER($P673))),"",INT($P673-TODAY()))</f>
        <v/>
      </c>
      <c r="X673" s="47" t="n"/>
    </row>
    <row r="674">
      <c r="A674" s="50" t="n"/>
      <c r="B674" s="47" t="n"/>
      <c r="C674" s="47" t="n"/>
      <c r="D674" s="50" t="n"/>
      <c r="E674" s="50" t="n"/>
      <c r="F674" s="48" t="n"/>
      <c r="G674" s="47" t="n"/>
      <c r="H674" s="47" t="n"/>
      <c r="I674" s="47" t="n"/>
      <c r="J674" s="47" t="n"/>
      <c r="K674" s="47" t="n"/>
      <c r="L674" s="47" t="n"/>
      <c r="M674" s="50" t="n"/>
      <c r="N674" s="50" t="n"/>
      <c r="O674" s="50" t="n"/>
      <c r="P674" s="48">
        <f>IF($F674="","",IF($J674="Yes",$F674+1,IF($G674="No",$F674+2,IF(N($I674)&gt;2,$F674+3,IF(N($I674)&gt;0,$F674+5,$F674+7)))))</f>
        <v/>
      </c>
      <c r="Q674" s="48">
        <f>IF($P674="","",IF($J674="Yes",$P674+3,IF($G674="No",$P674+5,IF(N($I674)&gt;0,$P674+7,$P674+14))))</f>
        <v/>
      </c>
      <c r="R674" s="48">
        <f>IF($Q674="","",IF($J674="Yes",$Q674+7,IF($G674="No",$Q674+14,$Q674+30)))</f>
        <v/>
      </c>
      <c r="S674" s="47" t="n"/>
      <c r="T674" s="50" t="n"/>
      <c r="U674" s="47">
        <f>IF($F674="","",MIN(24,MAX(1,ROUNDUP(($F674-DayPlan!$C$2+1)/7,0))))</f>
        <v/>
      </c>
      <c r="V674" s="47">
        <f>IF($A674=""," ",4*($J674="Yes")+3*($G674="No")+2*(N($I674)&gt;0)+1*(AND(ISNUMBER($H674),$H674&gt;45))+3*(AND(ISNUMBER($P674),$P674&lt;=TODAY()))-6*($S674="Yes")+(750-ROW())/100000)</f>
        <v/>
      </c>
      <c r="W674" s="47">
        <f>IF(OR($A674="",NOT(ISNUMBER($P674))),"",INT($P674-TODAY()))</f>
        <v/>
      </c>
      <c r="X674" s="47" t="n"/>
    </row>
    <row r="675">
      <c r="A675" s="50" t="n"/>
      <c r="B675" s="47" t="n"/>
      <c r="C675" s="47" t="n"/>
      <c r="D675" s="50" t="n"/>
      <c r="E675" s="50" t="n"/>
      <c r="F675" s="48" t="n"/>
      <c r="G675" s="47" t="n"/>
      <c r="H675" s="47" t="n"/>
      <c r="I675" s="47" t="n"/>
      <c r="J675" s="47" t="n"/>
      <c r="K675" s="47" t="n"/>
      <c r="L675" s="47" t="n"/>
      <c r="M675" s="50" t="n"/>
      <c r="N675" s="50" t="n"/>
      <c r="O675" s="50" t="n"/>
      <c r="P675" s="48">
        <f>IF($F675="","",IF($J675="Yes",$F675+1,IF($G675="No",$F675+2,IF(N($I675)&gt;2,$F675+3,IF(N($I675)&gt;0,$F675+5,$F675+7)))))</f>
        <v/>
      </c>
      <c r="Q675" s="48">
        <f>IF($P675="","",IF($J675="Yes",$P675+3,IF($G675="No",$P675+5,IF(N($I675)&gt;0,$P675+7,$P675+14))))</f>
        <v/>
      </c>
      <c r="R675" s="48">
        <f>IF($Q675="","",IF($J675="Yes",$Q675+7,IF($G675="No",$Q675+14,$Q675+30)))</f>
        <v/>
      </c>
      <c r="S675" s="47" t="n"/>
      <c r="T675" s="50" t="n"/>
      <c r="U675" s="47">
        <f>IF($F675="","",MIN(24,MAX(1,ROUNDUP(($F675-DayPlan!$C$2+1)/7,0))))</f>
        <v/>
      </c>
      <c r="V675" s="47">
        <f>IF($A675=""," ",4*($J675="Yes")+3*($G675="No")+2*(N($I675)&gt;0)+1*(AND(ISNUMBER($H675),$H675&gt;45))+3*(AND(ISNUMBER($P675),$P675&lt;=TODAY()))-6*($S675="Yes")+(750-ROW())/100000)</f>
        <v/>
      </c>
      <c r="W675" s="47">
        <f>IF(OR($A675="",NOT(ISNUMBER($P675))),"",INT($P675-TODAY()))</f>
        <v/>
      </c>
      <c r="X675" s="47" t="n"/>
    </row>
    <row r="676">
      <c r="A676" s="50" t="n"/>
      <c r="B676" s="47" t="n"/>
      <c r="C676" s="47" t="n"/>
      <c r="D676" s="50" t="n"/>
      <c r="E676" s="50" t="n"/>
      <c r="F676" s="48" t="n"/>
      <c r="G676" s="47" t="n"/>
      <c r="H676" s="47" t="n"/>
      <c r="I676" s="47" t="n"/>
      <c r="J676" s="47" t="n"/>
      <c r="K676" s="47" t="n"/>
      <c r="L676" s="47" t="n"/>
      <c r="M676" s="50" t="n"/>
      <c r="N676" s="50" t="n"/>
      <c r="O676" s="50" t="n"/>
      <c r="P676" s="48">
        <f>IF($F676="","",IF($J676="Yes",$F676+1,IF($G676="No",$F676+2,IF(N($I676)&gt;2,$F676+3,IF(N($I676)&gt;0,$F676+5,$F676+7)))))</f>
        <v/>
      </c>
      <c r="Q676" s="48">
        <f>IF($P676="","",IF($J676="Yes",$P676+3,IF($G676="No",$P676+5,IF(N($I676)&gt;0,$P676+7,$P676+14))))</f>
        <v/>
      </c>
      <c r="R676" s="48">
        <f>IF($Q676="","",IF($J676="Yes",$Q676+7,IF($G676="No",$Q676+14,$Q676+30)))</f>
        <v/>
      </c>
      <c r="S676" s="47" t="n"/>
      <c r="T676" s="50" t="n"/>
      <c r="U676" s="47">
        <f>IF($F676="","",MIN(24,MAX(1,ROUNDUP(($F676-DayPlan!$C$2+1)/7,0))))</f>
        <v/>
      </c>
      <c r="V676" s="47">
        <f>IF($A676=""," ",4*($J676="Yes")+3*($G676="No")+2*(N($I676)&gt;0)+1*(AND(ISNUMBER($H676),$H676&gt;45))+3*(AND(ISNUMBER($P676),$P676&lt;=TODAY()))-6*($S676="Yes")+(750-ROW())/100000)</f>
        <v/>
      </c>
      <c r="W676" s="47">
        <f>IF(OR($A676="",NOT(ISNUMBER($P676))),"",INT($P676-TODAY()))</f>
        <v/>
      </c>
      <c r="X676" s="47" t="n"/>
    </row>
    <row r="677">
      <c r="A677" s="50" t="n"/>
      <c r="B677" s="47" t="n"/>
      <c r="C677" s="47" t="n"/>
      <c r="D677" s="50" t="n"/>
      <c r="E677" s="50" t="n"/>
      <c r="F677" s="48" t="n"/>
      <c r="G677" s="47" t="n"/>
      <c r="H677" s="47" t="n"/>
      <c r="I677" s="47" t="n"/>
      <c r="J677" s="47" t="n"/>
      <c r="K677" s="47" t="n"/>
      <c r="L677" s="47" t="n"/>
      <c r="M677" s="50" t="n"/>
      <c r="N677" s="50" t="n"/>
      <c r="O677" s="50" t="n"/>
      <c r="P677" s="48">
        <f>IF($F677="","",IF($J677="Yes",$F677+1,IF($G677="No",$F677+2,IF(N($I677)&gt;2,$F677+3,IF(N($I677)&gt;0,$F677+5,$F677+7)))))</f>
        <v/>
      </c>
      <c r="Q677" s="48">
        <f>IF($P677="","",IF($J677="Yes",$P677+3,IF($G677="No",$P677+5,IF(N($I677)&gt;0,$P677+7,$P677+14))))</f>
        <v/>
      </c>
      <c r="R677" s="48">
        <f>IF($Q677="","",IF($J677="Yes",$Q677+7,IF($G677="No",$Q677+14,$Q677+30)))</f>
        <v/>
      </c>
      <c r="S677" s="47" t="n"/>
      <c r="T677" s="50" t="n"/>
      <c r="U677" s="47">
        <f>IF($F677="","",MIN(24,MAX(1,ROUNDUP(($F677-DayPlan!$C$2+1)/7,0))))</f>
        <v/>
      </c>
      <c r="V677" s="47">
        <f>IF($A677=""," ",4*($J677="Yes")+3*($G677="No")+2*(N($I677)&gt;0)+1*(AND(ISNUMBER($H677),$H677&gt;45))+3*(AND(ISNUMBER($P677),$P677&lt;=TODAY()))-6*($S677="Yes")+(750-ROW())/100000)</f>
        <v/>
      </c>
      <c r="W677" s="47">
        <f>IF(OR($A677="",NOT(ISNUMBER($P677))),"",INT($P677-TODAY()))</f>
        <v/>
      </c>
      <c r="X677" s="47" t="n"/>
    </row>
    <row r="678">
      <c r="A678" s="50" t="n"/>
      <c r="B678" s="47" t="n"/>
      <c r="C678" s="47" t="n"/>
      <c r="D678" s="50" t="n"/>
      <c r="E678" s="50" t="n"/>
      <c r="F678" s="48" t="n"/>
      <c r="G678" s="47" t="n"/>
      <c r="H678" s="47" t="n"/>
      <c r="I678" s="47" t="n"/>
      <c r="J678" s="47" t="n"/>
      <c r="K678" s="47" t="n"/>
      <c r="L678" s="47" t="n"/>
      <c r="M678" s="50" t="n"/>
      <c r="N678" s="50" t="n"/>
      <c r="O678" s="50" t="n"/>
      <c r="P678" s="48">
        <f>IF($F678="","",IF($J678="Yes",$F678+1,IF($G678="No",$F678+2,IF(N($I678)&gt;2,$F678+3,IF(N($I678)&gt;0,$F678+5,$F678+7)))))</f>
        <v/>
      </c>
      <c r="Q678" s="48">
        <f>IF($P678="","",IF($J678="Yes",$P678+3,IF($G678="No",$P678+5,IF(N($I678)&gt;0,$P678+7,$P678+14))))</f>
        <v/>
      </c>
      <c r="R678" s="48">
        <f>IF($Q678="","",IF($J678="Yes",$Q678+7,IF($G678="No",$Q678+14,$Q678+30)))</f>
        <v/>
      </c>
      <c r="S678" s="47" t="n"/>
      <c r="T678" s="50" t="n"/>
      <c r="U678" s="47">
        <f>IF($F678="","",MIN(24,MAX(1,ROUNDUP(($F678-DayPlan!$C$2+1)/7,0))))</f>
        <v/>
      </c>
      <c r="V678" s="47">
        <f>IF($A678=""," ",4*($J678="Yes")+3*($G678="No")+2*(N($I678)&gt;0)+1*(AND(ISNUMBER($H678),$H678&gt;45))+3*(AND(ISNUMBER($P678),$P678&lt;=TODAY()))-6*($S678="Yes")+(750-ROW())/100000)</f>
        <v/>
      </c>
      <c r="W678" s="47">
        <f>IF(OR($A678="",NOT(ISNUMBER($P678))),"",INT($P678-TODAY()))</f>
        <v/>
      </c>
      <c r="X678" s="47" t="n"/>
    </row>
    <row r="679">
      <c r="A679" s="50" t="n"/>
      <c r="B679" s="47" t="n"/>
      <c r="C679" s="47" t="n"/>
      <c r="D679" s="50" t="n"/>
      <c r="E679" s="50" t="n"/>
      <c r="F679" s="48" t="n"/>
      <c r="G679" s="47" t="n"/>
      <c r="H679" s="47" t="n"/>
      <c r="I679" s="47" t="n"/>
      <c r="J679" s="47" t="n"/>
      <c r="K679" s="47" t="n"/>
      <c r="L679" s="47" t="n"/>
      <c r="M679" s="50" t="n"/>
      <c r="N679" s="50" t="n"/>
      <c r="O679" s="50" t="n"/>
      <c r="P679" s="48">
        <f>IF($F679="","",IF($J679="Yes",$F679+1,IF($G679="No",$F679+2,IF(N($I679)&gt;2,$F679+3,IF(N($I679)&gt;0,$F679+5,$F679+7)))))</f>
        <v/>
      </c>
      <c r="Q679" s="48">
        <f>IF($P679="","",IF($J679="Yes",$P679+3,IF($G679="No",$P679+5,IF(N($I679)&gt;0,$P679+7,$P679+14))))</f>
        <v/>
      </c>
      <c r="R679" s="48">
        <f>IF($Q679="","",IF($J679="Yes",$Q679+7,IF($G679="No",$Q679+14,$Q679+30)))</f>
        <v/>
      </c>
      <c r="S679" s="47" t="n"/>
      <c r="T679" s="50" t="n"/>
      <c r="U679" s="47">
        <f>IF($F679="","",MIN(24,MAX(1,ROUNDUP(($F679-DayPlan!$C$2+1)/7,0))))</f>
        <v/>
      </c>
      <c r="V679" s="47">
        <f>IF($A679=""," ",4*($J679="Yes")+3*($G679="No")+2*(N($I679)&gt;0)+1*(AND(ISNUMBER($H679),$H679&gt;45))+3*(AND(ISNUMBER($P679),$P679&lt;=TODAY()))-6*($S679="Yes")+(750-ROW())/100000)</f>
        <v/>
      </c>
      <c r="W679" s="47">
        <f>IF(OR($A679="",NOT(ISNUMBER($P679))),"",INT($P679-TODAY()))</f>
        <v/>
      </c>
      <c r="X679" s="47" t="n"/>
    </row>
    <row r="680">
      <c r="A680" s="50" t="n"/>
      <c r="B680" s="47" t="n"/>
      <c r="C680" s="47" t="n"/>
      <c r="D680" s="50" t="n"/>
      <c r="E680" s="50" t="n"/>
      <c r="F680" s="48" t="n"/>
      <c r="G680" s="47" t="n"/>
      <c r="H680" s="47" t="n"/>
      <c r="I680" s="47" t="n"/>
      <c r="J680" s="47" t="n"/>
      <c r="K680" s="47" t="n"/>
      <c r="L680" s="47" t="n"/>
      <c r="M680" s="50" t="n"/>
      <c r="N680" s="50" t="n"/>
      <c r="O680" s="50" t="n"/>
      <c r="P680" s="48">
        <f>IF($F680="","",IF($J680="Yes",$F680+1,IF($G680="No",$F680+2,IF(N($I680)&gt;2,$F680+3,IF(N($I680)&gt;0,$F680+5,$F680+7)))))</f>
        <v/>
      </c>
      <c r="Q680" s="48">
        <f>IF($P680="","",IF($J680="Yes",$P680+3,IF($G680="No",$P680+5,IF(N($I680)&gt;0,$P680+7,$P680+14))))</f>
        <v/>
      </c>
      <c r="R680" s="48">
        <f>IF($Q680="","",IF($J680="Yes",$Q680+7,IF($G680="No",$Q680+14,$Q680+30)))</f>
        <v/>
      </c>
      <c r="S680" s="47" t="n"/>
      <c r="T680" s="50" t="n"/>
      <c r="U680" s="47">
        <f>IF($F680="","",MIN(24,MAX(1,ROUNDUP(($F680-DayPlan!$C$2+1)/7,0))))</f>
        <v/>
      </c>
      <c r="V680" s="47">
        <f>IF($A680=""," ",4*($J680="Yes")+3*($G680="No")+2*(N($I680)&gt;0)+1*(AND(ISNUMBER($H680),$H680&gt;45))+3*(AND(ISNUMBER($P680),$P680&lt;=TODAY()))-6*($S680="Yes")+(750-ROW())/100000)</f>
        <v/>
      </c>
      <c r="W680" s="47">
        <f>IF(OR($A680="",NOT(ISNUMBER($P680))),"",INT($P680-TODAY()))</f>
        <v/>
      </c>
      <c r="X680" s="47" t="n"/>
    </row>
    <row r="681">
      <c r="A681" s="50" t="n"/>
      <c r="B681" s="47" t="n"/>
      <c r="C681" s="47" t="n"/>
      <c r="D681" s="50" t="n"/>
      <c r="E681" s="50" t="n"/>
      <c r="F681" s="48" t="n"/>
      <c r="G681" s="47" t="n"/>
      <c r="H681" s="47" t="n"/>
      <c r="I681" s="47" t="n"/>
      <c r="J681" s="47" t="n"/>
      <c r="K681" s="47" t="n"/>
      <c r="L681" s="47" t="n"/>
      <c r="M681" s="50" t="n"/>
      <c r="N681" s="50" t="n"/>
      <c r="O681" s="50" t="n"/>
      <c r="P681" s="48">
        <f>IF($F681="","",IF($J681="Yes",$F681+1,IF($G681="No",$F681+2,IF(N($I681)&gt;2,$F681+3,IF(N($I681)&gt;0,$F681+5,$F681+7)))))</f>
        <v/>
      </c>
      <c r="Q681" s="48">
        <f>IF($P681="","",IF($J681="Yes",$P681+3,IF($G681="No",$P681+5,IF(N($I681)&gt;0,$P681+7,$P681+14))))</f>
        <v/>
      </c>
      <c r="R681" s="48">
        <f>IF($Q681="","",IF($J681="Yes",$Q681+7,IF($G681="No",$Q681+14,$Q681+30)))</f>
        <v/>
      </c>
      <c r="S681" s="47" t="n"/>
      <c r="T681" s="50" t="n"/>
      <c r="U681" s="47">
        <f>IF($F681="","",MIN(24,MAX(1,ROUNDUP(($F681-DayPlan!$C$2+1)/7,0))))</f>
        <v/>
      </c>
      <c r="V681" s="47">
        <f>IF($A681=""," ",4*($J681="Yes")+3*($G681="No")+2*(N($I681)&gt;0)+1*(AND(ISNUMBER($H681),$H681&gt;45))+3*(AND(ISNUMBER($P681),$P681&lt;=TODAY()))-6*($S681="Yes")+(750-ROW())/100000)</f>
        <v/>
      </c>
      <c r="W681" s="47">
        <f>IF(OR($A681="",NOT(ISNUMBER($P681))),"",INT($P681-TODAY()))</f>
        <v/>
      </c>
      <c r="X681" s="47" t="n"/>
    </row>
    <row r="682">
      <c r="A682" s="50" t="n"/>
      <c r="B682" s="47" t="n"/>
      <c r="C682" s="47" t="n"/>
      <c r="D682" s="50" t="n"/>
      <c r="E682" s="50" t="n"/>
      <c r="F682" s="48" t="n"/>
      <c r="G682" s="47" t="n"/>
      <c r="H682" s="47" t="n"/>
      <c r="I682" s="47" t="n"/>
      <c r="J682" s="47" t="n"/>
      <c r="K682" s="47" t="n"/>
      <c r="L682" s="47" t="n"/>
      <c r="M682" s="50" t="n"/>
      <c r="N682" s="50" t="n"/>
      <c r="O682" s="50" t="n"/>
      <c r="P682" s="48">
        <f>IF($F682="","",IF($J682="Yes",$F682+1,IF($G682="No",$F682+2,IF(N($I682)&gt;2,$F682+3,IF(N($I682)&gt;0,$F682+5,$F682+7)))))</f>
        <v/>
      </c>
      <c r="Q682" s="48">
        <f>IF($P682="","",IF($J682="Yes",$P682+3,IF($G682="No",$P682+5,IF(N($I682)&gt;0,$P682+7,$P682+14))))</f>
        <v/>
      </c>
      <c r="R682" s="48">
        <f>IF($Q682="","",IF($J682="Yes",$Q682+7,IF($G682="No",$Q682+14,$Q682+30)))</f>
        <v/>
      </c>
      <c r="S682" s="47" t="n"/>
      <c r="T682" s="50" t="n"/>
      <c r="U682" s="47">
        <f>IF($F682="","",MIN(24,MAX(1,ROUNDUP(($F682-DayPlan!$C$2+1)/7,0))))</f>
        <v/>
      </c>
      <c r="V682" s="47">
        <f>IF($A682=""," ",4*($J682="Yes")+3*($G682="No")+2*(N($I682)&gt;0)+1*(AND(ISNUMBER($H682),$H682&gt;45))+3*(AND(ISNUMBER($P682),$P682&lt;=TODAY()))-6*($S682="Yes")+(750-ROW())/100000)</f>
        <v/>
      </c>
      <c r="W682" s="47">
        <f>IF(OR($A682="",NOT(ISNUMBER($P682))),"",INT($P682-TODAY()))</f>
        <v/>
      </c>
      <c r="X682" s="47" t="n"/>
    </row>
    <row r="683">
      <c r="A683" s="50" t="n"/>
      <c r="B683" s="47" t="n"/>
      <c r="C683" s="47" t="n"/>
      <c r="D683" s="50" t="n"/>
      <c r="E683" s="50" t="n"/>
      <c r="F683" s="48" t="n"/>
      <c r="G683" s="47" t="n"/>
      <c r="H683" s="47" t="n"/>
      <c r="I683" s="47" t="n"/>
      <c r="J683" s="47" t="n"/>
      <c r="K683" s="47" t="n"/>
      <c r="L683" s="47" t="n"/>
      <c r="M683" s="50" t="n"/>
      <c r="N683" s="50" t="n"/>
      <c r="O683" s="50" t="n"/>
      <c r="P683" s="48">
        <f>IF($F683="","",IF($J683="Yes",$F683+1,IF($G683="No",$F683+2,IF(N($I683)&gt;2,$F683+3,IF(N($I683)&gt;0,$F683+5,$F683+7)))))</f>
        <v/>
      </c>
      <c r="Q683" s="48">
        <f>IF($P683="","",IF($J683="Yes",$P683+3,IF($G683="No",$P683+5,IF(N($I683)&gt;0,$P683+7,$P683+14))))</f>
        <v/>
      </c>
      <c r="R683" s="48">
        <f>IF($Q683="","",IF($J683="Yes",$Q683+7,IF($G683="No",$Q683+14,$Q683+30)))</f>
        <v/>
      </c>
      <c r="S683" s="47" t="n"/>
      <c r="T683" s="50" t="n"/>
      <c r="U683" s="47">
        <f>IF($F683="","",MIN(24,MAX(1,ROUNDUP(($F683-DayPlan!$C$2+1)/7,0))))</f>
        <v/>
      </c>
      <c r="V683" s="47">
        <f>IF($A683=""," ",4*($J683="Yes")+3*($G683="No")+2*(N($I683)&gt;0)+1*(AND(ISNUMBER($H683),$H683&gt;45))+3*(AND(ISNUMBER($P683),$P683&lt;=TODAY()))-6*($S683="Yes")+(750-ROW())/100000)</f>
        <v/>
      </c>
      <c r="W683" s="47">
        <f>IF(OR($A683="",NOT(ISNUMBER($P683))),"",INT($P683-TODAY()))</f>
        <v/>
      </c>
      <c r="X683" s="47" t="n"/>
    </row>
    <row r="684">
      <c r="A684" s="50" t="n"/>
      <c r="B684" s="47" t="n"/>
      <c r="C684" s="47" t="n"/>
      <c r="D684" s="50" t="n"/>
      <c r="E684" s="50" t="n"/>
      <c r="F684" s="48" t="n"/>
      <c r="G684" s="47" t="n"/>
      <c r="H684" s="47" t="n"/>
      <c r="I684" s="47" t="n"/>
      <c r="J684" s="47" t="n"/>
      <c r="K684" s="47" t="n"/>
      <c r="L684" s="47" t="n"/>
      <c r="M684" s="50" t="n"/>
      <c r="N684" s="50" t="n"/>
      <c r="O684" s="50" t="n"/>
      <c r="P684" s="48">
        <f>IF($F684="","",IF($J684="Yes",$F684+1,IF($G684="No",$F684+2,IF(N($I684)&gt;2,$F684+3,IF(N($I684)&gt;0,$F684+5,$F684+7)))))</f>
        <v/>
      </c>
      <c r="Q684" s="48">
        <f>IF($P684="","",IF($J684="Yes",$P684+3,IF($G684="No",$P684+5,IF(N($I684)&gt;0,$P684+7,$P684+14))))</f>
        <v/>
      </c>
      <c r="R684" s="48">
        <f>IF($Q684="","",IF($J684="Yes",$Q684+7,IF($G684="No",$Q684+14,$Q684+30)))</f>
        <v/>
      </c>
      <c r="S684" s="47" t="n"/>
      <c r="T684" s="50" t="n"/>
      <c r="U684" s="47">
        <f>IF($F684="","",MIN(24,MAX(1,ROUNDUP(($F684-DayPlan!$C$2+1)/7,0))))</f>
        <v/>
      </c>
      <c r="V684" s="47">
        <f>IF($A684=""," ",4*($J684="Yes")+3*($G684="No")+2*(N($I684)&gt;0)+1*(AND(ISNUMBER($H684),$H684&gt;45))+3*(AND(ISNUMBER($P684),$P684&lt;=TODAY()))-6*($S684="Yes")+(750-ROW())/100000)</f>
        <v/>
      </c>
      <c r="W684" s="47">
        <f>IF(OR($A684="",NOT(ISNUMBER($P684))),"",INT($P684-TODAY()))</f>
        <v/>
      </c>
      <c r="X684" s="47" t="n"/>
    </row>
    <row r="685">
      <c r="A685" s="50" t="n"/>
      <c r="B685" s="47" t="n"/>
      <c r="C685" s="47" t="n"/>
      <c r="D685" s="50" t="n"/>
      <c r="E685" s="50" t="n"/>
      <c r="F685" s="48" t="n"/>
      <c r="G685" s="47" t="n"/>
      <c r="H685" s="47" t="n"/>
      <c r="I685" s="47" t="n"/>
      <c r="J685" s="47" t="n"/>
      <c r="K685" s="47" t="n"/>
      <c r="L685" s="47" t="n"/>
      <c r="M685" s="50" t="n"/>
      <c r="N685" s="50" t="n"/>
      <c r="O685" s="50" t="n"/>
      <c r="P685" s="48">
        <f>IF($F685="","",IF($J685="Yes",$F685+1,IF($G685="No",$F685+2,IF(N($I685)&gt;2,$F685+3,IF(N($I685)&gt;0,$F685+5,$F685+7)))))</f>
        <v/>
      </c>
      <c r="Q685" s="48">
        <f>IF($P685="","",IF($J685="Yes",$P685+3,IF($G685="No",$P685+5,IF(N($I685)&gt;0,$P685+7,$P685+14))))</f>
        <v/>
      </c>
      <c r="R685" s="48">
        <f>IF($Q685="","",IF($J685="Yes",$Q685+7,IF($G685="No",$Q685+14,$Q685+30)))</f>
        <v/>
      </c>
      <c r="S685" s="47" t="n"/>
      <c r="T685" s="50" t="n"/>
      <c r="U685" s="47">
        <f>IF($F685="","",MIN(24,MAX(1,ROUNDUP(($F685-DayPlan!$C$2+1)/7,0))))</f>
        <v/>
      </c>
      <c r="V685" s="47">
        <f>IF($A685=""," ",4*($J685="Yes")+3*($G685="No")+2*(N($I685)&gt;0)+1*(AND(ISNUMBER($H685),$H685&gt;45))+3*(AND(ISNUMBER($P685),$P685&lt;=TODAY()))-6*($S685="Yes")+(750-ROW())/100000)</f>
        <v/>
      </c>
      <c r="W685" s="47">
        <f>IF(OR($A685="",NOT(ISNUMBER($P685))),"",INT($P685-TODAY()))</f>
        <v/>
      </c>
      <c r="X685" s="47" t="n"/>
    </row>
    <row r="686">
      <c r="A686" s="50" t="n"/>
      <c r="B686" s="47" t="n"/>
      <c r="C686" s="47" t="n"/>
      <c r="D686" s="50" t="n"/>
      <c r="E686" s="50" t="n"/>
      <c r="F686" s="48" t="n"/>
      <c r="G686" s="47" t="n"/>
      <c r="H686" s="47" t="n"/>
      <c r="I686" s="47" t="n"/>
      <c r="J686" s="47" t="n"/>
      <c r="K686" s="47" t="n"/>
      <c r="L686" s="47" t="n"/>
      <c r="M686" s="50" t="n"/>
      <c r="N686" s="50" t="n"/>
      <c r="O686" s="50" t="n"/>
      <c r="P686" s="48">
        <f>IF($F686="","",IF($J686="Yes",$F686+1,IF($G686="No",$F686+2,IF(N($I686)&gt;2,$F686+3,IF(N($I686)&gt;0,$F686+5,$F686+7)))))</f>
        <v/>
      </c>
      <c r="Q686" s="48">
        <f>IF($P686="","",IF($J686="Yes",$P686+3,IF($G686="No",$P686+5,IF(N($I686)&gt;0,$P686+7,$P686+14))))</f>
        <v/>
      </c>
      <c r="R686" s="48">
        <f>IF($Q686="","",IF($J686="Yes",$Q686+7,IF($G686="No",$Q686+14,$Q686+30)))</f>
        <v/>
      </c>
      <c r="S686" s="47" t="n"/>
      <c r="T686" s="50" t="n"/>
      <c r="U686" s="47">
        <f>IF($F686="","",MIN(24,MAX(1,ROUNDUP(($F686-DayPlan!$C$2+1)/7,0))))</f>
        <v/>
      </c>
      <c r="V686" s="47">
        <f>IF($A686=""," ",4*($J686="Yes")+3*($G686="No")+2*(N($I686)&gt;0)+1*(AND(ISNUMBER($H686),$H686&gt;45))+3*(AND(ISNUMBER($P686),$P686&lt;=TODAY()))-6*($S686="Yes")+(750-ROW())/100000)</f>
        <v/>
      </c>
      <c r="W686" s="47">
        <f>IF(OR($A686="",NOT(ISNUMBER($P686))),"",INT($P686-TODAY()))</f>
        <v/>
      </c>
      <c r="X686" s="47" t="n"/>
    </row>
    <row r="687">
      <c r="A687" s="50" t="n"/>
      <c r="B687" s="47" t="n"/>
      <c r="C687" s="47" t="n"/>
      <c r="D687" s="50" t="n"/>
      <c r="E687" s="50" t="n"/>
      <c r="F687" s="48" t="n"/>
      <c r="G687" s="47" t="n"/>
      <c r="H687" s="47" t="n"/>
      <c r="I687" s="47" t="n"/>
      <c r="J687" s="47" t="n"/>
      <c r="K687" s="47" t="n"/>
      <c r="L687" s="47" t="n"/>
      <c r="M687" s="50" t="n"/>
      <c r="N687" s="50" t="n"/>
      <c r="O687" s="50" t="n"/>
      <c r="P687" s="48">
        <f>IF($F687="","",IF($J687="Yes",$F687+1,IF($G687="No",$F687+2,IF(N($I687)&gt;2,$F687+3,IF(N($I687)&gt;0,$F687+5,$F687+7)))))</f>
        <v/>
      </c>
      <c r="Q687" s="48">
        <f>IF($P687="","",IF($J687="Yes",$P687+3,IF($G687="No",$P687+5,IF(N($I687)&gt;0,$P687+7,$P687+14))))</f>
        <v/>
      </c>
      <c r="R687" s="48">
        <f>IF($Q687="","",IF($J687="Yes",$Q687+7,IF($G687="No",$Q687+14,$Q687+30)))</f>
        <v/>
      </c>
      <c r="S687" s="47" t="n"/>
      <c r="T687" s="50" t="n"/>
      <c r="U687" s="47">
        <f>IF($F687="","",MIN(24,MAX(1,ROUNDUP(($F687-DayPlan!$C$2+1)/7,0))))</f>
        <v/>
      </c>
      <c r="V687" s="47">
        <f>IF($A687=""," ",4*($J687="Yes")+3*($G687="No")+2*(N($I687)&gt;0)+1*(AND(ISNUMBER($H687),$H687&gt;45))+3*(AND(ISNUMBER($P687),$P687&lt;=TODAY()))-6*($S687="Yes")+(750-ROW())/100000)</f>
        <v/>
      </c>
      <c r="W687" s="47">
        <f>IF(OR($A687="",NOT(ISNUMBER($P687))),"",INT($P687-TODAY()))</f>
        <v/>
      </c>
      <c r="X687" s="47" t="n"/>
    </row>
    <row r="688">
      <c r="A688" s="50" t="n"/>
      <c r="B688" s="47" t="n"/>
      <c r="C688" s="47" t="n"/>
      <c r="D688" s="50" t="n"/>
      <c r="E688" s="50" t="n"/>
      <c r="F688" s="48" t="n"/>
      <c r="G688" s="47" t="n"/>
      <c r="H688" s="47" t="n"/>
      <c r="I688" s="47" t="n"/>
      <c r="J688" s="47" t="n"/>
      <c r="K688" s="47" t="n"/>
      <c r="L688" s="47" t="n"/>
      <c r="M688" s="50" t="n"/>
      <c r="N688" s="50" t="n"/>
      <c r="O688" s="50" t="n"/>
      <c r="P688" s="48">
        <f>IF($F688="","",IF($J688="Yes",$F688+1,IF($G688="No",$F688+2,IF(N($I688)&gt;2,$F688+3,IF(N($I688)&gt;0,$F688+5,$F688+7)))))</f>
        <v/>
      </c>
      <c r="Q688" s="48">
        <f>IF($P688="","",IF($J688="Yes",$P688+3,IF($G688="No",$P688+5,IF(N($I688)&gt;0,$P688+7,$P688+14))))</f>
        <v/>
      </c>
      <c r="R688" s="48">
        <f>IF($Q688="","",IF($J688="Yes",$Q688+7,IF($G688="No",$Q688+14,$Q688+30)))</f>
        <v/>
      </c>
      <c r="S688" s="47" t="n"/>
      <c r="T688" s="50" t="n"/>
      <c r="U688" s="47">
        <f>IF($F688="","",MIN(24,MAX(1,ROUNDUP(($F688-DayPlan!$C$2+1)/7,0))))</f>
        <v/>
      </c>
      <c r="V688" s="47">
        <f>IF($A688=""," ",4*($J688="Yes")+3*($G688="No")+2*(N($I688)&gt;0)+1*(AND(ISNUMBER($H688),$H688&gt;45))+3*(AND(ISNUMBER($P688),$P688&lt;=TODAY()))-6*($S688="Yes")+(750-ROW())/100000)</f>
        <v/>
      </c>
      <c r="W688" s="47">
        <f>IF(OR($A688="",NOT(ISNUMBER($P688))),"",INT($P688-TODAY()))</f>
        <v/>
      </c>
      <c r="X688" s="47" t="n"/>
    </row>
    <row r="689">
      <c r="A689" s="50" t="n"/>
      <c r="B689" s="47" t="n"/>
      <c r="C689" s="47" t="n"/>
      <c r="D689" s="50" t="n"/>
      <c r="E689" s="50" t="n"/>
      <c r="F689" s="48" t="n"/>
      <c r="G689" s="47" t="n"/>
      <c r="H689" s="47" t="n"/>
      <c r="I689" s="47" t="n"/>
      <c r="J689" s="47" t="n"/>
      <c r="K689" s="47" t="n"/>
      <c r="L689" s="47" t="n"/>
      <c r="M689" s="50" t="n"/>
      <c r="N689" s="50" t="n"/>
      <c r="O689" s="50" t="n"/>
      <c r="P689" s="48">
        <f>IF($F689="","",IF($J689="Yes",$F689+1,IF($G689="No",$F689+2,IF(N($I689)&gt;2,$F689+3,IF(N($I689)&gt;0,$F689+5,$F689+7)))))</f>
        <v/>
      </c>
      <c r="Q689" s="48">
        <f>IF($P689="","",IF($J689="Yes",$P689+3,IF($G689="No",$P689+5,IF(N($I689)&gt;0,$P689+7,$P689+14))))</f>
        <v/>
      </c>
      <c r="R689" s="48">
        <f>IF($Q689="","",IF($J689="Yes",$Q689+7,IF($G689="No",$Q689+14,$Q689+30)))</f>
        <v/>
      </c>
      <c r="S689" s="47" t="n"/>
      <c r="T689" s="50" t="n"/>
      <c r="U689" s="47">
        <f>IF($F689="","",MIN(24,MAX(1,ROUNDUP(($F689-DayPlan!$C$2+1)/7,0))))</f>
        <v/>
      </c>
      <c r="V689" s="47">
        <f>IF($A689=""," ",4*($J689="Yes")+3*($G689="No")+2*(N($I689)&gt;0)+1*(AND(ISNUMBER($H689),$H689&gt;45))+3*(AND(ISNUMBER($P689),$P689&lt;=TODAY()))-6*($S689="Yes")+(750-ROW())/100000)</f>
        <v/>
      </c>
      <c r="W689" s="47">
        <f>IF(OR($A689="",NOT(ISNUMBER($P689))),"",INT($P689-TODAY()))</f>
        <v/>
      </c>
      <c r="X689" s="47" t="n"/>
    </row>
    <row r="690">
      <c r="A690" s="50" t="n"/>
      <c r="B690" s="47" t="n"/>
      <c r="C690" s="47" t="n"/>
      <c r="D690" s="50" t="n"/>
      <c r="E690" s="50" t="n"/>
      <c r="F690" s="48" t="n"/>
      <c r="G690" s="47" t="n"/>
      <c r="H690" s="47" t="n"/>
      <c r="I690" s="47" t="n"/>
      <c r="J690" s="47" t="n"/>
      <c r="K690" s="47" t="n"/>
      <c r="L690" s="47" t="n"/>
      <c r="M690" s="50" t="n"/>
      <c r="N690" s="50" t="n"/>
      <c r="O690" s="50" t="n"/>
      <c r="P690" s="48">
        <f>IF($F690="","",IF($J690="Yes",$F690+1,IF($G690="No",$F690+2,IF(N($I690)&gt;2,$F690+3,IF(N($I690)&gt;0,$F690+5,$F690+7)))))</f>
        <v/>
      </c>
      <c r="Q690" s="48">
        <f>IF($P690="","",IF($J690="Yes",$P690+3,IF($G690="No",$P690+5,IF(N($I690)&gt;0,$P690+7,$P690+14))))</f>
        <v/>
      </c>
      <c r="R690" s="48">
        <f>IF($Q690="","",IF($J690="Yes",$Q690+7,IF($G690="No",$Q690+14,$Q690+30)))</f>
        <v/>
      </c>
      <c r="S690" s="47" t="n"/>
      <c r="T690" s="50" t="n"/>
      <c r="U690" s="47">
        <f>IF($F690="","",MIN(24,MAX(1,ROUNDUP(($F690-DayPlan!$C$2+1)/7,0))))</f>
        <v/>
      </c>
      <c r="V690" s="47">
        <f>IF($A690=""," ",4*($J690="Yes")+3*($G690="No")+2*(N($I690)&gt;0)+1*(AND(ISNUMBER($H690),$H690&gt;45))+3*(AND(ISNUMBER($P690),$P690&lt;=TODAY()))-6*($S690="Yes")+(750-ROW())/100000)</f>
        <v/>
      </c>
      <c r="W690" s="47">
        <f>IF(OR($A690="",NOT(ISNUMBER($P690))),"",INT($P690-TODAY()))</f>
        <v/>
      </c>
      <c r="X690" s="47" t="n"/>
    </row>
    <row r="691">
      <c r="A691" s="50" t="n"/>
      <c r="B691" s="47" t="n"/>
      <c r="C691" s="47" t="n"/>
      <c r="D691" s="50" t="n"/>
      <c r="E691" s="50" t="n"/>
      <c r="F691" s="48" t="n"/>
      <c r="G691" s="47" t="n"/>
      <c r="H691" s="47" t="n"/>
      <c r="I691" s="47" t="n"/>
      <c r="J691" s="47" t="n"/>
      <c r="K691" s="47" t="n"/>
      <c r="L691" s="47" t="n"/>
      <c r="M691" s="50" t="n"/>
      <c r="N691" s="50" t="n"/>
      <c r="O691" s="50" t="n"/>
      <c r="P691" s="48">
        <f>IF($F691="","",IF($J691="Yes",$F691+1,IF($G691="No",$F691+2,IF(N($I691)&gt;2,$F691+3,IF(N($I691)&gt;0,$F691+5,$F691+7)))))</f>
        <v/>
      </c>
      <c r="Q691" s="48">
        <f>IF($P691="","",IF($J691="Yes",$P691+3,IF($G691="No",$P691+5,IF(N($I691)&gt;0,$P691+7,$P691+14))))</f>
        <v/>
      </c>
      <c r="R691" s="48">
        <f>IF($Q691="","",IF($J691="Yes",$Q691+7,IF($G691="No",$Q691+14,$Q691+30)))</f>
        <v/>
      </c>
      <c r="S691" s="47" t="n"/>
      <c r="T691" s="50" t="n"/>
      <c r="U691" s="47">
        <f>IF($F691="","",MIN(24,MAX(1,ROUNDUP(($F691-DayPlan!$C$2+1)/7,0))))</f>
        <v/>
      </c>
      <c r="V691" s="47">
        <f>IF($A691=""," ",4*($J691="Yes")+3*($G691="No")+2*(N($I691)&gt;0)+1*(AND(ISNUMBER($H691),$H691&gt;45))+3*(AND(ISNUMBER($P691),$P691&lt;=TODAY()))-6*($S691="Yes")+(750-ROW())/100000)</f>
        <v/>
      </c>
      <c r="W691" s="47">
        <f>IF(OR($A691="",NOT(ISNUMBER($P691))),"",INT($P691-TODAY()))</f>
        <v/>
      </c>
      <c r="X691" s="47" t="n"/>
    </row>
    <row r="692">
      <c r="A692" s="50" t="n"/>
      <c r="B692" s="47" t="n"/>
      <c r="C692" s="47" t="n"/>
      <c r="D692" s="50" t="n"/>
      <c r="E692" s="50" t="n"/>
      <c r="F692" s="48" t="n"/>
      <c r="G692" s="47" t="n"/>
      <c r="H692" s="47" t="n"/>
      <c r="I692" s="47" t="n"/>
      <c r="J692" s="47" t="n"/>
      <c r="K692" s="47" t="n"/>
      <c r="L692" s="47" t="n"/>
      <c r="M692" s="50" t="n"/>
      <c r="N692" s="50" t="n"/>
      <c r="O692" s="50" t="n"/>
      <c r="P692" s="48">
        <f>IF($F692="","",IF($J692="Yes",$F692+1,IF($G692="No",$F692+2,IF(N($I692)&gt;2,$F692+3,IF(N($I692)&gt;0,$F692+5,$F692+7)))))</f>
        <v/>
      </c>
      <c r="Q692" s="48">
        <f>IF($P692="","",IF($J692="Yes",$P692+3,IF($G692="No",$P692+5,IF(N($I692)&gt;0,$P692+7,$P692+14))))</f>
        <v/>
      </c>
      <c r="R692" s="48">
        <f>IF($Q692="","",IF($J692="Yes",$Q692+7,IF($G692="No",$Q692+14,$Q692+30)))</f>
        <v/>
      </c>
      <c r="S692" s="47" t="n"/>
      <c r="T692" s="50" t="n"/>
      <c r="U692" s="47">
        <f>IF($F692="","",MIN(24,MAX(1,ROUNDUP(($F692-DayPlan!$C$2+1)/7,0))))</f>
        <v/>
      </c>
      <c r="V692" s="47">
        <f>IF($A692=""," ",4*($J692="Yes")+3*($G692="No")+2*(N($I692)&gt;0)+1*(AND(ISNUMBER($H692),$H692&gt;45))+3*(AND(ISNUMBER($P692),$P692&lt;=TODAY()))-6*($S692="Yes")+(750-ROW())/100000)</f>
        <v/>
      </c>
      <c r="W692" s="47">
        <f>IF(OR($A692="",NOT(ISNUMBER($P692))),"",INT($P692-TODAY()))</f>
        <v/>
      </c>
      <c r="X692" s="47" t="n"/>
    </row>
    <row r="693">
      <c r="A693" s="50" t="n"/>
      <c r="B693" s="47" t="n"/>
      <c r="C693" s="47" t="n"/>
      <c r="D693" s="50" t="n"/>
      <c r="E693" s="50" t="n"/>
      <c r="F693" s="48" t="n"/>
      <c r="G693" s="47" t="n"/>
      <c r="H693" s="47" t="n"/>
      <c r="I693" s="47" t="n"/>
      <c r="J693" s="47" t="n"/>
      <c r="K693" s="47" t="n"/>
      <c r="L693" s="47" t="n"/>
      <c r="M693" s="50" t="n"/>
      <c r="N693" s="50" t="n"/>
      <c r="O693" s="50" t="n"/>
      <c r="P693" s="48">
        <f>IF($F693="","",IF($J693="Yes",$F693+1,IF($G693="No",$F693+2,IF(N($I693)&gt;2,$F693+3,IF(N($I693)&gt;0,$F693+5,$F693+7)))))</f>
        <v/>
      </c>
      <c r="Q693" s="48">
        <f>IF($P693="","",IF($J693="Yes",$P693+3,IF($G693="No",$P693+5,IF(N($I693)&gt;0,$P693+7,$P693+14))))</f>
        <v/>
      </c>
      <c r="R693" s="48">
        <f>IF($Q693="","",IF($J693="Yes",$Q693+7,IF($G693="No",$Q693+14,$Q693+30)))</f>
        <v/>
      </c>
      <c r="S693" s="47" t="n"/>
      <c r="T693" s="50" t="n"/>
      <c r="U693" s="47">
        <f>IF($F693="","",MIN(24,MAX(1,ROUNDUP(($F693-DayPlan!$C$2+1)/7,0))))</f>
        <v/>
      </c>
      <c r="V693" s="47">
        <f>IF($A693=""," ",4*($J693="Yes")+3*($G693="No")+2*(N($I693)&gt;0)+1*(AND(ISNUMBER($H693),$H693&gt;45))+3*(AND(ISNUMBER($P693),$P693&lt;=TODAY()))-6*($S693="Yes")+(750-ROW())/100000)</f>
        <v/>
      </c>
      <c r="W693" s="47">
        <f>IF(OR($A693="",NOT(ISNUMBER($P693))),"",INT($P693-TODAY()))</f>
        <v/>
      </c>
      <c r="X693" s="47" t="n"/>
    </row>
    <row r="694">
      <c r="A694" s="50" t="n"/>
      <c r="B694" s="47" t="n"/>
      <c r="C694" s="47" t="n"/>
      <c r="D694" s="50" t="n"/>
      <c r="E694" s="50" t="n"/>
      <c r="F694" s="48" t="n"/>
      <c r="G694" s="47" t="n"/>
      <c r="H694" s="47" t="n"/>
      <c r="I694" s="47" t="n"/>
      <c r="J694" s="47" t="n"/>
      <c r="K694" s="47" t="n"/>
      <c r="L694" s="47" t="n"/>
      <c r="M694" s="50" t="n"/>
      <c r="N694" s="50" t="n"/>
      <c r="O694" s="50" t="n"/>
      <c r="P694" s="48">
        <f>IF($F694="","",IF($J694="Yes",$F694+1,IF($G694="No",$F694+2,IF(N($I694)&gt;2,$F694+3,IF(N($I694)&gt;0,$F694+5,$F694+7)))))</f>
        <v/>
      </c>
      <c r="Q694" s="48">
        <f>IF($P694="","",IF($J694="Yes",$P694+3,IF($G694="No",$P694+5,IF(N($I694)&gt;0,$P694+7,$P694+14))))</f>
        <v/>
      </c>
      <c r="R694" s="48">
        <f>IF($Q694="","",IF($J694="Yes",$Q694+7,IF($G694="No",$Q694+14,$Q694+30)))</f>
        <v/>
      </c>
      <c r="S694" s="47" t="n"/>
      <c r="T694" s="50" t="n"/>
      <c r="U694" s="47">
        <f>IF($F694="","",MIN(24,MAX(1,ROUNDUP(($F694-DayPlan!$C$2+1)/7,0))))</f>
        <v/>
      </c>
      <c r="V694" s="47">
        <f>IF($A694=""," ",4*($J694="Yes")+3*($G694="No")+2*(N($I694)&gt;0)+1*(AND(ISNUMBER($H694),$H694&gt;45))+3*(AND(ISNUMBER($P694),$P694&lt;=TODAY()))-6*($S694="Yes")+(750-ROW())/100000)</f>
        <v/>
      </c>
      <c r="W694" s="47">
        <f>IF(OR($A694="",NOT(ISNUMBER($P694))),"",INT($P694-TODAY()))</f>
        <v/>
      </c>
      <c r="X694" s="47" t="n"/>
    </row>
    <row r="695">
      <c r="A695" s="50" t="n"/>
      <c r="B695" s="47" t="n"/>
      <c r="C695" s="47" t="n"/>
      <c r="D695" s="50" t="n"/>
      <c r="E695" s="50" t="n"/>
      <c r="F695" s="48" t="n"/>
      <c r="G695" s="47" t="n"/>
      <c r="H695" s="47" t="n"/>
      <c r="I695" s="47" t="n"/>
      <c r="J695" s="47" t="n"/>
      <c r="K695" s="47" t="n"/>
      <c r="L695" s="47" t="n"/>
      <c r="M695" s="50" t="n"/>
      <c r="N695" s="50" t="n"/>
      <c r="O695" s="50" t="n"/>
      <c r="P695" s="48">
        <f>IF($F695="","",IF($J695="Yes",$F695+1,IF($G695="No",$F695+2,IF(N($I695)&gt;2,$F695+3,IF(N($I695)&gt;0,$F695+5,$F695+7)))))</f>
        <v/>
      </c>
      <c r="Q695" s="48">
        <f>IF($P695="","",IF($J695="Yes",$P695+3,IF($G695="No",$P695+5,IF(N($I695)&gt;0,$P695+7,$P695+14))))</f>
        <v/>
      </c>
      <c r="R695" s="48">
        <f>IF($Q695="","",IF($J695="Yes",$Q695+7,IF($G695="No",$Q695+14,$Q695+30)))</f>
        <v/>
      </c>
      <c r="S695" s="47" t="n"/>
      <c r="T695" s="50" t="n"/>
      <c r="U695" s="47">
        <f>IF($F695="","",MIN(24,MAX(1,ROUNDUP(($F695-DayPlan!$C$2+1)/7,0))))</f>
        <v/>
      </c>
      <c r="V695" s="47">
        <f>IF($A695=""," ",4*($J695="Yes")+3*($G695="No")+2*(N($I695)&gt;0)+1*(AND(ISNUMBER($H695),$H695&gt;45))+3*(AND(ISNUMBER($P695),$P695&lt;=TODAY()))-6*($S695="Yes")+(750-ROW())/100000)</f>
        <v/>
      </c>
      <c r="W695" s="47">
        <f>IF(OR($A695="",NOT(ISNUMBER($P695))),"",INT($P695-TODAY()))</f>
        <v/>
      </c>
      <c r="X695" s="47" t="n"/>
    </row>
    <row r="696">
      <c r="A696" s="50" t="n"/>
      <c r="B696" s="47" t="n"/>
      <c r="C696" s="47" t="n"/>
      <c r="D696" s="50" t="n"/>
      <c r="E696" s="50" t="n"/>
      <c r="F696" s="48" t="n"/>
      <c r="G696" s="47" t="n"/>
      <c r="H696" s="47" t="n"/>
      <c r="I696" s="47" t="n"/>
      <c r="J696" s="47" t="n"/>
      <c r="K696" s="47" t="n"/>
      <c r="L696" s="47" t="n"/>
      <c r="M696" s="50" t="n"/>
      <c r="N696" s="50" t="n"/>
      <c r="O696" s="50" t="n"/>
      <c r="P696" s="48">
        <f>IF($F696="","",IF($J696="Yes",$F696+1,IF($G696="No",$F696+2,IF(N($I696)&gt;2,$F696+3,IF(N($I696)&gt;0,$F696+5,$F696+7)))))</f>
        <v/>
      </c>
      <c r="Q696" s="48">
        <f>IF($P696="","",IF($J696="Yes",$P696+3,IF($G696="No",$P696+5,IF(N($I696)&gt;0,$P696+7,$P696+14))))</f>
        <v/>
      </c>
      <c r="R696" s="48">
        <f>IF($Q696="","",IF($J696="Yes",$Q696+7,IF($G696="No",$Q696+14,$Q696+30)))</f>
        <v/>
      </c>
      <c r="S696" s="47" t="n"/>
      <c r="T696" s="50" t="n"/>
      <c r="U696" s="47">
        <f>IF($F696="","",MIN(24,MAX(1,ROUNDUP(($F696-DayPlan!$C$2+1)/7,0))))</f>
        <v/>
      </c>
      <c r="V696" s="47">
        <f>IF($A696=""," ",4*($J696="Yes")+3*($G696="No")+2*(N($I696)&gt;0)+1*(AND(ISNUMBER($H696),$H696&gt;45))+3*(AND(ISNUMBER($P696),$P696&lt;=TODAY()))-6*($S696="Yes")+(750-ROW())/100000)</f>
        <v/>
      </c>
      <c r="W696" s="47">
        <f>IF(OR($A696="",NOT(ISNUMBER($P696))),"",INT($P696-TODAY()))</f>
        <v/>
      </c>
      <c r="X696" s="47" t="n"/>
    </row>
    <row r="697">
      <c r="A697" s="50" t="n"/>
      <c r="B697" s="47" t="n"/>
      <c r="C697" s="47" t="n"/>
      <c r="D697" s="50" t="n"/>
      <c r="E697" s="50" t="n"/>
      <c r="F697" s="48" t="n"/>
      <c r="G697" s="47" t="n"/>
      <c r="H697" s="47" t="n"/>
      <c r="I697" s="47" t="n"/>
      <c r="J697" s="47" t="n"/>
      <c r="K697" s="47" t="n"/>
      <c r="L697" s="47" t="n"/>
      <c r="M697" s="50" t="n"/>
      <c r="N697" s="50" t="n"/>
      <c r="O697" s="50" t="n"/>
      <c r="P697" s="48">
        <f>IF($F697="","",IF($J697="Yes",$F697+1,IF($G697="No",$F697+2,IF(N($I697)&gt;2,$F697+3,IF(N($I697)&gt;0,$F697+5,$F697+7)))))</f>
        <v/>
      </c>
      <c r="Q697" s="48">
        <f>IF($P697="","",IF($J697="Yes",$P697+3,IF($G697="No",$P697+5,IF(N($I697)&gt;0,$P697+7,$P697+14))))</f>
        <v/>
      </c>
      <c r="R697" s="48">
        <f>IF($Q697="","",IF($J697="Yes",$Q697+7,IF($G697="No",$Q697+14,$Q697+30)))</f>
        <v/>
      </c>
      <c r="S697" s="47" t="n"/>
      <c r="T697" s="50" t="n"/>
      <c r="U697" s="47">
        <f>IF($F697="","",MIN(24,MAX(1,ROUNDUP(($F697-DayPlan!$C$2+1)/7,0))))</f>
        <v/>
      </c>
      <c r="V697" s="47">
        <f>IF($A697=""," ",4*($J697="Yes")+3*($G697="No")+2*(N($I697)&gt;0)+1*(AND(ISNUMBER($H697),$H697&gt;45))+3*(AND(ISNUMBER($P697),$P697&lt;=TODAY()))-6*($S697="Yes")+(750-ROW())/100000)</f>
        <v/>
      </c>
      <c r="W697" s="47">
        <f>IF(OR($A697="",NOT(ISNUMBER($P697))),"",INT($P697-TODAY()))</f>
        <v/>
      </c>
      <c r="X697" s="47" t="n"/>
    </row>
    <row r="698">
      <c r="A698" s="50" t="n"/>
      <c r="B698" s="47" t="n"/>
      <c r="C698" s="47" t="n"/>
      <c r="D698" s="50" t="n"/>
      <c r="E698" s="50" t="n"/>
      <c r="F698" s="48" t="n"/>
      <c r="G698" s="47" t="n"/>
      <c r="H698" s="47" t="n"/>
      <c r="I698" s="47" t="n"/>
      <c r="J698" s="47" t="n"/>
      <c r="K698" s="47" t="n"/>
      <c r="L698" s="47" t="n"/>
      <c r="M698" s="50" t="n"/>
      <c r="N698" s="50" t="n"/>
      <c r="O698" s="50" t="n"/>
      <c r="P698" s="48">
        <f>IF($F698="","",IF($J698="Yes",$F698+1,IF($G698="No",$F698+2,IF(N($I698)&gt;2,$F698+3,IF(N($I698)&gt;0,$F698+5,$F698+7)))))</f>
        <v/>
      </c>
      <c r="Q698" s="48">
        <f>IF($P698="","",IF($J698="Yes",$P698+3,IF($G698="No",$P698+5,IF(N($I698)&gt;0,$P698+7,$P698+14))))</f>
        <v/>
      </c>
      <c r="R698" s="48">
        <f>IF($Q698="","",IF($J698="Yes",$Q698+7,IF($G698="No",$Q698+14,$Q698+30)))</f>
        <v/>
      </c>
      <c r="S698" s="47" t="n"/>
      <c r="T698" s="50" t="n"/>
      <c r="U698" s="47">
        <f>IF($F698="","",MIN(24,MAX(1,ROUNDUP(($F698-DayPlan!$C$2+1)/7,0))))</f>
        <v/>
      </c>
      <c r="V698" s="47">
        <f>IF($A698=""," ",4*($J698="Yes")+3*($G698="No")+2*(N($I698)&gt;0)+1*(AND(ISNUMBER($H698),$H698&gt;45))+3*(AND(ISNUMBER($P698),$P698&lt;=TODAY()))-6*($S698="Yes")+(750-ROW())/100000)</f>
        <v/>
      </c>
      <c r="W698" s="47">
        <f>IF(OR($A698="",NOT(ISNUMBER($P698))),"",INT($P698-TODAY()))</f>
        <v/>
      </c>
      <c r="X698" s="47" t="n"/>
    </row>
    <row r="699">
      <c r="A699" s="50" t="n"/>
      <c r="B699" s="47" t="n"/>
      <c r="C699" s="47" t="n"/>
      <c r="D699" s="50" t="n"/>
      <c r="E699" s="50" t="n"/>
      <c r="F699" s="48" t="n"/>
      <c r="G699" s="47" t="n"/>
      <c r="H699" s="47" t="n"/>
      <c r="I699" s="47" t="n"/>
      <c r="J699" s="47" t="n"/>
      <c r="K699" s="47" t="n"/>
      <c r="L699" s="47" t="n"/>
      <c r="M699" s="50" t="n"/>
      <c r="N699" s="50" t="n"/>
      <c r="O699" s="50" t="n"/>
      <c r="P699" s="48">
        <f>IF($F699="","",IF($J699="Yes",$F699+1,IF($G699="No",$F699+2,IF(N($I699)&gt;2,$F699+3,IF(N($I699)&gt;0,$F699+5,$F699+7)))))</f>
        <v/>
      </c>
      <c r="Q699" s="48">
        <f>IF($P699="","",IF($J699="Yes",$P699+3,IF($G699="No",$P699+5,IF(N($I699)&gt;0,$P699+7,$P699+14))))</f>
        <v/>
      </c>
      <c r="R699" s="48">
        <f>IF($Q699="","",IF($J699="Yes",$Q699+7,IF($G699="No",$Q699+14,$Q699+30)))</f>
        <v/>
      </c>
      <c r="S699" s="47" t="n"/>
      <c r="T699" s="50" t="n"/>
      <c r="U699" s="47">
        <f>IF($F699="","",MIN(24,MAX(1,ROUNDUP(($F699-DayPlan!$C$2+1)/7,0))))</f>
        <v/>
      </c>
      <c r="V699" s="47">
        <f>IF($A699=""," ",4*($J699="Yes")+3*($G699="No")+2*(N($I699)&gt;0)+1*(AND(ISNUMBER($H699),$H699&gt;45))+3*(AND(ISNUMBER($P699),$P699&lt;=TODAY()))-6*($S699="Yes")+(750-ROW())/100000)</f>
        <v/>
      </c>
      <c r="W699" s="47">
        <f>IF(OR($A699="",NOT(ISNUMBER($P699))),"",INT($P699-TODAY()))</f>
        <v/>
      </c>
      <c r="X699" s="47" t="n"/>
    </row>
    <row r="700">
      <c r="A700" s="50" t="n"/>
      <c r="B700" s="47" t="n"/>
      <c r="C700" s="47" t="n"/>
      <c r="D700" s="50" t="n"/>
      <c r="E700" s="50" t="n"/>
      <c r="F700" s="48" t="n"/>
      <c r="G700" s="47" t="n"/>
      <c r="H700" s="47" t="n"/>
      <c r="I700" s="47" t="n"/>
      <c r="J700" s="47" t="n"/>
      <c r="K700" s="47" t="n"/>
      <c r="L700" s="47" t="n"/>
      <c r="M700" s="50" t="n"/>
      <c r="N700" s="50" t="n"/>
      <c r="O700" s="50" t="n"/>
      <c r="P700" s="48">
        <f>IF($F700="","",IF($J700="Yes",$F700+1,IF($G700="No",$F700+2,IF(N($I700)&gt;2,$F700+3,IF(N($I700)&gt;0,$F700+5,$F700+7)))))</f>
        <v/>
      </c>
      <c r="Q700" s="48">
        <f>IF($P700="","",IF($J700="Yes",$P700+3,IF($G700="No",$P700+5,IF(N($I700)&gt;0,$P700+7,$P700+14))))</f>
        <v/>
      </c>
      <c r="R700" s="48">
        <f>IF($Q700="","",IF($J700="Yes",$Q700+7,IF($G700="No",$Q700+14,$Q700+30)))</f>
        <v/>
      </c>
      <c r="S700" s="47" t="n"/>
      <c r="T700" s="50" t="n"/>
      <c r="U700" s="47">
        <f>IF($F700="","",MIN(24,MAX(1,ROUNDUP(($F700-DayPlan!$C$2+1)/7,0))))</f>
        <v/>
      </c>
      <c r="V700" s="47">
        <f>IF($A700=""," ",4*($J700="Yes")+3*($G700="No")+2*(N($I700)&gt;0)+1*(AND(ISNUMBER($H700),$H700&gt;45))+3*(AND(ISNUMBER($P700),$P700&lt;=TODAY()))-6*($S700="Yes")+(750-ROW())/100000)</f>
        <v/>
      </c>
      <c r="W700" s="47">
        <f>IF(OR($A700="",NOT(ISNUMBER($P700))),"",INT($P700-TODAY()))</f>
        <v/>
      </c>
      <c r="X700" s="47" t="n"/>
    </row>
    <row r="701">
      <c r="A701" s="50" t="n"/>
      <c r="B701" s="47" t="n"/>
      <c r="C701" s="47" t="n"/>
      <c r="D701" s="50" t="n"/>
      <c r="E701" s="50" t="n"/>
      <c r="F701" s="48" t="n"/>
      <c r="G701" s="47" t="n"/>
      <c r="H701" s="47" t="n"/>
      <c r="I701" s="47" t="n"/>
      <c r="J701" s="47" t="n"/>
      <c r="K701" s="47" t="n"/>
      <c r="L701" s="47" t="n"/>
      <c r="M701" s="50" t="n"/>
      <c r="N701" s="50" t="n"/>
      <c r="O701" s="50" t="n"/>
      <c r="P701" s="48">
        <f>IF($F701="","",IF($J701="Yes",$F701+1,IF($G701="No",$F701+2,IF(N($I701)&gt;2,$F701+3,IF(N($I701)&gt;0,$F701+5,$F701+7)))))</f>
        <v/>
      </c>
      <c r="Q701" s="48">
        <f>IF($P701="","",IF($J701="Yes",$P701+3,IF($G701="No",$P701+5,IF(N($I701)&gt;0,$P701+7,$P701+14))))</f>
        <v/>
      </c>
      <c r="R701" s="48">
        <f>IF($Q701="","",IF($J701="Yes",$Q701+7,IF($G701="No",$Q701+14,$Q701+30)))</f>
        <v/>
      </c>
      <c r="S701" s="47" t="n"/>
      <c r="T701" s="50" t="n"/>
      <c r="U701" s="47">
        <f>IF($F701="","",MIN(24,MAX(1,ROUNDUP(($F701-DayPlan!$C$2+1)/7,0))))</f>
        <v/>
      </c>
      <c r="V701" s="47">
        <f>IF($A701=""," ",4*($J701="Yes")+3*($G701="No")+2*(N($I701)&gt;0)+1*(AND(ISNUMBER($H701),$H701&gt;45))+3*(AND(ISNUMBER($P701),$P701&lt;=TODAY()))-6*($S701="Yes")+(750-ROW())/100000)</f>
        <v/>
      </c>
      <c r="W701" s="47">
        <f>IF(OR($A701="",NOT(ISNUMBER($P701))),"",INT($P701-TODAY()))</f>
        <v/>
      </c>
      <c r="X701" s="47" t="n"/>
    </row>
    <row r="702">
      <c r="A702" s="50" t="n"/>
      <c r="B702" s="47" t="n"/>
      <c r="C702" s="47" t="n"/>
      <c r="D702" s="50" t="n"/>
      <c r="E702" s="50" t="n"/>
      <c r="F702" s="48" t="n"/>
      <c r="G702" s="47" t="n"/>
      <c r="H702" s="47" t="n"/>
      <c r="I702" s="47" t="n"/>
      <c r="J702" s="47" t="n"/>
      <c r="K702" s="47" t="n"/>
      <c r="L702" s="47" t="n"/>
      <c r="M702" s="50" t="n"/>
      <c r="N702" s="50" t="n"/>
      <c r="O702" s="50" t="n"/>
      <c r="P702" s="48">
        <f>IF($F702="","",IF($J702="Yes",$F702+1,IF($G702="No",$F702+2,IF(N($I702)&gt;2,$F702+3,IF(N($I702)&gt;0,$F702+5,$F702+7)))))</f>
        <v/>
      </c>
      <c r="Q702" s="48">
        <f>IF($P702="","",IF($J702="Yes",$P702+3,IF($G702="No",$P702+5,IF(N($I702)&gt;0,$P702+7,$P702+14))))</f>
        <v/>
      </c>
      <c r="R702" s="48">
        <f>IF($Q702="","",IF($J702="Yes",$Q702+7,IF($G702="No",$Q702+14,$Q702+30)))</f>
        <v/>
      </c>
      <c r="S702" s="47" t="n"/>
      <c r="T702" s="50" t="n"/>
      <c r="U702" s="47">
        <f>IF($F702="","",MIN(24,MAX(1,ROUNDUP(($F702-DayPlan!$C$2+1)/7,0))))</f>
        <v/>
      </c>
      <c r="V702" s="47">
        <f>IF($A702=""," ",4*($J702="Yes")+3*($G702="No")+2*(N($I702)&gt;0)+1*(AND(ISNUMBER($H702),$H702&gt;45))+3*(AND(ISNUMBER($P702),$P702&lt;=TODAY()))-6*($S702="Yes")+(750-ROW())/100000)</f>
        <v/>
      </c>
      <c r="W702" s="47">
        <f>IF(OR($A702="",NOT(ISNUMBER($P702))),"",INT($P702-TODAY()))</f>
        <v/>
      </c>
      <c r="X702" s="47" t="n"/>
    </row>
    <row r="703">
      <c r="A703" s="50" t="n"/>
      <c r="B703" s="47" t="n"/>
      <c r="C703" s="47" t="n"/>
      <c r="D703" s="50" t="n"/>
      <c r="E703" s="50" t="n"/>
      <c r="F703" s="48" t="n"/>
      <c r="G703" s="47" t="n"/>
      <c r="H703" s="47" t="n"/>
      <c r="I703" s="47" t="n"/>
      <c r="J703" s="47" t="n"/>
      <c r="K703" s="47" t="n"/>
      <c r="L703" s="47" t="n"/>
      <c r="M703" s="50" t="n"/>
      <c r="N703" s="50" t="n"/>
      <c r="O703" s="50" t="n"/>
      <c r="P703" s="48">
        <f>IF($F703="","",IF($J703="Yes",$F703+1,IF($G703="No",$F703+2,IF(N($I703)&gt;2,$F703+3,IF(N($I703)&gt;0,$F703+5,$F703+7)))))</f>
        <v/>
      </c>
      <c r="Q703" s="48">
        <f>IF($P703="","",IF($J703="Yes",$P703+3,IF($G703="No",$P703+5,IF(N($I703)&gt;0,$P703+7,$P703+14))))</f>
        <v/>
      </c>
      <c r="R703" s="48">
        <f>IF($Q703="","",IF($J703="Yes",$Q703+7,IF($G703="No",$Q703+14,$Q703+30)))</f>
        <v/>
      </c>
      <c r="S703" s="47" t="n"/>
      <c r="T703" s="50" t="n"/>
      <c r="U703" s="47">
        <f>IF($F703="","",MIN(24,MAX(1,ROUNDUP(($F703-DayPlan!$C$2+1)/7,0))))</f>
        <v/>
      </c>
      <c r="V703" s="47">
        <f>IF($A703=""," ",4*($J703="Yes")+3*($G703="No")+2*(N($I703)&gt;0)+1*(AND(ISNUMBER($H703),$H703&gt;45))+3*(AND(ISNUMBER($P703),$P703&lt;=TODAY()))-6*($S703="Yes")+(750-ROW())/100000)</f>
        <v/>
      </c>
      <c r="W703" s="47">
        <f>IF(OR($A703="",NOT(ISNUMBER($P703))),"",INT($P703-TODAY()))</f>
        <v/>
      </c>
      <c r="X703" s="47" t="n"/>
    </row>
    <row r="704">
      <c r="A704" s="50" t="n"/>
      <c r="B704" s="47" t="n"/>
      <c r="C704" s="47" t="n"/>
      <c r="D704" s="50" t="n"/>
      <c r="E704" s="50" t="n"/>
      <c r="F704" s="48" t="n"/>
      <c r="G704" s="47" t="n"/>
      <c r="H704" s="47" t="n"/>
      <c r="I704" s="47" t="n"/>
      <c r="J704" s="47" t="n"/>
      <c r="K704" s="47" t="n"/>
      <c r="L704" s="47" t="n"/>
      <c r="M704" s="50" t="n"/>
      <c r="N704" s="50" t="n"/>
      <c r="O704" s="50" t="n"/>
      <c r="P704" s="48">
        <f>IF($F704="","",IF($J704="Yes",$F704+1,IF($G704="No",$F704+2,IF(N($I704)&gt;2,$F704+3,IF(N($I704)&gt;0,$F704+5,$F704+7)))))</f>
        <v/>
      </c>
      <c r="Q704" s="48">
        <f>IF($P704="","",IF($J704="Yes",$P704+3,IF($G704="No",$P704+5,IF(N($I704)&gt;0,$P704+7,$P704+14))))</f>
        <v/>
      </c>
      <c r="R704" s="48">
        <f>IF($Q704="","",IF($J704="Yes",$Q704+7,IF($G704="No",$Q704+14,$Q704+30)))</f>
        <v/>
      </c>
      <c r="S704" s="47" t="n"/>
      <c r="T704" s="50" t="n"/>
      <c r="U704" s="47">
        <f>IF($F704="","",MIN(24,MAX(1,ROUNDUP(($F704-DayPlan!$C$2+1)/7,0))))</f>
        <v/>
      </c>
      <c r="V704" s="47">
        <f>IF($A704=""," ",4*($J704="Yes")+3*($G704="No")+2*(N($I704)&gt;0)+1*(AND(ISNUMBER($H704),$H704&gt;45))+3*(AND(ISNUMBER($P704),$P704&lt;=TODAY()))-6*($S704="Yes")+(750-ROW())/100000)</f>
        <v/>
      </c>
      <c r="W704" s="47">
        <f>IF(OR($A704="",NOT(ISNUMBER($P704))),"",INT($P704-TODAY()))</f>
        <v/>
      </c>
      <c r="X704" s="47" t="n"/>
    </row>
    <row r="705">
      <c r="A705" s="50" t="n"/>
      <c r="B705" s="47" t="n"/>
      <c r="C705" s="47" t="n"/>
      <c r="D705" s="50" t="n"/>
      <c r="E705" s="50" t="n"/>
      <c r="F705" s="48" t="n"/>
      <c r="G705" s="47" t="n"/>
      <c r="H705" s="47" t="n"/>
      <c r="I705" s="47" t="n"/>
      <c r="J705" s="47" t="n"/>
      <c r="K705" s="47" t="n"/>
      <c r="L705" s="47" t="n"/>
      <c r="M705" s="50" t="n"/>
      <c r="N705" s="50" t="n"/>
      <c r="O705" s="50" t="n"/>
      <c r="P705" s="48">
        <f>IF($F705="","",IF($J705="Yes",$F705+1,IF($G705="No",$F705+2,IF(N($I705)&gt;2,$F705+3,IF(N($I705)&gt;0,$F705+5,$F705+7)))))</f>
        <v/>
      </c>
      <c r="Q705" s="48">
        <f>IF($P705="","",IF($J705="Yes",$P705+3,IF($G705="No",$P705+5,IF(N($I705)&gt;0,$P705+7,$P705+14))))</f>
        <v/>
      </c>
      <c r="R705" s="48">
        <f>IF($Q705="","",IF($J705="Yes",$Q705+7,IF($G705="No",$Q705+14,$Q705+30)))</f>
        <v/>
      </c>
      <c r="S705" s="47" t="n"/>
      <c r="T705" s="50" t="n"/>
      <c r="U705" s="47">
        <f>IF($F705="","",MIN(24,MAX(1,ROUNDUP(($F705-DayPlan!$C$2+1)/7,0))))</f>
        <v/>
      </c>
      <c r="V705" s="47">
        <f>IF($A705=""," ",4*($J705="Yes")+3*($G705="No")+2*(N($I705)&gt;0)+1*(AND(ISNUMBER($H705),$H705&gt;45))+3*(AND(ISNUMBER($P705),$P705&lt;=TODAY()))-6*($S705="Yes")+(750-ROW())/100000)</f>
        <v/>
      </c>
      <c r="W705" s="47">
        <f>IF(OR($A705="",NOT(ISNUMBER($P705))),"",INT($P705-TODAY()))</f>
        <v/>
      </c>
      <c r="X705" s="47" t="n"/>
    </row>
    <row r="706">
      <c r="A706" s="50" t="n"/>
      <c r="B706" s="47" t="n"/>
      <c r="C706" s="47" t="n"/>
      <c r="D706" s="50" t="n"/>
      <c r="E706" s="50" t="n"/>
      <c r="F706" s="48" t="n"/>
      <c r="G706" s="47" t="n"/>
      <c r="H706" s="47" t="n"/>
      <c r="I706" s="47" t="n"/>
      <c r="J706" s="47" t="n"/>
      <c r="K706" s="47" t="n"/>
      <c r="L706" s="47" t="n"/>
      <c r="M706" s="50" t="n"/>
      <c r="N706" s="50" t="n"/>
      <c r="O706" s="50" t="n"/>
      <c r="P706" s="48">
        <f>IF($F706="","",IF($J706="Yes",$F706+1,IF($G706="No",$F706+2,IF(N($I706)&gt;2,$F706+3,IF(N($I706)&gt;0,$F706+5,$F706+7)))))</f>
        <v/>
      </c>
      <c r="Q706" s="48">
        <f>IF($P706="","",IF($J706="Yes",$P706+3,IF($G706="No",$P706+5,IF(N($I706)&gt;0,$P706+7,$P706+14))))</f>
        <v/>
      </c>
      <c r="R706" s="48">
        <f>IF($Q706="","",IF($J706="Yes",$Q706+7,IF($G706="No",$Q706+14,$Q706+30)))</f>
        <v/>
      </c>
      <c r="S706" s="47" t="n"/>
      <c r="T706" s="50" t="n"/>
      <c r="U706" s="47">
        <f>IF($F706="","",MIN(24,MAX(1,ROUNDUP(($F706-DayPlan!$C$2+1)/7,0))))</f>
        <v/>
      </c>
      <c r="V706" s="47">
        <f>IF($A706=""," ",4*($J706="Yes")+3*($G706="No")+2*(N($I706)&gt;0)+1*(AND(ISNUMBER($H706),$H706&gt;45))+3*(AND(ISNUMBER($P706),$P706&lt;=TODAY()))-6*($S706="Yes")+(750-ROW())/100000)</f>
        <v/>
      </c>
      <c r="W706" s="47">
        <f>IF(OR($A706="",NOT(ISNUMBER($P706))),"",INT($P706-TODAY()))</f>
        <v/>
      </c>
      <c r="X706" s="47" t="n"/>
    </row>
    <row r="707">
      <c r="A707" s="50" t="n"/>
      <c r="B707" s="47" t="n"/>
      <c r="C707" s="47" t="n"/>
      <c r="D707" s="50" t="n"/>
      <c r="E707" s="50" t="n"/>
      <c r="F707" s="48" t="n"/>
      <c r="G707" s="47" t="n"/>
      <c r="H707" s="47" t="n"/>
      <c r="I707" s="47" t="n"/>
      <c r="J707" s="47" t="n"/>
      <c r="K707" s="47" t="n"/>
      <c r="L707" s="47" t="n"/>
      <c r="M707" s="50" t="n"/>
      <c r="N707" s="50" t="n"/>
      <c r="O707" s="50" t="n"/>
      <c r="P707" s="48">
        <f>IF($F707="","",IF($J707="Yes",$F707+1,IF($G707="No",$F707+2,IF(N($I707)&gt;2,$F707+3,IF(N($I707)&gt;0,$F707+5,$F707+7)))))</f>
        <v/>
      </c>
      <c r="Q707" s="48">
        <f>IF($P707="","",IF($J707="Yes",$P707+3,IF($G707="No",$P707+5,IF(N($I707)&gt;0,$P707+7,$P707+14))))</f>
        <v/>
      </c>
      <c r="R707" s="48">
        <f>IF($Q707="","",IF($J707="Yes",$Q707+7,IF($G707="No",$Q707+14,$Q707+30)))</f>
        <v/>
      </c>
      <c r="S707" s="47" t="n"/>
      <c r="T707" s="50" t="n"/>
      <c r="U707" s="47">
        <f>IF($F707="","",MIN(24,MAX(1,ROUNDUP(($F707-DayPlan!$C$2+1)/7,0))))</f>
        <v/>
      </c>
      <c r="V707" s="47">
        <f>IF($A707=""," ",4*($J707="Yes")+3*($G707="No")+2*(N($I707)&gt;0)+1*(AND(ISNUMBER($H707),$H707&gt;45))+3*(AND(ISNUMBER($P707),$P707&lt;=TODAY()))-6*($S707="Yes")+(750-ROW())/100000)</f>
        <v/>
      </c>
      <c r="W707" s="47">
        <f>IF(OR($A707="",NOT(ISNUMBER($P707))),"",INT($P707-TODAY()))</f>
        <v/>
      </c>
      <c r="X707" s="47" t="n"/>
    </row>
    <row r="708">
      <c r="A708" s="50" t="n"/>
      <c r="B708" s="47" t="n"/>
      <c r="C708" s="47" t="n"/>
      <c r="D708" s="50" t="n"/>
      <c r="E708" s="50" t="n"/>
      <c r="F708" s="48" t="n"/>
      <c r="G708" s="47" t="n"/>
      <c r="H708" s="47" t="n"/>
      <c r="I708" s="47" t="n"/>
      <c r="J708" s="47" t="n"/>
      <c r="K708" s="47" t="n"/>
      <c r="L708" s="47" t="n"/>
      <c r="M708" s="50" t="n"/>
      <c r="N708" s="50" t="n"/>
      <c r="O708" s="50" t="n"/>
      <c r="P708" s="48">
        <f>IF($F708="","",IF($J708="Yes",$F708+1,IF($G708="No",$F708+2,IF(N($I708)&gt;2,$F708+3,IF(N($I708)&gt;0,$F708+5,$F708+7)))))</f>
        <v/>
      </c>
      <c r="Q708" s="48">
        <f>IF($P708="","",IF($J708="Yes",$P708+3,IF($G708="No",$P708+5,IF(N($I708)&gt;0,$P708+7,$P708+14))))</f>
        <v/>
      </c>
      <c r="R708" s="48">
        <f>IF($Q708="","",IF($J708="Yes",$Q708+7,IF($G708="No",$Q708+14,$Q708+30)))</f>
        <v/>
      </c>
      <c r="S708" s="47" t="n"/>
      <c r="T708" s="50" t="n"/>
      <c r="U708" s="47">
        <f>IF($F708="","",MIN(24,MAX(1,ROUNDUP(($F708-DayPlan!$C$2+1)/7,0))))</f>
        <v/>
      </c>
      <c r="V708" s="47">
        <f>IF($A708=""," ",4*($J708="Yes")+3*($G708="No")+2*(N($I708)&gt;0)+1*(AND(ISNUMBER($H708),$H708&gt;45))+3*(AND(ISNUMBER($P708),$P708&lt;=TODAY()))-6*($S708="Yes")+(750-ROW())/100000)</f>
        <v/>
      </c>
      <c r="W708" s="47">
        <f>IF(OR($A708="",NOT(ISNUMBER($P708))),"",INT($P708-TODAY()))</f>
        <v/>
      </c>
      <c r="X708" s="47" t="n"/>
    </row>
    <row r="709">
      <c r="A709" s="50" t="n"/>
      <c r="B709" s="47" t="n"/>
      <c r="C709" s="47" t="n"/>
      <c r="D709" s="50" t="n"/>
      <c r="E709" s="50" t="n"/>
      <c r="F709" s="48" t="n"/>
      <c r="G709" s="47" t="n"/>
      <c r="H709" s="47" t="n"/>
      <c r="I709" s="47" t="n"/>
      <c r="J709" s="47" t="n"/>
      <c r="K709" s="47" t="n"/>
      <c r="L709" s="47" t="n"/>
      <c r="M709" s="50" t="n"/>
      <c r="N709" s="50" t="n"/>
      <c r="O709" s="50" t="n"/>
      <c r="P709" s="48">
        <f>IF($F709="","",IF($J709="Yes",$F709+1,IF($G709="No",$F709+2,IF(N($I709)&gt;2,$F709+3,IF(N($I709)&gt;0,$F709+5,$F709+7)))))</f>
        <v/>
      </c>
      <c r="Q709" s="48">
        <f>IF($P709="","",IF($J709="Yes",$P709+3,IF($G709="No",$P709+5,IF(N($I709)&gt;0,$P709+7,$P709+14))))</f>
        <v/>
      </c>
      <c r="R709" s="48">
        <f>IF($Q709="","",IF($J709="Yes",$Q709+7,IF($G709="No",$Q709+14,$Q709+30)))</f>
        <v/>
      </c>
      <c r="S709" s="47" t="n"/>
      <c r="T709" s="50" t="n"/>
      <c r="U709" s="47">
        <f>IF($F709="","",MIN(24,MAX(1,ROUNDUP(($F709-DayPlan!$C$2+1)/7,0))))</f>
        <v/>
      </c>
      <c r="V709" s="47">
        <f>IF($A709=""," ",4*($J709="Yes")+3*($G709="No")+2*(N($I709)&gt;0)+1*(AND(ISNUMBER($H709),$H709&gt;45))+3*(AND(ISNUMBER($P709),$P709&lt;=TODAY()))-6*($S709="Yes")+(750-ROW())/100000)</f>
        <v/>
      </c>
      <c r="W709" s="47">
        <f>IF(OR($A709="",NOT(ISNUMBER($P709))),"",INT($P709-TODAY()))</f>
        <v/>
      </c>
      <c r="X709" s="47" t="n"/>
    </row>
    <row r="710">
      <c r="A710" s="50" t="n"/>
      <c r="B710" s="47" t="n"/>
      <c r="C710" s="47" t="n"/>
      <c r="D710" s="50" t="n"/>
      <c r="E710" s="50" t="n"/>
      <c r="F710" s="48" t="n"/>
      <c r="G710" s="47" t="n"/>
      <c r="H710" s="47" t="n"/>
      <c r="I710" s="47" t="n"/>
      <c r="J710" s="47" t="n"/>
      <c r="K710" s="47" t="n"/>
      <c r="L710" s="47" t="n"/>
      <c r="M710" s="50" t="n"/>
      <c r="N710" s="50" t="n"/>
      <c r="O710" s="50" t="n"/>
      <c r="P710" s="48">
        <f>IF($F710="","",IF($J710="Yes",$F710+1,IF($G710="No",$F710+2,IF(N($I710)&gt;2,$F710+3,IF(N($I710)&gt;0,$F710+5,$F710+7)))))</f>
        <v/>
      </c>
      <c r="Q710" s="48">
        <f>IF($P710="","",IF($J710="Yes",$P710+3,IF($G710="No",$P710+5,IF(N($I710)&gt;0,$P710+7,$P710+14))))</f>
        <v/>
      </c>
      <c r="R710" s="48">
        <f>IF($Q710="","",IF($J710="Yes",$Q710+7,IF($G710="No",$Q710+14,$Q710+30)))</f>
        <v/>
      </c>
      <c r="S710" s="47" t="n"/>
      <c r="T710" s="50" t="n"/>
      <c r="U710" s="47">
        <f>IF($F710="","",MIN(24,MAX(1,ROUNDUP(($F710-DayPlan!$C$2+1)/7,0))))</f>
        <v/>
      </c>
      <c r="V710" s="47">
        <f>IF($A710=""," ",4*($J710="Yes")+3*($G710="No")+2*(N($I710)&gt;0)+1*(AND(ISNUMBER($H710),$H710&gt;45))+3*(AND(ISNUMBER($P710),$P710&lt;=TODAY()))-6*($S710="Yes")+(750-ROW())/100000)</f>
        <v/>
      </c>
      <c r="W710" s="47">
        <f>IF(OR($A710="",NOT(ISNUMBER($P710))),"",INT($P710-TODAY()))</f>
        <v/>
      </c>
      <c r="X710" s="47" t="n"/>
    </row>
    <row r="711">
      <c r="A711" s="50" t="n"/>
      <c r="B711" s="47" t="n"/>
      <c r="C711" s="47" t="n"/>
      <c r="D711" s="50" t="n"/>
      <c r="E711" s="50" t="n"/>
      <c r="F711" s="48" t="n"/>
      <c r="G711" s="47" t="n"/>
      <c r="H711" s="47" t="n"/>
      <c r="I711" s="47" t="n"/>
      <c r="J711" s="47" t="n"/>
      <c r="K711" s="47" t="n"/>
      <c r="L711" s="47" t="n"/>
      <c r="M711" s="50" t="n"/>
      <c r="N711" s="50" t="n"/>
      <c r="O711" s="50" t="n"/>
      <c r="P711" s="48">
        <f>IF($F711="","",IF($J711="Yes",$F711+1,IF($G711="No",$F711+2,IF(N($I711)&gt;2,$F711+3,IF(N($I711)&gt;0,$F711+5,$F711+7)))))</f>
        <v/>
      </c>
      <c r="Q711" s="48">
        <f>IF($P711="","",IF($J711="Yes",$P711+3,IF($G711="No",$P711+5,IF(N($I711)&gt;0,$P711+7,$P711+14))))</f>
        <v/>
      </c>
      <c r="R711" s="48">
        <f>IF($Q711="","",IF($J711="Yes",$Q711+7,IF($G711="No",$Q711+14,$Q711+30)))</f>
        <v/>
      </c>
      <c r="S711" s="47" t="n"/>
      <c r="T711" s="50" t="n"/>
      <c r="U711" s="47">
        <f>IF($F711="","",MIN(24,MAX(1,ROUNDUP(($F711-DayPlan!$C$2+1)/7,0))))</f>
        <v/>
      </c>
      <c r="V711" s="47">
        <f>IF($A711=""," ",4*($J711="Yes")+3*($G711="No")+2*(N($I711)&gt;0)+1*(AND(ISNUMBER($H711),$H711&gt;45))+3*(AND(ISNUMBER($P711),$P711&lt;=TODAY()))-6*($S711="Yes")+(750-ROW())/100000)</f>
        <v/>
      </c>
      <c r="W711" s="47">
        <f>IF(OR($A711="",NOT(ISNUMBER($P711))),"",INT($P711-TODAY()))</f>
        <v/>
      </c>
      <c r="X711" s="47" t="n"/>
    </row>
    <row r="712">
      <c r="A712" s="50" t="n"/>
      <c r="B712" s="47" t="n"/>
      <c r="C712" s="47" t="n"/>
      <c r="D712" s="50" t="n"/>
      <c r="E712" s="50" t="n"/>
      <c r="F712" s="48" t="n"/>
      <c r="G712" s="47" t="n"/>
      <c r="H712" s="47" t="n"/>
      <c r="I712" s="47" t="n"/>
      <c r="J712" s="47" t="n"/>
      <c r="K712" s="47" t="n"/>
      <c r="L712" s="47" t="n"/>
      <c r="M712" s="50" t="n"/>
      <c r="N712" s="50" t="n"/>
      <c r="O712" s="50" t="n"/>
      <c r="P712" s="48">
        <f>IF($F712="","",IF($J712="Yes",$F712+1,IF($G712="No",$F712+2,IF(N($I712)&gt;2,$F712+3,IF(N($I712)&gt;0,$F712+5,$F712+7)))))</f>
        <v/>
      </c>
      <c r="Q712" s="48">
        <f>IF($P712="","",IF($J712="Yes",$P712+3,IF($G712="No",$P712+5,IF(N($I712)&gt;0,$P712+7,$P712+14))))</f>
        <v/>
      </c>
      <c r="R712" s="48">
        <f>IF($Q712="","",IF($J712="Yes",$Q712+7,IF($G712="No",$Q712+14,$Q712+30)))</f>
        <v/>
      </c>
      <c r="S712" s="47" t="n"/>
      <c r="T712" s="50" t="n"/>
      <c r="U712" s="47">
        <f>IF($F712="","",MIN(24,MAX(1,ROUNDUP(($F712-DayPlan!$C$2+1)/7,0))))</f>
        <v/>
      </c>
      <c r="V712" s="47">
        <f>IF($A712=""," ",4*($J712="Yes")+3*($G712="No")+2*(N($I712)&gt;0)+1*(AND(ISNUMBER($H712),$H712&gt;45))+3*(AND(ISNUMBER($P712),$P712&lt;=TODAY()))-6*($S712="Yes")+(750-ROW())/100000)</f>
        <v/>
      </c>
      <c r="W712" s="47">
        <f>IF(OR($A712="",NOT(ISNUMBER($P712))),"",INT($P712-TODAY()))</f>
        <v/>
      </c>
      <c r="X712" s="47" t="n"/>
    </row>
    <row r="713">
      <c r="A713" s="50" t="n"/>
      <c r="B713" s="47" t="n"/>
      <c r="C713" s="47" t="n"/>
      <c r="D713" s="50" t="n"/>
      <c r="E713" s="50" t="n"/>
      <c r="F713" s="48" t="n"/>
      <c r="G713" s="47" t="n"/>
      <c r="H713" s="47" t="n"/>
      <c r="I713" s="47" t="n"/>
      <c r="J713" s="47" t="n"/>
      <c r="K713" s="47" t="n"/>
      <c r="L713" s="47" t="n"/>
      <c r="M713" s="50" t="n"/>
      <c r="N713" s="50" t="n"/>
      <c r="O713" s="50" t="n"/>
      <c r="P713" s="48">
        <f>IF($F713="","",IF($J713="Yes",$F713+1,IF($G713="No",$F713+2,IF(N($I713)&gt;2,$F713+3,IF(N($I713)&gt;0,$F713+5,$F713+7)))))</f>
        <v/>
      </c>
      <c r="Q713" s="48">
        <f>IF($P713="","",IF($J713="Yes",$P713+3,IF($G713="No",$P713+5,IF(N($I713)&gt;0,$P713+7,$P713+14))))</f>
        <v/>
      </c>
      <c r="R713" s="48">
        <f>IF($Q713="","",IF($J713="Yes",$Q713+7,IF($G713="No",$Q713+14,$Q713+30)))</f>
        <v/>
      </c>
      <c r="S713" s="47" t="n"/>
      <c r="T713" s="50" t="n"/>
      <c r="U713" s="47">
        <f>IF($F713="","",MIN(24,MAX(1,ROUNDUP(($F713-DayPlan!$C$2+1)/7,0))))</f>
        <v/>
      </c>
      <c r="V713" s="47">
        <f>IF($A713=""," ",4*($J713="Yes")+3*($G713="No")+2*(N($I713)&gt;0)+1*(AND(ISNUMBER($H713),$H713&gt;45))+3*(AND(ISNUMBER($P713),$P713&lt;=TODAY()))-6*($S713="Yes")+(750-ROW())/100000)</f>
        <v/>
      </c>
      <c r="W713" s="47">
        <f>IF(OR($A713="",NOT(ISNUMBER($P713))),"",INT($P713-TODAY()))</f>
        <v/>
      </c>
      <c r="X713" s="47" t="n"/>
    </row>
    <row r="714">
      <c r="A714" s="50" t="n"/>
      <c r="B714" s="47" t="n"/>
      <c r="C714" s="47" t="n"/>
      <c r="D714" s="50" t="n"/>
      <c r="E714" s="50" t="n"/>
      <c r="F714" s="48" t="n"/>
      <c r="G714" s="47" t="n"/>
      <c r="H714" s="47" t="n"/>
      <c r="I714" s="47" t="n"/>
      <c r="J714" s="47" t="n"/>
      <c r="K714" s="47" t="n"/>
      <c r="L714" s="47" t="n"/>
      <c r="M714" s="50" t="n"/>
      <c r="N714" s="50" t="n"/>
      <c r="O714" s="50" t="n"/>
      <c r="P714" s="48">
        <f>IF($F714="","",IF($J714="Yes",$F714+1,IF($G714="No",$F714+2,IF(N($I714)&gt;2,$F714+3,IF(N($I714)&gt;0,$F714+5,$F714+7)))))</f>
        <v/>
      </c>
      <c r="Q714" s="48">
        <f>IF($P714="","",IF($J714="Yes",$P714+3,IF($G714="No",$P714+5,IF(N($I714)&gt;0,$P714+7,$P714+14))))</f>
        <v/>
      </c>
      <c r="R714" s="48">
        <f>IF($Q714="","",IF($J714="Yes",$Q714+7,IF($G714="No",$Q714+14,$Q714+30)))</f>
        <v/>
      </c>
      <c r="S714" s="47" t="n"/>
      <c r="T714" s="50" t="n"/>
      <c r="U714" s="47">
        <f>IF($F714="","",MIN(24,MAX(1,ROUNDUP(($F714-DayPlan!$C$2+1)/7,0))))</f>
        <v/>
      </c>
      <c r="V714" s="47">
        <f>IF($A714=""," ",4*($J714="Yes")+3*($G714="No")+2*(N($I714)&gt;0)+1*(AND(ISNUMBER($H714),$H714&gt;45))+3*(AND(ISNUMBER($P714),$P714&lt;=TODAY()))-6*($S714="Yes")+(750-ROW())/100000)</f>
        <v/>
      </c>
      <c r="W714" s="47">
        <f>IF(OR($A714="",NOT(ISNUMBER($P714))),"",INT($P714-TODAY()))</f>
        <v/>
      </c>
      <c r="X714" s="47" t="n"/>
    </row>
    <row r="715">
      <c r="A715" s="50" t="n"/>
      <c r="B715" s="47" t="n"/>
      <c r="C715" s="47" t="n"/>
      <c r="D715" s="50" t="n"/>
      <c r="E715" s="50" t="n"/>
      <c r="F715" s="48" t="n"/>
      <c r="G715" s="47" t="n"/>
      <c r="H715" s="47" t="n"/>
      <c r="I715" s="47" t="n"/>
      <c r="J715" s="47" t="n"/>
      <c r="K715" s="47" t="n"/>
      <c r="L715" s="47" t="n"/>
      <c r="M715" s="50" t="n"/>
      <c r="N715" s="50" t="n"/>
      <c r="O715" s="50" t="n"/>
      <c r="P715" s="48">
        <f>IF($F715="","",IF($J715="Yes",$F715+1,IF($G715="No",$F715+2,IF(N($I715)&gt;2,$F715+3,IF(N($I715)&gt;0,$F715+5,$F715+7)))))</f>
        <v/>
      </c>
      <c r="Q715" s="48">
        <f>IF($P715="","",IF($J715="Yes",$P715+3,IF($G715="No",$P715+5,IF(N($I715)&gt;0,$P715+7,$P715+14))))</f>
        <v/>
      </c>
      <c r="R715" s="48">
        <f>IF($Q715="","",IF($J715="Yes",$Q715+7,IF($G715="No",$Q715+14,$Q715+30)))</f>
        <v/>
      </c>
      <c r="S715" s="47" t="n"/>
      <c r="T715" s="50" t="n"/>
      <c r="U715" s="47">
        <f>IF($F715="","",MIN(24,MAX(1,ROUNDUP(($F715-DayPlan!$C$2+1)/7,0))))</f>
        <v/>
      </c>
      <c r="V715" s="47">
        <f>IF($A715=""," ",4*($J715="Yes")+3*($G715="No")+2*(N($I715)&gt;0)+1*(AND(ISNUMBER($H715),$H715&gt;45))+3*(AND(ISNUMBER($P715),$P715&lt;=TODAY()))-6*($S715="Yes")+(750-ROW())/100000)</f>
        <v/>
      </c>
      <c r="W715" s="47">
        <f>IF(OR($A715="",NOT(ISNUMBER($P715))),"",INT($P715-TODAY()))</f>
        <v/>
      </c>
      <c r="X715" s="47" t="n"/>
    </row>
    <row r="716">
      <c r="A716" s="50" t="n"/>
      <c r="B716" s="47" t="n"/>
      <c r="C716" s="47" t="n"/>
      <c r="D716" s="50" t="n"/>
      <c r="E716" s="50" t="n"/>
      <c r="F716" s="48" t="n"/>
      <c r="G716" s="47" t="n"/>
      <c r="H716" s="47" t="n"/>
      <c r="I716" s="47" t="n"/>
      <c r="J716" s="47" t="n"/>
      <c r="K716" s="47" t="n"/>
      <c r="L716" s="47" t="n"/>
      <c r="M716" s="50" t="n"/>
      <c r="N716" s="50" t="n"/>
      <c r="O716" s="50" t="n"/>
      <c r="P716" s="48">
        <f>IF($F716="","",IF($J716="Yes",$F716+1,IF($G716="No",$F716+2,IF(N($I716)&gt;2,$F716+3,IF(N($I716)&gt;0,$F716+5,$F716+7)))))</f>
        <v/>
      </c>
      <c r="Q716" s="48">
        <f>IF($P716="","",IF($J716="Yes",$P716+3,IF($G716="No",$P716+5,IF(N($I716)&gt;0,$P716+7,$P716+14))))</f>
        <v/>
      </c>
      <c r="R716" s="48">
        <f>IF($Q716="","",IF($J716="Yes",$Q716+7,IF($G716="No",$Q716+14,$Q716+30)))</f>
        <v/>
      </c>
      <c r="S716" s="47" t="n"/>
      <c r="T716" s="50" t="n"/>
      <c r="U716" s="47">
        <f>IF($F716="","",MIN(24,MAX(1,ROUNDUP(($F716-DayPlan!$C$2+1)/7,0))))</f>
        <v/>
      </c>
      <c r="V716" s="47">
        <f>IF($A716=""," ",4*($J716="Yes")+3*($G716="No")+2*(N($I716)&gt;0)+1*(AND(ISNUMBER($H716),$H716&gt;45))+3*(AND(ISNUMBER($P716),$P716&lt;=TODAY()))-6*($S716="Yes")+(750-ROW())/100000)</f>
        <v/>
      </c>
      <c r="W716" s="47">
        <f>IF(OR($A716="",NOT(ISNUMBER($P716))),"",INT($P716-TODAY()))</f>
        <v/>
      </c>
      <c r="X716" s="47" t="n"/>
    </row>
    <row r="717">
      <c r="A717" s="50" t="n"/>
      <c r="B717" s="47" t="n"/>
      <c r="C717" s="47" t="n"/>
      <c r="D717" s="50" t="n"/>
      <c r="E717" s="50" t="n"/>
      <c r="F717" s="48" t="n"/>
      <c r="G717" s="47" t="n"/>
      <c r="H717" s="47" t="n"/>
      <c r="I717" s="47" t="n"/>
      <c r="J717" s="47" t="n"/>
      <c r="K717" s="47" t="n"/>
      <c r="L717" s="47" t="n"/>
      <c r="M717" s="50" t="n"/>
      <c r="N717" s="50" t="n"/>
      <c r="O717" s="50" t="n"/>
      <c r="P717" s="48">
        <f>IF($F717="","",IF($J717="Yes",$F717+1,IF($G717="No",$F717+2,IF(N($I717)&gt;2,$F717+3,IF(N($I717)&gt;0,$F717+5,$F717+7)))))</f>
        <v/>
      </c>
      <c r="Q717" s="48">
        <f>IF($P717="","",IF($J717="Yes",$P717+3,IF($G717="No",$P717+5,IF(N($I717)&gt;0,$P717+7,$P717+14))))</f>
        <v/>
      </c>
      <c r="R717" s="48">
        <f>IF($Q717="","",IF($J717="Yes",$Q717+7,IF($G717="No",$Q717+14,$Q717+30)))</f>
        <v/>
      </c>
      <c r="S717" s="47" t="n"/>
      <c r="T717" s="50" t="n"/>
      <c r="U717" s="47">
        <f>IF($F717="","",MIN(24,MAX(1,ROUNDUP(($F717-DayPlan!$C$2+1)/7,0))))</f>
        <v/>
      </c>
      <c r="V717" s="47">
        <f>IF($A717=""," ",4*($J717="Yes")+3*($G717="No")+2*(N($I717)&gt;0)+1*(AND(ISNUMBER($H717),$H717&gt;45))+3*(AND(ISNUMBER($P717),$P717&lt;=TODAY()))-6*($S717="Yes")+(750-ROW())/100000)</f>
        <v/>
      </c>
      <c r="W717" s="47">
        <f>IF(OR($A717="",NOT(ISNUMBER($P717))),"",INT($P717-TODAY()))</f>
        <v/>
      </c>
      <c r="X717" s="47" t="n"/>
    </row>
    <row r="718">
      <c r="A718" s="50" t="n"/>
      <c r="B718" s="47" t="n"/>
      <c r="C718" s="47" t="n"/>
      <c r="D718" s="50" t="n"/>
      <c r="E718" s="50" t="n"/>
      <c r="F718" s="48" t="n"/>
      <c r="G718" s="47" t="n"/>
      <c r="H718" s="47" t="n"/>
      <c r="I718" s="47" t="n"/>
      <c r="J718" s="47" t="n"/>
      <c r="K718" s="47" t="n"/>
      <c r="L718" s="47" t="n"/>
      <c r="M718" s="50" t="n"/>
      <c r="N718" s="50" t="n"/>
      <c r="O718" s="50" t="n"/>
      <c r="P718" s="48">
        <f>IF($F718="","",IF($J718="Yes",$F718+1,IF($G718="No",$F718+2,IF(N($I718)&gt;2,$F718+3,IF(N($I718)&gt;0,$F718+5,$F718+7)))))</f>
        <v/>
      </c>
      <c r="Q718" s="48">
        <f>IF($P718="","",IF($J718="Yes",$P718+3,IF($G718="No",$P718+5,IF(N($I718)&gt;0,$P718+7,$P718+14))))</f>
        <v/>
      </c>
      <c r="R718" s="48">
        <f>IF($Q718="","",IF($J718="Yes",$Q718+7,IF($G718="No",$Q718+14,$Q718+30)))</f>
        <v/>
      </c>
      <c r="S718" s="47" t="n"/>
      <c r="T718" s="50" t="n"/>
      <c r="U718" s="47">
        <f>IF($F718="","",MIN(24,MAX(1,ROUNDUP(($F718-DayPlan!$C$2+1)/7,0))))</f>
        <v/>
      </c>
      <c r="V718" s="47">
        <f>IF($A718=""," ",4*($J718="Yes")+3*($G718="No")+2*(N($I718)&gt;0)+1*(AND(ISNUMBER($H718),$H718&gt;45))+3*(AND(ISNUMBER($P718),$P718&lt;=TODAY()))-6*($S718="Yes")+(750-ROW())/100000)</f>
        <v/>
      </c>
      <c r="W718" s="47">
        <f>IF(OR($A718="",NOT(ISNUMBER($P718))),"",INT($P718-TODAY()))</f>
        <v/>
      </c>
      <c r="X718" s="47" t="n"/>
    </row>
    <row r="719">
      <c r="A719" s="50" t="n"/>
      <c r="B719" s="47" t="n"/>
      <c r="C719" s="47" t="n"/>
      <c r="D719" s="50" t="n"/>
      <c r="E719" s="50" t="n"/>
      <c r="F719" s="48" t="n"/>
      <c r="G719" s="47" t="n"/>
      <c r="H719" s="47" t="n"/>
      <c r="I719" s="47" t="n"/>
      <c r="J719" s="47" t="n"/>
      <c r="K719" s="47" t="n"/>
      <c r="L719" s="47" t="n"/>
      <c r="M719" s="50" t="n"/>
      <c r="N719" s="50" t="n"/>
      <c r="O719" s="50" t="n"/>
      <c r="P719" s="48">
        <f>IF($F719="","",IF($J719="Yes",$F719+1,IF($G719="No",$F719+2,IF(N($I719)&gt;2,$F719+3,IF(N($I719)&gt;0,$F719+5,$F719+7)))))</f>
        <v/>
      </c>
      <c r="Q719" s="48">
        <f>IF($P719="","",IF($J719="Yes",$P719+3,IF($G719="No",$P719+5,IF(N($I719)&gt;0,$P719+7,$P719+14))))</f>
        <v/>
      </c>
      <c r="R719" s="48">
        <f>IF($Q719="","",IF($J719="Yes",$Q719+7,IF($G719="No",$Q719+14,$Q719+30)))</f>
        <v/>
      </c>
      <c r="S719" s="47" t="n"/>
      <c r="T719" s="50" t="n"/>
      <c r="U719" s="47">
        <f>IF($F719="","",MIN(24,MAX(1,ROUNDUP(($F719-DayPlan!$C$2+1)/7,0))))</f>
        <v/>
      </c>
      <c r="V719" s="47">
        <f>IF($A719=""," ",4*($J719="Yes")+3*($G719="No")+2*(N($I719)&gt;0)+1*(AND(ISNUMBER($H719),$H719&gt;45))+3*(AND(ISNUMBER($P719),$P719&lt;=TODAY()))-6*($S719="Yes")+(750-ROW())/100000)</f>
        <v/>
      </c>
      <c r="W719" s="47">
        <f>IF(OR($A719="",NOT(ISNUMBER($P719))),"",INT($P719-TODAY()))</f>
        <v/>
      </c>
      <c r="X719" s="47" t="n"/>
    </row>
    <row r="720">
      <c r="A720" s="50" t="n"/>
      <c r="B720" s="47" t="n"/>
      <c r="C720" s="47" t="n"/>
      <c r="D720" s="50" t="n"/>
      <c r="E720" s="50" t="n"/>
      <c r="F720" s="48" t="n"/>
      <c r="G720" s="47" t="n"/>
      <c r="H720" s="47" t="n"/>
      <c r="I720" s="47" t="n"/>
      <c r="J720" s="47" t="n"/>
      <c r="K720" s="47" t="n"/>
      <c r="L720" s="47" t="n"/>
      <c r="M720" s="50" t="n"/>
      <c r="N720" s="50" t="n"/>
      <c r="O720" s="50" t="n"/>
      <c r="P720" s="48">
        <f>IF($F720="","",IF($J720="Yes",$F720+1,IF($G720="No",$F720+2,IF(N($I720)&gt;2,$F720+3,IF(N($I720)&gt;0,$F720+5,$F720+7)))))</f>
        <v/>
      </c>
      <c r="Q720" s="48">
        <f>IF($P720="","",IF($J720="Yes",$P720+3,IF($G720="No",$P720+5,IF(N($I720)&gt;0,$P720+7,$P720+14))))</f>
        <v/>
      </c>
      <c r="R720" s="48">
        <f>IF($Q720="","",IF($J720="Yes",$Q720+7,IF($G720="No",$Q720+14,$Q720+30)))</f>
        <v/>
      </c>
      <c r="S720" s="47" t="n"/>
      <c r="T720" s="50" t="n"/>
      <c r="U720" s="47">
        <f>IF($F720="","",MIN(24,MAX(1,ROUNDUP(($F720-DayPlan!$C$2+1)/7,0))))</f>
        <v/>
      </c>
      <c r="V720" s="47">
        <f>IF($A720=""," ",4*($J720="Yes")+3*($G720="No")+2*(N($I720)&gt;0)+1*(AND(ISNUMBER($H720),$H720&gt;45))+3*(AND(ISNUMBER($P720),$P720&lt;=TODAY()))-6*($S720="Yes")+(750-ROW())/100000)</f>
        <v/>
      </c>
      <c r="W720" s="47">
        <f>IF(OR($A720="",NOT(ISNUMBER($P720))),"",INT($P720-TODAY()))</f>
        <v/>
      </c>
      <c r="X720" s="47" t="n"/>
    </row>
    <row r="721">
      <c r="A721" s="50" t="n"/>
      <c r="B721" s="47" t="n"/>
      <c r="C721" s="47" t="n"/>
      <c r="D721" s="50" t="n"/>
      <c r="E721" s="50" t="n"/>
      <c r="F721" s="48" t="n"/>
      <c r="G721" s="47" t="n"/>
      <c r="H721" s="47" t="n"/>
      <c r="I721" s="47" t="n"/>
      <c r="J721" s="47" t="n"/>
      <c r="K721" s="47" t="n"/>
      <c r="L721" s="47" t="n"/>
      <c r="M721" s="50" t="n"/>
      <c r="N721" s="50" t="n"/>
      <c r="O721" s="50" t="n"/>
      <c r="P721" s="48">
        <f>IF($F721="","",IF($J721="Yes",$F721+1,IF($G721="No",$F721+2,IF(N($I721)&gt;2,$F721+3,IF(N($I721)&gt;0,$F721+5,$F721+7)))))</f>
        <v/>
      </c>
      <c r="Q721" s="48">
        <f>IF($P721="","",IF($J721="Yes",$P721+3,IF($G721="No",$P721+5,IF(N($I721)&gt;0,$P721+7,$P721+14))))</f>
        <v/>
      </c>
      <c r="R721" s="48">
        <f>IF($Q721="","",IF($J721="Yes",$Q721+7,IF($G721="No",$Q721+14,$Q721+30)))</f>
        <v/>
      </c>
      <c r="S721" s="47" t="n"/>
      <c r="T721" s="50" t="n"/>
      <c r="U721" s="47">
        <f>IF($F721="","",MIN(24,MAX(1,ROUNDUP(($F721-DayPlan!$C$2+1)/7,0))))</f>
        <v/>
      </c>
      <c r="V721" s="47">
        <f>IF($A721=""," ",4*($J721="Yes")+3*($G721="No")+2*(N($I721)&gt;0)+1*(AND(ISNUMBER($H721),$H721&gt;45))+3*(AND(ISNUMBER($P721),$P721&lt;=TODAY()))-6*($S721="Yes")+(750-ROW())/100000)</f>
        <v/>
      </c>
      <c r="W721" s="47">
        <f>IF(OR($A721="",NOT(ISNUMBER($P721))),"",INT($P721-TODAY()))</f>
        <v/>
      </c>
      <c r="X721" s="47" t="n"/>
    </row>
    <row r="722">
      <c r="A722" s="50" t="n"/>
      <c r="B722" s="47" t="n"/>
      <c r="C722" s="47" t="n"/>
      <c r="D722" s="50" t="n"/>
      <c r="E722" s="50" t="n"/>
      <c r="F722" s="48" t="n"/>
      <c r="G722" s="47" t="n"/>
      <c r="H722" s="47" t="n"/>
      <c r="I722" s="47" t="n"/>
      <c r="J722" s="47" t="n"/>
      <c r="K722" s="47" t="n"/>
      <c r="L722" s="47" t="n"/>
      <c r="M722" s="50" t="n"/>
      <c r="N722" s="50" t="n"/>
      <c r="O722" s="50" t="n"/>
      <c r="P722" s="48">
        <f>IF($F722="","",IF($J722="Yes",$F722+1,IF($G722="No",$F722+2,IF(N($I722)&gt;2,$F722+3,IF(N($I722)&gt;0,$F722+5,$F722+7)))))</f>
        <v/>
      </c>
      <c r="Q722" s="48">
        <f>IF($P722="","",IF($J722="Yes",$P722+3,IF($G722="No",$P722+5,IF(N($I722)&gt;0,$P722+7,$P722+14))))</f>
        <v/>
      </c>
      <c r="R722" s="48">
        <f>IF($Q722="","",IF($J722="Yes",$Q722+7,IF($G722="No",$Q722+14,$Q722+30)))</f>
        <v/>
      </c>
      <c r="S722" s="47" t="n"/>
      <c r="T722" s="50" t="n"/>
      <c r="U722" s="47">
        <f>IF($F722="","",MIN(24,MAX(1,ROUNDUP(($F722-DayPlan!$C$2+1)/7,0))))</f>
        <v/>
      </c>
      <c r="V722" s="47">
        <f>IF($A722=""," ",4*($J722="Yes")+3*($G722="No")+2*(N($I722)&gt;0)+1*(AND(ISNUMBER($H722),$H722&gt;45))+3*(AND(ISNUMBER($P722),$P722&lt;=TODAY()))-6*($S722="Yes")+(750-ROW())/100000)</f>
        <v/>
      </c>
      <c r="W722" s="47">
        <f>IF(OR($A722="",NOT(ISNUMBER($P722))),"",INT($P722-TODAY()))</f>
        <v/>
      </c>
      <c r="X722" s="47" t="n"/>
    </row>
    <row r="723">
      <c r="A723" s="50" t="n"/>
      <c r="B723" s="47" t="n"/>
      <c r="C723" s="47" t="n"/>
      <c r="D723" s="50" t="n"/>
      <c r="E723" s="50" t="n"/>
      <c r="F723" s="48" t="n"/>
      <c r="G723" s="47" t="n"/>
      <c r="H723" s="47" t="n"/>
      <c r="I723" s="47" t="n"/>
      <c r="J723" s="47" t="n"/>
      <c r="K723" s="47" t="n"/>
      <c r="L723" s="47" t="n"/>
      <c r="M723" s="50" t="n"/>
      <c r="N723" s="50" t="n"/>
      <c r="O723" s="50" t="n"/>
      <c r="P723" s="48">
        <f>IF($F723="","",IF($J723="Yes",$F723+1,IF($G723="No",$F723+2,IF(N($I723)&gt;2,$F723+3,IF(N($I723)&gt;0,$F723+5,$F723+7)))))</f>
        <v/>
      </c>
      <c r="Q723" s="48">
        <f>IF($P723="","",IF($J723="Yes",$P723+3,IF($G723="No",$P723+5,IF(N($I723)&gt;0,$P723+7,$P723+14))))</f>
        <v/>
      </c>
      <c r="R723" s="48">
        <f>IF($Q723="","",IF($J723="Yes",$Q723+7,IF($G723="No",$Q723+14,$Q723+30)))</f>
        <v/>
      </c>
      <c r="S723" s="47" t="n"/>
      <c r="T723" s="50" t="n"/>
      <c r="U723" s="47">
        <f>IF($F723="","",MIN(24,MAX(1,ROUNDUP(($F723-DayPlan!$C$2+1)/7,0))))</f>
        <v/>
      </c>
      <c r="V723" s="47">
        <f>IF($A723=""," ",4*($J723="Yes")+3*($G723="No")+2*(N($I723)&gt;0)+1*(AND(ISNUMBER($H723),$H723&gt;45))+3*(AND(ISNUMBER($P723),$P723&lt;=TODAY()))-6*($S723="Yes")+(750-ROW())/100000)</f>
        <v/>
      </c>
      <c r="W723" s="47">
        <f>IF(OR($A723="",NOT(ISNUMBER($P723))),"",INT($P723-TODAY()))</f>
        <v/>
      </c>
      <c r="X723" s="47" t="n"/>
    </row>
    <row r="724">
      <c r="A724" s="50" t="n"/>
      <c r="B724" s="47" t="n"/>
      <c r="C724" s="47" t="n"/>
      <c r="D724" s="50" t="n"/>
      <c r="E724" s="50" t="n"/>
      <c r="F724" s="48" t="n"/>
      <c r="G724" s="47" t="n"/>
      <c r="H724" s="47" t="n"/>
      <c r="I724" s="47" t="n"/>
      <c r="J724" s="47" t="n"/>
      <c r="K724" s="47" t="n"/>
      <c r="L724" s="47" t="n"/>
      <c r="M724" s="50" t="n"/>
      <c r="N724" s="50" t="n"/>
      <c r="O724" s="50" t="n"/>
      <c r="P724" s="48">
        <f>IF($F724="","",IF($J724="Yes",$F724+1,IF($G724="No",$F724+2,IF(N($I724)&gt;2,$F724+3,IF(N($I724)&gt;0,$F724+5,$F724+7)))))</f>
        <v/>
      </c>
      <c r="Q724" s="48">
        <f>IF($P724="","",IF($J724="Yes",$P724+3,IF($G724="No",$P724+5,IF(N($I724)&gt;0,$P724+7,$P724+14))))</f>
        <v/>
      </c>
      <c r="R724" s="48">
        <f>IF($Q724="","",IF($J724="Yes",$Q724+7,IF($G724="No",$Q724+14,$Q724+30)))</f>
        <v/>
      </c>
      <c r="S724" s="47" t="n"/>
      <c r="T724" s="50" t="n"/>
      <c r="U724" s="47">
        <f>IF($F724="","",MIN(24,MAX(1,ROUNDUP(($F724-DayPlan!$C$2+1)/7,0))))</f>
        <v/>
      </c>
      <c r="V724" s="47">
        <f>IF($A724=""," ",4*($J724="Yes")+3*($G724="No")+2*(N($I724)&gt;0)+1*(AND(ISNUMBER($H724),$H724&gt;45))+3*(AND(ISNUMBER($P724),$P724&lt;=TODAY()))-6*($S724="Yes")+(750-ROW())/100000)</f>
        <v/>
      </c>
      <c r="W724" s="47">
        <f>IF(OR($A724="",NOT(ISNUMBER($P724))),"",INT($P724-TODAY()))</f>
        <v/>
      </c>
      <c r="X724" s="47" t="n"/>
    </row>
    <row r="725">
      <c r="A725" s="50" t="n"/>
      <c r="B725" s="47" t="n"/>
      <c r="C725" s="47" t="n"/>
      <c r="D725" s="50" t="n"/>
      <c r="E725" s="50" t="n"/>
      <c r="F725" s="48" t="n"/>
      <c r="G725" s="47" t="n"/>
      <c r="H725" s="47" t="n"/>
      <c r="I725" s="47" t="n"/>
      <c r="J725" s="47" t="n"/>
      <c r="K725" s="47" t="n"/>
      <c r="L725" s="47" t="n"/>
      <c r="M725" s="50" t="n"/>
      <c r="N725" s="50" t="n"/>
      <c r="O725" s="50" t="n"/>
      <c r="P725" s="48">
        <f>IF($F725="","",IF($J725="Yes",$F725+1,IF($G725="No",$F725+2,IF(N($I725)&gt;2,$F725+3,IF(N($I725)&gt;0,$F725+5,$F725+7)))))</f>
        <v/>
      </c>
      <c r="Q725" s="48">
        <f>IF($P725="","",IF($J725="Yes",$P725+3,IF($G725="No",$P725+5,IF(N($I725)&gt;0,$P725+7,$P725+14))))</f>
        <v/>
      </c>
      <c r="R725" s="48">
        <f>IF($Q725="","",IF($J725="Yes",$Q725+7,IF($G725="No",$Q725+14,$Q725+30)))</f>
        <v/>
      </c>
      <c r="S725" s="47" t="n"/>
      <c r="T725" s="50" t="n"/>
      <c r="U725" s="47">
        <f>IF($F725="","",MIN(24,MAX(1,ROUNDUP(($F725-DayPlan!$C$2+1)/7,0))))</f>
        <v/>
      </c>
      <c r="V725" s="47">
        <f>IF($A725=""," ",4*($J725="Yes")+3*($G725="No")+2*(N($I725)&gt;0)+1*(AND(ISNUMBER($H725),$H725&gt;45))+3*(AND(ISNUMBER($P725),$P725&lt;=TODAY()))-6*($S725="Yes")+(750-ROW())/100000)</f>
        <v/>
      </c>
      <c r="W725" s="47">
        <f>IF(OR($A725="",NOT(ISNUMBER($P725))),"",INT($P725-TODAY()))</f>
        <v/>
      </c>
      <c r="X725" s="47" t="n"/>
    </row>
    <row r="726">
      <c r="A726" s="50" t="n"/>
      <c r="B726" s="47" t="n"/>
      <c r="C726" s="47" t="n"/>
      <c r="D726" s="50" t="n"/>
      <c r="E726" s="50" t="n"/>
      <c r="F726" s="48" t="n"/>
      <c r="G726" s="47" t="n"/>
      <c r="H726" s="47" t="n"/>
      <c r="I726" s="47" t="n"/>
      <c r="J726" s="47" t="n"/>
      <c r="K726" s="47" t="n"/>
      <c r="L726" s="47" t="n"/>
      <c r="M726" s="50" t="n"/>
      <c r="N726" s="50" t="n"/>
      <c r="O726" s="50" t="n"/>
      <c r="P726" s="48">
        <f>IF($F726="","",IF($J726="Yes",$F726+1,IF($G726="No",$F726+2,IF(N($I726)&gt;2,$F726+3,IF(N($I726)&gt;0,$F726+5,$F726+7)))))</f>
        <v/>
      </c>
      <c r="Q726" s="48">
        <f>IF($P726="","",IF($J726="Yes",$P726+3,IF($G726="No",$P726+5,IF(N($I726)&gt;0,$P726+7,$P726+14))))</f>
        <v/>
      </c>
      <c r="R726" s="48">
        <f>IF($Q726="","",IF($J726="Yes",$Q726+7,IF($G726="No",$Q726+14,$Q726+30)))</f>
        <v/>
      </c>
      <c r="S726" s="47" t="n"/>
      <c r="T726" s="50" t="n"/>
      <c r="U726" s="47">
        <f>IF($F726="","",MIN(24,MAX(1,ROUNDUP(($F726-DayPlan!$C$2+1)/7,0))))</f>
        <v/>
      </c>
      <c r="V726" s="47">
        <f>IF($A726=""," ",4*($J726="Yes")+3*($G726="No")+2*(N($I726)&gt;0)+1*(AND(ISNUMBER($H726),$H726&gt;45))+3*(AND(ISNUMBER($P726),$P726&lt;=TODAY()))-6*($S726="Yes")+(750-ROW())/100000)</f>
        <v/>
      </c>
      <c r="W726" s="47">
        <f>IF(OR($A726="",NOT(ISNUMBER($P726))),"",INT($P726-TODAY()))</f>
        <v/>
      </c>
      <c r="X726" s="47" t="n"/>
    </row>
    <row r="727">
      <c r="A727" s="50" t="n"/>
      <c r="B727" s="47" t="n"/>
      <c r="C727" s="47" t="n"/>
      <c r="D727" s="50" t="n"/>
      <c r="E727" s="50" t="n"/>
      <c r="F727" s="48" t="n"/>
      <c r="G727" s="47" t="n"/>
      <c r="H727" s="47" t="n"/>
      <c r="I727" s="47" t="n"/>
      <c r="J727" s="47" t="n"/>
      <c r="K727" s="47" t="n"/>
      <c r="L727" s="47" t="n"/>
      <c r="M727" s="50" t="n"/>
      <c r="N727" s="50" t="n"/>
      <c r="O727" s="50" t="n"/>
      <c r="P727" s="48">
        <f>IF($F727="","",IF($J727="Yes",$F727+1,IF($G727="No",$F727+2,IF(N($I727)&gt;2,$F727+3,IF(N($I727)&gt;0,$F727+5,$F727+7)))))</f>
        <v/>
      </c>
      <c r="Q727" s="48">
        <f>IF($P727="","",IF($J727="Yes",$P727+3,IF($G727="No",$P727+5,IF(N($I727)&gt;0,$P727+7,$P727+14))))</f>
        <v/>
      </c>
      <c r="R727" s="48">
        <f>IF($Q727="","",IF($J727="Yes",$Q727+7,IF($G727="No",$Q727+14,$Q727+30)))</f>
        <v/>
      </c>
      <c r="S727" s="47" t="n"/>
      <c r="T727" s="50" t="n"/>
      <c r="U727" s="47">
        <f>IF($F727="","",MIN(24,MAX(1,ROUNDUP(($F727-DayPlan!$C$2+1)/7,0))))</f>
        <v/>
      </c>
      <c r="V727" s="47">
        <f>IF($A727=""," ",4*($J727="Yes")+3*($G727="No")+2*(N($I727)&gt;0)+1*(AND(ISNUMBER($H727),$H727&gt;45))+3*(AND(ISNUMBER($P727),$P727&lt;=TODAY()))-6*($S727="Yes")+(750-ROW())/100000)</f>
        <v/>
      </c>
      <c r="W727" s="47">
        <f>IF(OR($A727="",NOT(ISNUMBER($P727))),"",INT($P727-TODAY()))</f>
        <v/>
      </c>
      <c r="X727" s="47" t="n"/>
    </row>
    <row r="728">
      <c r="A728" s="50" t="n"/>
      <c r="B728" s="47" t="n"/>
      <c r="C728" s="47" t="n"/>
      <c r="D728" s="50" t="n"/>
      <c r="E728" s="50" t="n"/>
      <c r="F728" s="48" t="n"/>
      <c r="G728" s="47" t="n"/>
      <c r="H728" s="47" t="n"/>
      <c r="I728" s="47" t="n"/>
      <c r="J728" s="47" t="n"/>
      <c r="K728" s="47" t="n"/>
      <c r="L728" s="47" t="n"/>
      <c r="M728" s="50" t="n"/>
      <c r="N728" s="50" t="n"/>
      <c r="O728" s="50" t="n"/>
      <c r="P728" s="48">
        <f>IF($F728="","",IF($J728="Yes",$F728+1,IF($G728="No",$F728+2,IF(N($I728)&gt;2,$F728+3,IF(N($I728)&gt;0,$F728+5,$F728+7)))))</f>
        <v/>
      </c>
      <c r="Q728" s="48">
        <f>IF($P728="","",IF($J728="Yes",$P728+3,IF($G728="No",$P728+5,IF(N($I728)&gt;0,$P728+7,$P728+14))))</f>
        <v/>
      </c>
      <c r="R728" s="48">
        <f>IF($Q728="","",IF($J728="Yes",$Q728+7,IF($G728="No",$Q728+14,$Q728+30)))</f>
        <v/>
      </c>
      <c r="S728" s="47" t="n"/>
      <c r="T728" s="50" t="n"/>
      <c r="U728" s="47">
        <f>IF($F728="","",MIN(24,MAX(1,ROUNDUP(($F728-DayPlan!$C$2+1)/7,0))))</f>
        <v/>
      </c>
      <c r="V728" s="47">
        <f>IF($A728=""," ",4*($J728="Yes")+3*($G728="No")+2*(N($I728)&gt;0)+1*(AND(ISNUMBER($H728),$H728&gt;45))+3*(AND(ISNUMBER($P728),$P728&lt;=TODAY()))-6*($S728="Yes")+(750-ROW())/100000)</f>
        <v/>
      </c>
      <c r="W728" s="47">
        <f>IF(OR($A728="",NOT(ISNUMBER($P728))),"",INT($P728-TODAY()))</f>
        <v/>
      </c>
      <c r="X728" s="47" t="n"/>
    </row>
    <row r="729">
      <c r="A729" s="50" t="n"/>
      <c r="B729" s="47" t="n"/>
      <c r="C729" s="47" t="n"/>
      <c r="D729" s="50" t="n"/>
      <c r="E729" s="50" t="n"/>
      <c r="F729" s="48" t="n"/>
      <c r="G729" s="47" t="n"/>
      <c r="H729" s="47" t="n"/>
      <c r="I729" s="47" t="n"/>
      <c r="J729" s="47" t="n"/>
      <c r="K729" s="47" t="n"/>
      <c r="L729" s="47" t="n"/>
      <c r="M729" s="50" t="n"/>
      <c r="N729" s="50" t="n"/>
      <c r="O729" s="50" t="n"/>
      <c r="P729" s="48">
        <f>IF($F729="","",IF($J729="Yes",$F729+1,IF($G729="No",$F729+2,IF(N($I729)&gt;2,$F729+3,IF(N($I729)&gt;0,$F729+5,$F729+7)))))</f>
        <v/>
      </c>
      <c r="Q729" s="48">
        <f>IF($P729="","",IF($J729="Yes",$P729+3,IF($G729="No",$P729+5,IF(N($I729)&gt;0,$P729+7,$P729+14))))</f>
        <v/>
      </c>
      <c r="R729" s="48">
        <f>IF($Q729="","",IF($J729="Yes",$Q729+7,IF($G729="No",$Q729+14,$Q729+30)))</f>
        <v/>
      </c>
      <c r="S729" s="47" t="n"/>
      <c r="T729" s="50" t="n"/>
      <c r="U729" s="47">
        <f>IF($F729="","",MIN(24,MAX(1,ROUNDUP(($F729-DayPlan!$C$2+1)/7,0))))</f>
        <v/>
      </c>
      <c r="V729" s="47">
        <f>IF($A729=""," ",4*($J729="Yes")+3*($G729="No")+2*(N($I729)&gt;0)+1*(AND(ISNUMBER($H729),$H729&gt;45))+3*(AND(ISNUMBER($P729),$P729&lt;=TODAY()))-6*($S729="Yes")+(750-ROW())/100000)</f>
        <v/>
      </c>
      <c r="W729" s="47">
        <f>IF(OR($A729="",NOT(ISNUMBER($P729))),"",INT($P729-TODAY()))</f>
        <v/>
      </c>
      <c r="X729" s="47" t="n"/>
    </row>
    <row r="730">
      <c r="A730" s="50" t="n"/>
      <c r="B730" s="47" t="n"/>
      <c r="C730" s="47" t="n"/>
      <c r="D730" s="50" t="n"/>
      <c r="E730" s="50" t="n"/>
      <c r="F730" s="48" t="n"/>
      <c r="G730" s="47" t="n"/>
      <c r="H730" s="47" t="n"/>
      <c r="I730" s="47" t="n"/>
      <c r="J730" s="47" t="n"/>
      <c r="K730" s="47" t="n"/>
      <c r="L730" s="47" t="n"/>
      <c r="M730" s="50" t="n"/>
      <c r="N730" s="50" t="n"/>
      <c r="O730" s="50" t="n"/>
      <c r="P730" s="48">
        <f>IF($F730="","",IF($J730="Yes",$F730+1,IF($G730="No",$F730+2,IF(N($I730)&gt;2,$F730+3,IF(N($I730)&gt;0,$F730+5,$F730+7)))))</f>
        <v/>
      </c>
      <c r="Q730" s="48">
        <f>IF($P730="","",IF($J730="Yes",$P730+3,IF($G730="No",$P730+5,IF(N($I730)&gt;0,$P730+7,$P730+14))))</f>
        <v/>
      </c>
      <c r="R730" s="48">
        <f>IF($Q730="","",IF($J730="Yes",$Q730+7,IF($G730="No",$Q730+14,$Q730+30)))</f>
        <v/>
      </c>
      <c r="S730" s="47" t="n"/>
      <c r="T730" s="50" t="n"/>
      <c r="U730" s="47">
        <f>IF($F730="","",MIN(24,MAX(1,ROUNDUP(($F730-DayPlan!$C$2+1)/7,0))))</f>
        <v/>
      </c>
      <c r="V730" s="47">
        <f>IF($A730=""," ",4*($J730="Yes")+3*($G730="No")+2*(N($I730)&gt;0)+1*(AND(ISNUMBER($H730),$H730&gt;45))+3*(AND(ISNUMBER($P730),$P730&lt;=TODAY()))-6*($S730="Yes")+(750-ROW())/100000)</f>
        <v/>
      </c>
      <c r="W730" s="47">
        <f>IF(OR($A730="",NOT(ISNUMBER($P730))),"",INT($P730-TODAY()))</f>
        <v/>
      </c>
      <c r="X730" s="47" t="n"/>
    </row>
    <row r="731">
      <c r="A731" s="50" t="n"/>
      <c r="B731" s="47" t="n"/>
      <c r="C731" s="47" t="n"/>
      <c r="D731" s="50" t="n"/>
      <c r="E731" s="50" t="n"/>
      <c r="F731" s="48" t="n"/>
      <c r="G731" s="47" t="n"/>
      <c r="H731" s="47" t="n"/>
      <c r="I731" s="47" t="n"/>
      <c r="J731" s="47" t="n"/>
      <c r="K731" s="47" t="n"/>
      <c r="L731" s="47" t="n"/>
      <c r="M731" s="50" t="n"/>
      <c r="N731" s="50" t="n"/>
      <c r="O731" s="50" t="n"/>
      <c r="P731" s="48">
        <f>IF($F731="","",IF($J731="Yes",$F731+1,IF($G731="No",$F731+2,IF(N($I731)&gt;2,$F731+3,IF(N($I731)&gt;0,$F731+5,$F731+7)))))</f>
        <v/>
      </c>
      <c r="Q731" s="48">
        <f>IF($P731="","",IF($J731="Yes",$P731+3,IF($G731="No",$P731+5,IF(N($I731)&gt;0,$P731+7,$P731+14))))</f>
        <v/>
      </c>
      <c r="R731" s="48">
        <f>IF($Q731="","",IF($J731="Yes",$Q731+7,IF($G731="No",$Q731+14,$Q731+30)))</f>
        <v/>
      </c>
      <c r="S731" s="47" t="n"/>
      <c r="T731" s="50" t="n"/>
      <c r="U731" s="47">
        <f>IF($F731="","",MIN(24,MAX(1,ROUNDUP(($F731-DayPlan!$C$2+1)/7,0))))</f>
        <v/>
      </c>
      <c r="V731" s="47">
        <f>IF($A731=""," ",4*($J731="Yes")+3*($G731="No")+2*(N($I731)&gt;0)+1*(AND(ISNUMBER($H731),$H731&gt;45))+3*(AND(ISNUMBER($P731),$P731&lt;=TODAY()))-6*($S731="Yes")+(750-ROW())/100000)</f>
        <v/>
      </c>
      <c r="W731" s="47">
        <f>IF(OR($A731="",NOT(ISNUMBER($P731))),"",INT($P731-TODAY()))</f>
        <v/>
      </c>
      <c r="X731" s="47" t="n"/>
    </row>
    <row r="732">
      <c r="A732" s="50" t="n"/>
      <c r="B732" s="47" t="n"/>
      <c r="C732" s="47" t="n"/>
      <c r="D732" s="50" t="n"/>
      <c r="E732" s="50" t="n"/>
      <c r="F732" s="48" t="n"/>
      <c r="G732" s="47" t="n"/>
      <c r="H732" s="47" t="n"/>
      <c r="I732" s="47" t="n"/>
      <c r="J732" s="47" t="n"/>
      <c r="K732" s="47" t="n"/>
      <c r="L732" s="47" t="n"/>
      <c r="M732" s="50" t="n"/>
      <c r="N732" s="50" t="n"/>
      <c r="O732" s="50" t="n"/>
      <c r="P732" s="48">
        <f>IF($F732="","",IF($J732="Yes",$F732+1,IF($G732="No",$F732+2,IF(N($I732)&gt;2,$F732+3,IF(N($I732)&gt;0,$F732+5,$F732+7)))))</f>
        <v/>
      </c>
      <c r="Q732" s="48">
        <f>IF($P732="","",IF($J732="Yes",$P732+3,IF($G732="No",$P732+5,IF(N($I732)&gt;0,$P732+7,$P732+14))))</f>
        <v/>
      </c>
      <c r="R732" s="48">
        <f>IF($Q732="","",IF($J732="Yes",$Q732+7,IF($G732="No",$Q732+14,$Q732+30)))</f>
        <v/>
      </c>
      <c r="S732" s="47" t="n"/>
      <c r="T732" s="50" t="n"/>
      <c r="U732" s="47">
        <f>IF($F732="","",MIN(24,MAX(1,ROUNDUP(($F732-DayPlan!$C$2+1)/7,0))))</f>
        <v/>
      </c>
      <c r="V732" s="47">
        <f>IF($A732=""," ",4*($J732="Yes")+3*($G732="No")+2*(N($I732)&gt;0)+1*(AND(ISNUMBER($H732),$H732&gt;45))+3*(AND(ISNUMBER($P732),$P732&lt;=TODAY()))-6*($S732="Yes")+(750-ROW())/100000)</f>
        <v/>
      </c>
      <c r="W732" s="47">
        <f>IF(OR($A732="",NOT(ISNUMBER($P732))),"",INT($P732-TODAY()))</f>
        <v/>
      </c>
      <c r="X732" s="47" t="n"/>
    </row>
    <row r="733">
      <c r="A733" s="50" t="n"/>
      <c r="B733" s="47" t="n"/>
      <c r="C733" s="47" t="n"/>
      <c r="D733" s="50" t="n"/>
      <c r="E733" s="50" t="n"/>
      <c r="F733" s="48" t="n"/>
      <c r="G733" s="47" t="n"/>
      <c r="H733" s="47" t="n"/>
      <c r="I733" s="47" t="n"/>
      <c r="J733" s="47" t="n"/>
      <c r="K733" s="47" t="n"/>
      <c r="L733" s="47" t="n"/>
      <c r="M733" s="50" t="n"/>
      <c r="N733" s="50" t="n"/>
      <c r="O733" s="50" t="n"/>
      <c r="P733" s="48">
        <f>IF($F733="","",IF($J733="Yes",$F733+1,IF($G733="No",$F733+2,IF(N($I733)&gt;2,$F733+3,IF(N($I733)&gt;0,$F733+5,$F733+7)))))</f>
        <v/>
      </c>
      <c r="Q733" s="48">
        <f>IF($P733="","",IF($J733="Yes",$P733+3,IF($G733="No",$P733+5,IF(N($I733)&gt;0,$P733+7,$P733+14))))</f>
        <v/>
      </c>
      <c r="R733" s="48">
        <f>IF($Q733="","",IF($J733="Yes",$Q733+7,IF($G733="No",$Q733+14,$Q733+30)))</f>
        <v/>
      </c>
      <c r="S733" s="47" t="n"/>
      <c r="T733" s="50" t="n"/>
      <c r="U733" s="47">
        <f>IF($F733="","",MIN(24,MAX(1,ROUNDUP(($F733-DayPlan!$C$2+1)/7,0))))</f>
        <v/>
      </c>
      <c r="V733" s="47">
        <f>IF($A733=""," ",4*($J733="Yes")+3*($G733="No")+2*(N($I733)&gt;0)+1*(AND(ISNUMBER($H733),$H733&gt;45))+3*(AND(ISNUMBER($P733),$P733&lt;=TODAY()))-6*($S733="Yes")+(750-ROW())/100000)</f>
        <v/>
      </c>
      <c r="W733" s="47">
        <f>IF(OR($A733="",NOT(ISNUMBER($P733))),"",INT($P733-TODAY()))</f>
        <v/>
      </c>
      <c r="X733" s="47" t="n"/>
    </row>
    <row r="734">
      <c r="A734" s="50" t="n"/>
      <c r="B734" s="47" t="n"/>
      <c r="C734" s="47" t="n"/>
      <c r="D734" s="50" t="n"/>
      <c r="E734" s="50" t="n"/>
      <c r="F734" s="48" t="n"/>
      <c r="G734" s="47" t="n"/>
      <c r="H734" s="47" t="n"/>
      <c r="I734" s="47" t="n"/>
      <c r="J734" s="47" t="n"/>
      <c r="K734" s="47" t="n"/>
      <c r="L734" s="47" t="n"/>
      <c r="M734" s="50" t="n"/>
      <c r="N734" s="50" t="n"/>
      <c r="O734" s="50" t="n"/>
      <c r="P734" s="48">
        <f>IF($F734="","",IF($J734="Yes",$F734+1,IF($G734="No",$F734+2,IF(N($I734)&gt;2,$F734+3,IF(N($I734)&gt;0,$F734+5,$F734+7)))))</f>
        <v/>
      </c>
      <c r="Q734" s="48">
        <f>IF($P734="","",IF($J734="Yes",$P734+3,IF($G734="No",$P734+5,IF(N($I734)&gt;0,$P734+7,$P734+14))))</f>
        <v/>
      </c>
      <c r="R734" s="48">
        <f>IF($Q734="","",IF($J734="Yes",$Q734+7,IF($G734="No",$Q734+14,$Q734+30)))</f>
        <v/>
      </c>
      <c r="S734" s="47" t="n"/>
      <c r="T734" s="50" t="n"/>
      <c r="U734" s="47">
        <f>IF($F734="","",MIN(24,MAX(1,ROUNDUP(($F734-DayPlan!$C$2+1)/7,0))))</f>
        <v/>
      </c>
      <c r="V734" s="47">
        <f>IF($A734=""," ",4*($J734="Yes")+3*($G734="No")+2*(N($I734)&gt;0)+1*(AND(ISNUMBER($H734),$H734&gt;45))+3*(AND(ISNUMBER($P734),$P734&lt;=TODAY()))-6*($S734="Yes")+(750-ROW())/100000)</f>
        <v/>
      </c>
      <c r="W734" s="47">
        <f>IF(OR($A734="",NOT(ISNUMBER($P734))),"",INT($P734-TODAY()))</f>
        <v/>
      </c>
      <c r="X734" s="47" t="n"/>
    </row>
    <row r="735">
      <c r="A735" s="50" t="n"/>
      <c r="B735" s="47" t="n"/>
      <c r="C735" s="47" t="n"/>
      <c r="D735" s="50" t="n"/>
      <c r="E735" s="50" t="n"/>
      <c r="F735" s="48" t="n"/>
      <c r="G735" s="47" t="n"/>
      <c r="H735" s="47" t="n"/>
      <c r="I735" s="47" t="n"/>
      <c r="J735" s="47" t="n"/>
      <c r="K735" s="47" t="n"/>
      <c r="L735" s="47" t="n"/>
      <c r="M735" s="50" t="n"/>
      <c r="N735" s="50" t="n"/>
      <c r="O735" s="50" t="n"/>
      <c r="P735" s="48">
        <f>IF($F735="","",IF($J735="Yes",$F735+1,IF($G735="No",$F735+2,IF(N($I735)&gt;2,$F735+3,IF(N($I735)&gt;0,$F735+5,$F735+7)))))</f>
        <v/>
      </c>
      <c r="Q735" s="48">
        <f>IF($P735="","",IF($J735="Yes",$P735+3,IF($G735="No",$P735+5,IF(N($I735)&gt;0,$P735+7,$P735+14))))</f>
        <v/>
      </c>
      <c r="R735" s="48">
        <f>IF($Q735="","",IF($J735="Yes",$Q735+7,IF($G735="No",$Q735+14,$Q735+30)))</f>
        <v/>
      </c>
      <c r="S735" s="47" t="n"/>
      <c r="T735" s="50" t="n"/>
      <c r="U735" s="47">
        <f>IF($F735="","",MIN(24,MAX(1,ROUNDUP(($F735-DayPlan!$C$2+1)/7,0))))</f>
        <v/>
      </c>
      <c r="V735" s="47">
        <f>IF($A735=""," ",4*($J735="Yes")+3*($G735="No")+2*(N($I735)&gt;0)+1*(AND(ISNUMBER($H735),$H735&gt;45))+3*(AND(ISNUMBER($P735),$P735&lt;=TODAY()))-6*($S735="Yes")+(750-ROW())/100000)</f>
        <v/>
      </c>
      <c r="W735" s="47">
        <f>IF(OR($A735="",NOT(ISNUMBER($P735))),"",INT($P735-TODAY()))</f>
        <v/>
      </c>
      <c r="X735" s="47" t="n"/>
    </row>
    <row r="736">
      <c r="A736" s="50" t="n"/>
      <c r="B736" s="47" t="n"/>
      <c r="C736" s="47" t="n"/>
      <c r="D736" s="50" t="n"/>
      <c r="E736" s="50" t="n"/>
      <c r="F736" s="48" t="n"/>
      <c r="G736" s="47" t="n"/>
      <c r="H736" s="47" t="n"/>
      <c r="I736" s="47" t="n"/>
      <c r="J736" s="47" t="n"/>
      <c r="K736" s="47" t="n"/>
      <c r="L736" s="47" t="n"/>
      <c r="M736" s="50" t="n"/>
      <c r="N736" s="50" t="n"/>
      <c r="O736" s="50" t="n"/>
      <c r="P736" s="48">
        <f>IF($F736="","",IF($J736="Yes",$F736+1,IF($G736="No",$F736+2,IF(N($I736)&gt;2,$F736+3,IF(N($I736)&gt;0,$F736+5,$F736+7)))))</f>
        <v/>
      </c>
      <c r="Q736" s="48">
        <f>IF($P736="","",IF($J736="Yes",$P736+3,IF($G736="No",$P736+5,IF(N($I736)&gt;0,$P736+7,$P736+14))))</f>
        <v/>
      </c>
      <c r="R736" s="48">
        <f>IF($Q736="","",IF($J736="Yes",$Q736+7,IF($G736="No",$Q736+14,$Q736+30)))</f>
        <v/>
      </c>
      <c r="S736" s="47" t="n"/>
      <c r="T736" s="50" t="n"/>
      <c r="U736" s="47">
        <f>IF($F736="","",MIN(24,MAX(1,ROUNDUP(($F736-DayPlan!$C$2+1)/7,0))))</f>
        <v/>
      </c>
      <c r="V736" s="47">
        <f>IF($A736=""," ",4*($J736="Yes")+3*($G736="No")+2*(N($I736)&gt;0)+1*(AND(ISNUMBER($H736),$H736&gt;45))+3*(AND(ISNUMBER($P736),$P736&lt;=TODAY()))-6*($S736="Yes")+(750-ROW())/100000)</f>
        <v/>
      </c>
      <c r="W736" s="47">
        <f>IF(OR($A736="",NOT(ISNUMBER($P736))),"",INT($P736-TODAY()))</f>
        <v/>
      </c>
      <c r="X736" s="47" t="n"/>
    </row>
    <row r="737">
      <c r="A737" s="50" t="n"/>
      <c r="B737" s="47" t="n"/>
      <c r="C737" s="47" t="n"/>
      <c r="D737" s="50" t="n"/>
      <c r="E737" s="50" t="n"/>
      <c r="F737" s="48" t="n"/>
      <c r="G737" s="47" t="n"/>
      <c r="H737" s="47" t="n"/>
      <c r="I737" s="47" t="n"/>
      <c r="J737" s="47" t="n"/>
      <c r="K737" s="47" t="n"/>
      <c r="L737" s="47" t="n"/>
      <c r="M737" s="50" t="n"/>
      <c r="N737" s="50" t="n"/>
      <c r="O737" s="50" t="n"/>
      <c r="P737" s="48">
        <f>IF($F737="","",IF($J737="Yes",$F737+1,IF($G737="No",$F737+2,IF(N($I737)&gt;2,$F737+3,IF(N($I737)&gt;0,$F737+5,$F737+7)))))</f>
        <v/>
      </c>
      <c r="Q737" s="48">
        <f>IF($P737="","",IF($J737="Yes",$P737+3,IF($G737="No",$P737+5,IF(N($I737)&gt;0,$P737+7,$P737+14))))</f>
        <v/>
      </c>
      <c r="R737" s="48">
        <f>IF($Q737="","",IF($J737="Yes",$Q737+7,IF($G737="No",$Q737+14,$Q737+30)))</f>
        <v/>
      </c>
      <c r="S737" s="47" t="n"/>
      <c r="T737" s="50" t="n"/>
      <c r="U737" s="47">
        <f>IF($F737="","",MIN(24,MAX(1,ROUNDUP(($F737-DayPlan!$C$2+1)/7,0))))</f>
        <v/>
      </c>
      <c r="V737" s="47">
        <f>IF($A737=""," ",4*($J737="Yes")+3*($G737="No")+2*(N($I737)&gt;0)+1*(AND(ISNUMBER($H737),$H737&gt;45))+3*(AND(ISNUMBER($P737),$P737&lt;=TODAY()))-6*($S737="Yes")+(750-ROW())/100000)</f>
        <v/>
      </c>
      <c r="W737" s="47">
        <f>IF(OR($A737="",NOT(ISNUMBER($P737))),"",INT($P737-TODAY()))</f>
        <v/>
      </c>
      <c r="X737" s="47" t="n"/>
    </row>
    <row r="738">
      <c r="A738" s="50" t="n"/>
      <c r="B738" s="47" t="n"/>
      <c r="C738" s="47" t="n"/>
      <c r="D738" s="50" t="n"/>
      <c r="E738" s="50" t="n"/>
      <c r="F738" s="48" t="n"/>
      <c r="G738" s="47" t="n"/>
      <c r="H738" s="47" t="n"/>
      <c r="I738" s="47" t="n"/>
      <c r="J738" s="47" t="n"/>
      <c r="K738" s="47" t="n"/>
      <c r="L738" s="47" t="n"/>
      <c r="M738" s="50" t="n"/>
      <c r="N738" s="50" t="n"/>
      <c r="O738" s="50" t="n"/>
      <c r="P738" s="48">
        <f>IF($F738="","",IF($J738="Yes",$F738+1,IF($G738="No",$F738+2,IF(N($I738)&gt;2,$F738+3,IF(N($I738)&gt;0,$F738+5,$F738+7)))))</f>
        <v/>
      </c>
      <c r="Q738" s="48">
        <f>IF($P738="","",IF($J738="Yes",$P738+3,IF($G738="No",$P738+5,IF(N($I738)&gt;0,$P738+7,$P738+14))))</f>
        <v/>
      </c>
      <c r="R738" s="48">
        <f>IF($Q738="","",IF($J738="Yes",$Q738+7,IF($G738="No",$Q738+14,$Q738+30)))</f>
        <v/>
      </c>
      <c r="S738" s="47" t="n"/>
      <c r="T738" s="50" t="n"/>
      <c r="U738" s="47">
        <f>IF($F738="","",MIN(24,MAX(1,ROUNDUP(($F738-DayPlan!$C$2+1)/7,0))))</f>
        <v/>
      </c>
      <c r="V738" s="47">
        <f>IF($A738=""," ",4*($J738="Yes")+3*($G738="No")+2*(N($I738)&gt;0)+1*(AND(ISNUMBER($H738),$H738&gt;45))+3*(AND(ISNUMBER($P738),$P738&lt;=TODAY()))-6*($S738="Yes")+(750-ROW())/100000)</f>
        <v/>
      </c>
      <c r="W738" s="47">
        <f>IF(OR($A738="",NOT(ISNUMBER($P738))),"",INT($P738-TODAY()))</f>
        <v/>
      </c>
      <c r="X738" s="47" t="n"/>
    </row>
    <row r="739">
      <c r="A739" s="50" t="n"/>
      <c r="B739" s="47" t="n"/>
      <c r="C739" s="47" t="n"/>
      <c r="D739" s="50" t="n"/>
      <c r="E739" s="50" t="n"/>
      <c r="F739" s="48" t="n"/>
      <c r="G739" s="47" t="n"/>
      <c r="H739" s="47" t="n"/>
      <c r="I739" s="47" t="n"/>
      <c r="J739" s="47" t="n"/>
      <c r="K739" s="47" t="n"/>
      <c r="L739" s="47" t="n"/>
      <c r="M739" s="50" t="n"/>
      <c r="N739" s="50" t="n"/>
      <c r="O739" s="50" t="n"/>
      <c r="P739" s="48">
        <f>IF($F739="","",IF($J739="Yes",$F739+1,IF($G739="No",$F739+2,IF(N($I739)&gt;2,$F739+3,IF(N($I739)&gt;0,$F739+5,$F739+7)))))</f>
        <v/>
      </c>
      <c r="Q739" s="48">
        <f>IF($P739="","",IF($J739="Yes",$P739+3,IF($G739="No",$P739+5,IF(N($I739)&gt;0,$P739+7,$P739+14))))</f>
        <v/>
      </c>
      <c r="R739" s="48">
        <f>IF($Q739="","",IF($J739="Yes",$Q739+7,IF($G739="No",$Q739+14,$Q739+30)))</f>
        <v/>
      </c>
      <c r="S739" s="47" t="n"/>
      <c r="T739" s="50" t="n"/>
      <c r="U739" s="47">
        <f>IF($F739="","",MIN(24,MAX(1,ROUNDUP(($F739-DayPlan!$C$2+1)/7,0))))</f>
        <v/>
      </c>
      <c r="V739" s="47">
        <f>IF($A739=""," ",4*($J739="Yes")+3*($G739="No")+2*(N($I739)&gt;0)+1*(AND(ISNUMBER($H739),$H739&gt;45))+3*(AND(ISNUMBER($P739),$P739&lt;=TODAY()))-6*($S739="Yes")+(750-ROW())/100000)</f>
        <v/>
      </c>
      <c r="W739" s="47">
        <f>IF(OR($A739="",NOT(ISNUMBER($P739))),"",INT($P739-TODAY()))</f>
        <v/>
      </c>
      <c r="X739" s="47" t="n"/>
    </row>
    <row r="740">
      <c r="A740" s="50" t="n"/>
      <c r="B740" s="47" t="n"/>
      <c r="C740" s="47" t="n"/>
      <c r="D740" s="50" t="n"/>
      <c r="E740" s="50" t="n"/>
      <c r="F740" s="48" t="n"/>
      <c r="G740" s="47" t="n"/>
      <c r="H740" s="47" t="n"/>
      <c r="I740" s="47" t="n"/>
      <c r="J740" s="47" t="n"/>
      <c r="K740" s="47" t="n"/>
      <c r="L740" s="47" t="n"/>
      <c r="M740" s="50" t="n"/>
      <c r="N740" s="50" t="n"/>
      <c r="O740" s="50" t="n"/>
      <c r="P740" s="48">
        <f>IF($F740="","",IF($J740="Yes",$F740+1,IF($G740="No",$F740+2,IF(N($I740)&gt;2,$F740+3,IF(N($I740)&gt;0,$F740+5,$F740+7)))))</f>
        <v/>
      </c>
      <c r="Q740" s="48">
        <f>IF($P740="","",IF($J740="Yes",$P740+3,IF($G740="No",$P740+5,IF(N($I740)&gt;0,$P740+7,$P740+14))))</f>
        <v/>
      </c>
      <c r="R740" s="48">
        <f>IF($Q740="","",IF($J740="Yes",$Q740+7,IF($G740="No",$Q740+14,$Q740+30)))</f>
        <v/>
      </c>
      <c r="S740" s="47" t="n"/>
      <c r="T740" s="50" t="n"/>
      <c r="U740" s="47">
        <f>IF($F740="","",MIN(24,MAX(1,ROUNDUP(($F740-DayPlan!$C$2+1)/7,0))))</f>
        <v/>
      </c>
      <c r="V740" s="47">
        <f>IF($A740=""," ",4*($J740="Yes")+3*($G740="No")+2*(N($I740)&gt;0)+1*(AND(ISNUMBER($H740),$H740&gt;45))+3*(AND(ISNUMBER($P740),$P740&lt;=TODAY()))-6*($S740="Yes")+(750-ROW())/100000)</f>
        <v/>
      </c>
      <c r="W740" s="47">
        <f>IF(OR($A740="",NOT(ISNUMBER($P740))),"",INT($P740-TODAY()))</f>
        <v/>
      </c>
      <c r="X740" s="47" t="n"/>
    </row>
    <row r="741">
      <c r="A741" s="50" t="n"/>
      <c r="B741" s="47" t="n"/>
      <c r="C741" s="47" t="n"/>
      <c r="D741" s="50" t="n"/>
      <c r="E741" s="50" t="n"/>
      <c r="F741" s="48" t="n"/>
      <c r="G741" s="47" t="n"/>
      <c r="H741" s="47" t="n"/>
      <c r="I741" s="47" t="n"/>
      <c r="J741" s="47" t="n"/>
      <c r="K741" s="47" t="n"/>
      <c r="L741" s="47" t="n"/>
      <c r="M741" s="50" t="n"/>
      <c r="N741" s="50" t="n"/>
      <c r="O741" s="50" t="n"/>
      <c r="P741" s="48">
        <f>IF($F741="","",IF($J741="Yes",$F741+1,IF($G741="No",$F741+2,IF(N($I741)&gt;2,$F741+3,IF(N($I741)&gt;0,$F741+5,$F741+7)))))</f>
        <v/>
      </c>
      <c r="Q741" s="48">
        <f>IF($P741="","",IF($J741="Yes",$P741+3,IF($G741="No",$P741+5,IF(N($I741)&gt;0,$P741+7,$P741+14))))</f>
        <v/>
      </c>
      <c r="R741" s="48">
        <f>IF($Q741="","",IF($J741="Yes",$Q741+7,IF($G741="No",$Q741+14,$Q741+30)))</f>
        <v/>
      </c>
      <c r="S741" s="47" t="n"/>
      <c r="T741" s="50" t="n"/>
      <c r="U741" s="47">
        <f>IF($F741="","",MIN(24,MAX(1,ROUNDUP(($F741-DayPlan!$C$2+1)/7,0))))</f>
        <v/>
      </c>
      <c r="V741" s="47">
        <f>IF($A741=""," ",4*($J741="Yes")+3*($G741="No")+2*(N($I741)&gt;0)+1*(AND(ISNUMBER($H741),$H741&gt;45))+3*(AND(ISNUMBER($P741),$P741&lt;=TODAY()))-6*($S741="Yes")+(750-ROW())/100000)</f>
        <v/>
      </c>
      <c r="W741" s="47">
        <f>IF(OR($A741="",NOT(ISNUMBER($P741))),"",INT($P741-TODAY()))</f>
        <v/>
      </c>
      <c r="X741" s="47" t="n"/>
    </row>
    <row r="742">
      <c r="A742" s="50" t="n"/>
      <c r="B742" s="47" t="n"/>
      <c r="C742" s="47" t="n"/>
      <c r="D742" s="50" t="n"/>
      <c r="E742" s="50" t="n"/>
      <c r="F742" s="48" t="n"/>
      <c r="G742" s="47" t="n"/>
      <c r="H742" s="47" t="n"/>
      <c r="I742" s="47" t="n"/>
      <c r="J742" s="47" t="n"/>
      <c r="K742" s="47" t="n"/>
      <c r="L742" s="47" t="n"/>
      <c r="M742" s="50" t="n"/>
      <c r="N742" s="50" t="n"/>
      <c r="O742" s="50" t="n"/>
      <c r="P742" s="48">
        <f>IF($F742="","",IF($J742="Yes",$F742+1,IF($G742="No",$F742+2,IF(N($I742)&gt;2,$F742+3,IF(N($I742)&gt;0,$F742+5,$F742+7)))))</f>
        <v/>
      </c>
      <c r="Q742" s="48">
        <f>IF($P742="","",IF($J742="Yes",$P742+3,IF($G742="No",$P742+5,IF(N($I742)&gt;0,$P742+7,$P742+14))))</f>
        <v/>
      </c>
      <c r="R742" s="48">
        <f>IF($Q742="","",IF($J742="Yes",$Q742+7,IF($G742="No",$Q742+14,$Q742+30)))</f>
        <v/>
      </c>
      <c r="S742" s="47" t="n"/>
      <c r="T742" s="50" t="n"/>
      <c r="U742" s="47">
        <f>IF($F742="","",MIN(24,MAX(1,ROUNDUP(($F742-DayPlan!$C$2+1)/7,0))))</f>
        <v/>
      </c>
      <c r="V742" s="47">
        <f>IF($A742=""," ",4*($J742="Yes")+3*($G742="No")+2*(N($I742)&gt;0)+1*(AND(ISNUMBER($H742),$H742&gt;45))+3*(AND(ISNUMBER($P742),$P742&lt;=TODAY()))-6*($S742="Yes")+(750-ROW())/100000)</f>
        <v/>
      </c>
      <c r="W742" s="47">
        <f>IF(OR($A742="",NOT(ISNUMBER($P742))),"",INT($P742-TODAY()))</f>
        <v/>
      </c>
      <c r="X742" s="47" t="n"/>
    </row>
    <row r="743">
      <c r="A743" s="50" t="n"/>
      <c r="B743" s="47" t="n"/>
      <c r="C743" s="47" t="n"/>
      <c r="D743" s="50" t="n"/>
      <c r="E743" s="50" t="n"/>
      <c r="F743" s="48" t="n"/>
      <c r="G743" s="47" t="n"/>
      <c r="H743" s="47" t="n"/>
      <c r="I743" s="47" t="n"/>
      <c r="J743" s="47" t="n"/>
      <c r="K743" s="47" t="n"/>
      <c r="L743" s="47" t="n"/>
      <c r="M743" s="50" t="n"/>
      <c r="N743" s="50" t="n"/>
      <c r="O743" s="50" t="n"/>
      <c r="P743" s="48">
        <f>IF($F743="","",IF($J743="Yes",$F743+1,IF($G743="No",$F743+2,IF(N($I743)&gt;2,$F743+3,IF(N($I743)&gt;0,$F743+5,$F743+7)))))</f>
        <v/>
      </c>
      <c r="Q743" s="48">
        <f>IF($P743="","",IF($J743="Yes",$P743+3,IF($G743="No",$P743+5,IF(N($I743)&gt;0,$P743+7,$P743+14))))</f>
        <v/>
      </c>
      <c r="R743" s="48">
        <f>IF($Q743="","",IF($J743="Yes",$Q743+7,IF($G743="No",$Q743+14,$Q743+30)))</f>
        <v/>
      </c>
      <c r="S743" s="47" t="n"/>
      <c r="T743" s="50" t="n"/>
      <c r="U743" s="47">
        <f>IF($F743="","",MIN(24,MAX(1,ROUNDUP(($F743-DayPlan!$C$2+1)/7,0))))</f>
        <v/>
      </c>
      <c r="V743" s="47">
        <f>IF($A743=""," ",4*($J743="Yes")+3*($G743="No")+2*(N($I743)&gt;0)+1*(AND(ISNUMBER($H743),$H743&gt;45))+3*(AND(ISNUMBER($P743),$P743&lt;=TODAY()))-6*($S743="Yes")+(750-ROW())/100000)</f>
        <v/>
      </c>
      <c r="W743" s="47">
        <f>IF(OR($A743="",NOT(ISNUMBER($P743))),"",INT($P743-TODAY()))</f>
        <v/>
      </c>
      <c r="X743" s="47" t="n"/>
    </row>
    <row r="744">
      <c r="A744" s="50" t="n"/>
      <c r="B744" s="47" t="n"/>
      <c r="C744" s="47" t="n"/>
      <c r="D744" s="50" t="n"/>
      <c r="E744" s="50" t="n"/>
      <c r="F744" s="48" t="n"/>
      <c r="G744" s="47" t="n"/>
      <c r="H744" s="47" t="n"/>
      <c r="I744" s="47" t="n"/>
      <c r="J744" s="47" t="n"/>
      <c r="K744" s="47" t="n"/>
      <c r="L744" s="47" t="n"/>
      <c r="M744" s="50" t="n"/>
      <c r="N744" s="50" t="n"/>
      <c r="O744" s="50" t="n"/>
      <c r="P744" s="48">
        <f>IF($F744="","",IF($J744="Yes",$F744+1,IF($G744="No",$F744+2,IF(N($I744)&gt;2,$F744+3,IF(N($I744)&gt;0,$F744+5,$F744+7)))))</f>
        <v/>
      </c>
      <c r="Q744" s="48">
        <f>IF($P744="","",IF($J744="Yes",$P744+3,IF($G744="No",$P744+5,IF(N($I744)&gt;0,$P744+7,$P744+14))))</f>
        <v/>
      </c>
      <c r="R744" s="48">
        <f>IF($Q744="","",IF($J744="Yes",$Q744+7,IF($G744="No",$Q744+14,$Q744+30)))</f>
        <v/>
      </c>
      <c r="S744" s="47" t="n"/>
      <c r="T744" s="50" t="n"/>
      <c r="U744" s="47">
        <f>IF($F744="","",MIN(24,MAX(1,ROUNDUP(($F744-DayPlan!$C$2+1)/7,0))))</f>
        <v/>
      </c>
      <c r="V744" s="47">
        <f>IF($A744=""," ",4*($J744="Yes")+3*($G744="No")+2*(N($I744)&gt;0)+1*(AND(ISNUMBER($H744),$H744&gt;45))+3*(AND(ISNUMBER($P744),$P744&lt;=TODAY()))-6*($S744="Yes")+(750-ROW())/100000)</f>
        <v/>
      </c>
      <c r="W744" s="47">
        <f>IF(OR($A744="",NOT(ISNUMBER($P744))),"",INT($P744-TODAY()))</f>
        <v/>
      </c>
      <c r="X744" s="47" t="n"/>
    </row>
    <row r="745">
      <c r="A745" s="50" t="n"/>
      <c r="B745" s="47" t="n"/>
      <c r="C745" s="47" t="n"/>
      <c r="D745" s="50" t="n"/>
      <c r="E745" s="50" t="n"/>
      <c r="F745" s="48" t="n"/>
      <c r="G745" s="47" t="n"/>
      <c r="H745" s="47" t="n"/>
      <c r="I745" s="47" t="n"/>
      <c r="J745" s="47" t="n"/>
      <c r="K745" s="47" t="n"/>
      <c r="L745" s="47" t="n"/>
      <c r="M745" s="50" t="n"/>
      <c r="N745" s="50" t="n"/>
      <c r="O745" s="50" t="n"/>
      <c r="P745" s="48">
        <f>IF($F745="","",IF($J745="Yes",$F745+1,IF($G745="No",$F745+2,IF(N($I745)&gt;2,$F745+3,IF(N($I745)&gt;0,$F745+5,$F745+7)))))</f>
        <v/>
      </c>
      <c r="Q745" s="48">
        <f>IF($P745="","",IF($J745="Yes",$P745+3,IF($G745="No",$P745+5,IF(N($I745)&gt;0,$P745+7,$P745+14))))</f>
        <v/>
      </c>
      <c r="R745" s="48">
        <f>IF($Q745="","",IF($J745="Yes",$Q745+7,IF($G745="No",$Q745+14,$Q745+30)))</f>
        <v/>
      </c>
      <c r="S745" s="47" t="n"/>
      <c r="T745" s="50" t="n"/>
      <c r="U745" s="47">
        <f>IF($F745="","",MIN(24,MAX(1,ROUNDUP(($F745-DayPlan!$C$2+1)/7,0))))</f>
        <v/>
      </c>
      <c r="V745" s="47">
        <f>IF($A745=""," ",4*($J745="Yes")+3*($G745="No")+2*(N($I745)&gt;0)+1*(AND(ISNUMBER($H745),$H745&gt;45))+3*(AND(ISNUMBER($P745),$P745&lt;=TODAY()))-6*($S745="Yes")+(750-ROW())/100000)</f>
        <v/>
      </c>
      <c r="W745" s="47">
        <f>IF(OR($A745="",NOT(ISNUMBER($P745))),"",INT($P745-TODAY()))</f>
        <v/>
      </c>
      <c r="X745" s="47" t="n"/>
    </row>
    <row r="746">
      <c r="A746" s="50" t="n"/>
      <c r="B746" s="47" t="n"/>
      <c r="C746" s="47" t="n"/>
      <c r="D746" s="50" t="n"/>
      <c r="E746" s="50" t="n"/>
      <c r="F746" s="48" t="n"/>
      <c r="G746" s="47" t="n"/>
      <c r="H746" s="47" t="n"/>
      <c r="I746" s="47" t="n"/>
      <c r="J746" s="47" t="n"/>
      <c r="K746" s="47" t="n"/>
      <c r="L746" s="47" t="n"/>
      <c r="M746" s="50" t="n"/>
      <c r="N746" s="50" t="n"/>
      <c r="O746" s="50" t="n"/>
      <c r="P746" s="48">
        <f>IF($F746="","",IF($J746="Yes",$F746+1,IF($G746="No",$F746+2,IF(N($I746)&gt;2,$F746+3,IF(N($I746)&gt;0,$F746+5,$F746+7)))))</f>
        <v/>
      </c>
      <c r="Q746" s="48">
        <f>IF($P746="","",IF($J746="Yes",$P746+3,IF($G746="No",$P746+5,IF(N($I746)&gt;0,$P746+7,$P746+14))))</f>
        <v/>
      </c>
      <c r="R746" s="48">
        <f>IF($Q746="","",IF($J746="Yes",$Q746+7,IF($G746="No",$Q746+14,$Q746+30)))</f>
        <v/>
      </c>
      <c r="S746" s="47" t="n"/>
      <c r="T746" s="50" t="n"/>
      <c r="U746" s="47">
        <f>IF($F746="","",MIN(24,MAX(1,ROUNDUP(($F746-DayPlan!$C$2+1)/7,0))))</f>
        <v/>
      </c>
      <c r="V746" s="47">
        <f>IF($A746=""," ",4*($J746="Yes")+3*($G746="No")+2*(N($I746)&gt;0)+1*(AND(ISNUMBER($H746),$H746&gt;45))+3*(AND(ISNUMBER($P746),$P746&lt;=TODAY()))-6*($S746="Yes")+(750-ROW())/100000)</f>
        <v/>
      </c>
      <c r="W746" s="47">
        <f>IF(OR($A746="",NOT(ISNUMBER($P746))),"",INT($P746-TODAY()))</f>
        <v/>
      </c>
      <c r="X746" s="47" t="n"/>
    </row>
    <row r="747">
      <c r="A747" s="50" t="n"/>
      <c r="B747" s="47" t="n"/>
      <c r="C747" s="47" t="n"/>
      <c r="D747" s="50" t="n"/>
      <c r="E747" s="50" t="n"/>
      <c r="F747" s="48" t="n"/>
      <c r="G747" s="47" t="n"/>
      <c r="H747" s="47" t="n"/>
      <c r="I747" s="47" t="n"/>
      <c r="J747" s="47" t="n"/>
      <c r="K747" s="47" t="n"/>
      <c r="L747" s="47" t="n"/>
      <c r="M747" s="50" t="n"/>
      <c r="N747" s="50" t="n"/>
      <c r="O747" s="50" t="n"/>
      <c r="P747" s="48">
        <f>IF($F747="","",IF($J747="Yes",$F747+1,IF($G747="No",$F747+2,IF(N($I747)&gt;2,$F747+3,IF(N($I747)&gt;0,$F747+5,$F747+7)))))</f>
        <v/>
      </c>
      <c r="Q747" s="48">
        <f>IF($P747="","",IF($J747="Yes",$P747+3,IF($G747="No",$P747+5,IF(N($I747)&gt;0,$P747+7,$P747+14))))</f>
        <v/>
      </c>
      <c r="R747" s="48">
        <f>IF($Q747="","",IF($J747="Yes",$Q747+7,IF($G747="No",$Q747+14,$Q747+30)))</f>
        <v/>
      </c>
      <c r="S747" s="47" t="n"/>
      <c r="T747" s="50" t="n"/>
      <c r="U747" s="47">
        <f>IF($F747="","",MIN(24,MAX(1,ROUNDUP(($F747-DayPlan!$C$2+1)/7,0))))</f>
        <v/>
      </c>
      <c r="V747" s="47">
        <f>IF($A747=""," ",4*($J747="Yes")+3*($G747="No")+2*(N($I747)&gt;0)+1*(AND(ISNUMBER($H747),$H747&gt;45))+3*(AND(ISNUMBER($P747),$P747&lt;=TODAY()))-6*($S747="Yes")+(750-ROW())/100000)</f>
        <v/>
      </c>
      <c r="W747" s="47">
        <f>IF(OR($A747="",NOT(ISNUMBER($P747))),"",INT($P747-TODAY()))</f>
        <v/>
      </c>
      <c r="X747" s="47" t="n"/>
    </row>
    <row r="748">
      <c r="A748" s="50" t="n"/>
      <c r="B748" s="47" t="n"/>
      <c r="C748" s="47" t="n"/>
      <c r="D748" s="50" t="n"/>
      <c r="E748" s="50" t="n"/>
      <c r="F748" s="48" t="n"/>
      <c r="G748" s="47" t="n"/>
      <c r="H748" s="47" t="n"/>
      <c r="I748" s="47" t="n"/>
      <c r="J748" s="47" t="n"/>
      <c r="K748" s="47" t="n"/>
      <c r="L748" s="47" t="n"/>
      <c r="M748" s="50" t="n"/>
      <c r="N748" s="50" t="n"/>
      <c r="O748" s="50" t="n"/>
      <c r="P748" s="48">
        <f>IF($F748="","",IF($J748="Yes",$F748+1,IF($G748="No",$F748+2,IF(N($I748)&gt;2,$F748+3,IF(N($I748)&gt;0,$F748+5,$F748+7)))))</f>
        <v/>
      </c>
      <c r="Q748" s="48">
        <f>IF($P748="","",IF($J748="Yes",$P748+3,IF($G748="No",$P748+5,IF(N($I748)&gt;0,$P748+7,$P748+14))))</f>
        <v/>
      </c>
      <c r="R748" s="48">
        <f>IF($Q748="","",IF($J748="Yes",$Q748+7,IF($G748="No",$Q748+14,$Q748+30)))</f>
        <v/>
      </c>
      <c r="S748" s="47" t="n"/>
      <c r="T748" s="50" t="n"/>
      <c r="U748" s="47">
        <f>IF($F748="","",MIN(24,MAX(1,ROUNDUP(($F748-DayPlan!$C$2+1)/7,0))))</f>
        <v/>
      </c>
      <c r="V748" s="47">
        <f>IF($A748=""," ",4*($J748="Yes")+3*($G748="No")+2*(N($I748)&gt;0)+1*(AND(ISNUMBER($H748),$H748&gt;45))+3*(AND(ISNUMBER($P748),$P748&lt;=TODAY()))-6*($S748="Yes")+(750-ROW())/100000)</f>
        <v/>
      </c>
      <c r="W748" s="47">
        <f>IF(OR($A748="",NOT(ISNUMBER($P748))),"",INT($P748-TODAY()))</f>
        <v/>
      </c>
      <c r="X748" s="47" t="n"/>
    </row>
    <row r="749">
      <c r="A749" s="50" t="n"/>
      <c r="B749" s="47" t="n"/>
      <c r="C749" s="47" t="n"/>
      <c r="D749" s="50" t="n"/>
      <c r="E749" s="50" t="n"/>
      <c r="F749" s="48" t="n"/>
      <c r="G749" s="47" t="n"/>
      <c r="H749" s="47" t="n"/>
      <c r="I749" s="47" t="n"/>
      <c r="J749" s="47" t="n"/>
      <c r="K749" s="47" t="n"/>
      <c r="L749" s="47" t="n"/>
      <c r="M749" s="50" t="n"/>
      <c r="N749" s="50" t="n"/>
      <c r="O749" s="50" t="n"/>
      <c r="P749" s="48">
        <f>IF($F749="","",IF($J749="Yes",$F749+1,IF($G749="No",$F749+2,IF(N($I749)&gt;2,$F749+3,IF(N($I749)&gt;0,$F749+5,$F749+7)))))</f>
        <v/>
      </c>
      <c r="Q749" s="48">
        <f>IF($P749="","",IF($J749="Yes",$P749+3,IF($G749="No",$P749+5,IF(N($I749)&gt;0,$P749+7,$P749+14))))</f>
        <v/>
      </c>
      <c r="R749" s="48">
        <f>IF($Q749="","",IF($J749="Yes",$Q749+7,IF($G749="No",$Q749+14,$Q749+30)))</f>
        <v/>
      </c>
      <c r="S749" s="47" t="n"/>
      <c r="T749" s="50" t="n"/>
      <c r="U749" s="47">
        <f>IF($F749="","",MIN(24,MAX(1,ROUNDUP(($F749-DayPlan!$C$2+1)/7,0))))</f>
        <v/>
      </c>
      <c r="V749" s="47">
        <f>IF($A749=""," ",4*($J749="Yes")+3*($G749="No")+2*(N($I749)&gt;0)+1*(AND(ISNUMBER($H749),$H749&gt;45))+3*(AND(ISNUMBER($P749),$P749&lt;=TODAY()))-6*($S749="Yes")+(750-ROW())/100000)</f>
        <v/>
      </c>
      <c r="W749" s="47">
        <f>IF(OR($A749="",NOT(ISNUMBER($P749))),"",INT($P749-TODAY()))</f>
        <v/>
      </c>
      <c r="X749" s="47" t="n"/>
    </row>
    <row r="750">
      <c r="A750" s="50" t="n"/>
      <c r="B750" s="47" t="n"/>
      <c r="C750" s="47" t="n"/>
      <c r="D750" s="50" t="n"/>
      <c r="E750" s="50" t="n"/>
      <c r="F750" s="48" t="n"/>
      <c r="G750" s="47" t="n"/>
      <c r="H750" s="47" t="n"/>
      <c r="I750" s="47" t="n"/>
      <c r="J750" s="47" t="n"/>
      <c r="K750" s="47" t="n"/>
      <c r="L750" s="47" t="n"/>
      <c r="M750" s="50" t="n"/>
      <c r="N750" s="50" t="n"/>
      <c r="O750" s="50" t="n"/>
      <c r="P750" s="48">
        <f>IF($F750="","",IF($J750="Yes",$F750+1,IF($G750="No",$F750+2,IF(N($I750)&gt;2,$F750+3,IF(N($I750)&gt;0,$F750+5,$F750+7)))))</f>
        <v/>
      </c>
      <c r="Q750" s="48">
        <f>IF($P750="","",IF($J750="Yes",$P750+3,IF($G750="No",$P750+5,IF(N($I750)&gt;0,$P750+7,$P750+14))))</f>
        <v/>
      </c>
      <c r="R750" s="48">
        <f>IF($Q750="","",IF($J750="Yes",$Q750+7,IF($G750="No",$Q750+14,$Q750+30)))</f>
        <v/>
      </c>
      <c r="S750" s="47" t="n"/>
      <c r="T750" s="50" t="n"/>
      <c r="U750" s="47">
        <f>IF($F750="","",MIN(24,MAX(1,ROUNDUP(($F750-DayPlan!$C$2+1)/7,0))))</f>
        <v/>
      </c>
      <c r="V750" s="47">
        <f>IF($A750=""," ",4*($J750="Yes")+3*($G750="No")+2*(N($I750)&gt;0)+1*(AND(ISNUMBER($H750),$H750&gt;45))+3*(AND(ISNUMBER($P750),$P750&lt;=TODAY()))-6*($S750="Yes")+(750-ROW())/100000)</f>
        <v/>
      </c>
      <c r="W750" s="47">
        <f>IF(OR($A750="",NOT(ISNUMBER($P750))),"",INT($P750-TODAY()))</f>
        <v/>
      </c>
      <c r="X750" s="47" t="n"/>
    </row>
  </sheetData>
  <autoFilter ref="A1:X750"/>
  <conditionalFormatting sqref="G2:G750">
    <cfRule type="cellIs" priority="1" operator="equal" dxfId="1">
      <formula>"No"</formula>
    </cfRule>
    <cfRule type="cellIs" priority="2" operator="equal" dxfId="0">
      <formula>"Yes"</formula>
    </cfRule>
  </conditionalFormatting>
  <conditionalFormatting sqref="J2:J750">
    <cfRule type="cellIs" priority="3" operator="equal" dxfId="1">
      <formula>"Yes"</formula>
    </cfRule>
  </conditionalFormatting>
  <conditionalFormatting sqref="S2:S750">
    <cfRule type="cellIs" priority="4" operator="equal" dxfId="0">
      <formula>"Yes"</formula>
    </cfRule>
  </conditionalFormatting>
  <conditionalFormatting sqref="W2:W750">
    <cfRule type="cellIs" priority="5" operator="lessThanOrEqual" dxfId="2">
      <formula>0</formula>
    </cfRule>
  </conditionalFormatting>
  <conditionalFormatting sqref="V2:V750">
    <cfRule type="colorScale" priority="6">
      <colorScale>
        <cfvo type="num" val="0"/>
        <cfvo type="num" val="5"/>
        <cfvo type="num" val="10"/>
        <color rgb="0016A34A"/>
        <color rgb="00CA8A04"/>
        <color rgb="00DC2626"/>
      </colorScale>
    </cfRule>
  </conditionalFormatting>
  <dataValidations count="6">
    <dataValidation sqref="C2:C750" showDropDown="0" showInputMessage="0" showErrorMessage="0" allowBlank="1" promptTitle="Difficulty" type="list">
      <formula1>"E,M,H"</formula1>
    </dataValidation>
    <dataValidation sqref="G2:G750" showDropDown="0" showInputMessage="0" showErrorMessage="0" allowBlank="1" promptTitle="Independent?" type="list">
      <formula1>"Yes,No"</formula1>
    </dataValidation>
    <dataValidation sqref="J2:J750" showDropDown="0" showInputMessage="0" showErrorMessage="0" allowBlank="1" promptTitle="Solution viewed?" type="list">
      <formula1>"Yes,No"</formula1>
    </dataValidation>
    <dataValidation sqref="S2:S750" showDropDown="0" showInputMessage="0" showErrorMessage="0" allowBlank="1" promptTitle="Mastered?" type="list">
      <formula1>"Yes,No"</formula1>
    </dataValidation>
    <dataValidation sqref="X2:X750" showDropDown="0" showInputMessage="0" showErrorMessage="0" allowBlank="1" promptTitle="2nd solution found?" type="list">
      <formula1>"Yes,No"</formula1>
    </dataValidation>
    <dataValidation sqref="M2:M750" showDropDown="0" showInputMessage="0" showErrorMessage="0" allowBlank="1" promptTitle="Mistake category" type="list">
      <formula1>"F1-Understand,F2-Pattern,F3-Derive,F4-WrongDS,F5-Complexity,F6-Implementation,F7-EdgeCase,F8-Debugging,F9-Forgot,F10-Pressure,F11-HintDependent,F12-CantExplain"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32" customWidth="1" min="3" max="3"/>
    <col width="20" customWidth="1" min="4" max="4"/>
    <col width="38" customWidth="1" min="5" max="5"/>
    <col width="38" customWidth="1" min="6" max="6"/>
    <col width="38" customWidth="1" min="7" max="7"/>
    <col width="48" customWidth="1" min="8" max="8"/>
    <col width="24" customWidth="1" min="9" max="9"/>
    <col width="12" customWidth="1" min="10" max="10"/>
    <col width="12" customWidth="1" min="11" max="11"/>
    <col width="14" customWidth="1" min="12" max="12"/>
  </cols>
  <sheetData>
    <row r="1" ht="28" customHeight="1">
      <c r="A1" s="34" t="inlineStr">
        <is>
          <t>Date</t>
        </is>
      </c>
      <c r="B1" s="34" t="inlineStr">
        <is>
          <t>Week</t>
        </is>
      </c>
      <c r="C1" s="34" t="inlineStr">
        <is>
          <t>Problem</t>
        </is>
      </c>
      <c r="D1" s="34" t="inlineStr">
        <is>
          <t>Failure Type</t>
        </is>
      </c>
      <c r="E1" s="34" t="inlineStr">
        <is>
          <t>What I thought (my model)</t>
        </is>
      </c>
      <c r="F1" s="34" t="inlineStr">
        <is>
          <t>What was actually wrong</t>
        </is>
      </c>
      <c r="G1" s="34" t="inlineStr">
        <is>
          <t>Correct mental model</t>
        </is>
      </c>
      <c r="H1" s="34" t="inlineStr">
        <is>
          <t>Preventive rule (one sentence, actionable)</t>
        </is>
      </c>
      <c r="I1" s="34" t="inlineStr">
        <is>
          <t>Related problems</t>
        </is>
      </c>
      <c r="J1" s="34" t="inlineStr">
        <is>
          <t>Re-test Date</t>
        </is>
      </c>
      <c r="K1" s="34" t="inlineStr">
        <is>
          <t>Retest Result</t>
        </is>
      </c>
      <c r="L1" s="34" t="inlineStr">
        <is>
          <t>Rule fired on retest?</t>
        </is>
      </c>
    </row>
    <row r="2">
      <c r="A2" s="48" t="n"/>
      <c r="B2" s="47">
        <f>IF($A2="","",MIN(24,MAX(1,ROUNDUP(($A2-DayPlan!$C$2+1)/7,0))))</f>
        <v/>
      </c>
      <c r="C2" s="50" t="n"/>
      <c r="D2" s="47" t="n"/>
      <c r="E2" s="50" t="n"/>
      <c r="F2" s="50" t="n"/>
      <c r="G2" s="50" t="n"/>
      <c r="H2" s="50" t="n"/>
      <c r="I2" s="50" t="n"/>
      <c r="J2" s="48">
        <f>IF($A2="","",$A2+3)</f>
        <v/>
      </c>
      <c r="K2" s="47" t="n"/>
      <c r="L2" s="47" t="n"/>
    </row>
    <row r="3">
      <c r="A3" s="48" t="n"/>
      <c r="B3" s="47">
        <f>IF($A3="","",MIN(24,MAX(1,ROUNDUP(($A3-DayPlan!$C$2+1)/7,0))))</f>
        <v/>
      </c>
      <c r="C3" s="50" t="n"/>
      <c r="D3" s="47" t="n"/>
      <c r="E3" s="50" t="n"/>
      <c r="F3" s="50" t="n"/>
      <c r="G3" s="50" t="n"/>
      <c r="H3" s="50" t="n"/>
      <c r="I3" s="50" t="n"/>
      <c r="J3" s="48">
        <f>IF($A3="","",$A3+3)</f>
        <v/>
      </c>
      <c r="K3" s="47" t="n"/>
      <c r="L3" s="47" t="n"/>
    </row>
    <row r="4">
      <c r="A4" s="48" t="n"/>
      <c r="B4" s="47">
        <f>IF($A4="","",MIN(24,MAX(1,ROUNDUP(($A4-DayPlan!$C$2+1)/7,0))))</f>
        <v/>
      </c>
      <c r="C4" s="50" t="n"/>
      <c r="D4" s="47" t="n"/>
      <c r="E4" s="50" t="n"/>
      <c r="F4" s="50" t="n"/>
      <c r="G4" s="50" t="n"/>
      <c r="H4" s="50" t="n"/>
      <c r="I4" s="50" t="n"/>
      <c r="J4" s="48">
        <f>IF($A4="","",$A4+3)</f>
        <v/>
      </c>
      <c r="K4" s="47" t="n"/>
      <c r="L4" s="47" t="n"/>
    </row>
    <row r="5">
      <c r="A5" s="48" t="n"/>
      <c r="B5" s="47">
        <f>IF($A5="","",MIN(24,MAX(1,ROUNDUP(($A5-DayPlan!$C$2+1)/7,0))))</f>
        <v/>
      </c>
      <c r="C5" s="50" t="n"/>
      <c r="D5" s="47" t="n"/>
      <c r="E5" s="50" t="n"/>
      <c r="F5" s="50" t="n"/>
      <c r="G5" s="50" t="n"/>
      <c r="H5" s="50" t="n"/>
      <c r="I5" s="50" t="n"/>
      <c r="J5" s="48">
        <f>IF($A5="","",$A5+3)</f>
        <v/>
      </c>
      <c r="K5" s="47" t="n"/>
      <c r="L5" s="47" t="n"/>
    </row>
    <row r="6">
      <c r="A6" s="48" t="n"/>
      <c r="B6" s="47">
        <f>IF($A6="","",MIN(24,MAX(1,ROUNDUP(($A6-DayPlan!$C$2+1)/7,0))))</f>
        <v/>
      </c>
      <c r="C6" s="50" t="n"/>
      <c r="D6" s="47" t="n"/>
      <c r="E6" s="50" t="n"/>
      <c r="F6" s="50" t="n"/>
      <c r="G6" s="50" t="n"/>
      <c r="H6" s="50" t="n"/>
      <c r="I6" s="50" t="n"/>
      <c r="J6" s="48">
        <f>IF($A6="","",$A6+3)</f>
        <v/>
      </c>
      <c r="K6" s="47" t="n"/>
      <c r="L6" s="47" t="n"/>
    </row>
    <row r="7">
      <c r="A7" s="48" t="n"/>
      <c r="B7" s="47">
        <f>IF($A7="","",MIN(24,MAX(1,ROUNDUP(($A7-DayPlan!$C$2+1)/7,0))))</f>
        <v/>
      </c>
      <c r="C7" s="50" t="n"/>
      <c r="D7" s="47" t="n"/>
      <c r="E7" s="50" t="n"/>
      <c r="F7" s="50" t="n"/>
      <c r="G7" s="50" t="n"/>
      <c r="H7" s="50" t="n"/>
      <c r="I7" s="50" t="n"/>
      <c r="J7" s="48">
        <f>IF($A7="","",$A7+3)</f>
        <v/>
      </c>
      <c r="K7" s="47" t="n"/>
      <c r="L7" s="47" t="n"/>
    </row>
    <row r="8">
      <c r="A8" s="48" t="n"/>
      <c r="B8" s="47">
        <f>IF($A8="","",MIN(24,MAX(1,ROUNDUP(($A8-DayPlan!$C$2+1)/7,0))))</f>
        <v/>
      </c>
      <c r="C8" s="50" t="n"/>
      <c r="D8" s="47" t="n"/>
      <c r="E8" s="50" t="n"/>
      <c r="F8" s="50" t="n"/>
      <c r="G8" s="50" t="n"/>
      <c r="H8" s="50" t="n"/>
      <c r="I8" s="50" t="n"/>
      <c r="J8" s="48">
        <f>IF($A8="","",$A8+3)</f>
        <v/>
      </c>
      <c r="K8" s="47" t="n"/>
      <c r="L8" s="47" t="n"/>
    </row>
    <row r="9">
      <c r="A9" s="48" t="n"/>
      <c r="B9" s="47">
        <f>IF($A9="","",MIN(24,MAX(1,ROUNDUP(($A9-DayPlan!$C$2+1)/7,0))))</f>
        <v/>
      </c>
      <c r="C9" s="50" t="n"/>
      <c r="D9" s="47" t="n"/>
      <c r="E9" s="50" t="n"/>
      <c r="F9" s="50" t="n"/>
      <c r="G9" s="50" t="n"/>
      <c r="H9" s="50" t="n"/>
      <c r="I9" s="50" t="n"/>
      <c r="J9" s="48">
        <f>IF($A9="","",$A9+3)</f>
        <v/>
      </c>
      <c r="K9" s="47" t="n"/>
      <c r="L9" s="47" t="n"/>
    </row>
    <row r="10">
      <c r="A10" s="48" t="n"/>
      <c r="B10" s="47">
        <f>IF($A10="","",MIN(24,MAX(1,ROUNDUP(($A10-DayPlan!$C$2+1)/7,0))))</f>
        <v/>
      </c>
      <c r="C10" s="50" t="n"/>
      <c r="D10" s="47" t="n"/>
      <c r="E10" s="50" t="n"/>
      <c r="F10" s="50" t="n"/>
      <c r="G10" s="50" t="n"/>
      <c r="H10" s="50" t="n"/>
      <c r="I10" s="50" t="n"/>
      <c r="J10" s="48">
        <f>IF($A10="","",$A10+3)</f>
        <v/>
      </c>
      <c r="K10" s="47" t="n"/>
      <c r="L10" s="47" t="n"/>
    </row>
    <row r="11">
      <c r="A11" s="48" t="n"/>
      <c r="B11" s="47">
        <f>IF($A11="","",MIN(24,MAX(1,ROUNDUP(($A11-DayPlan!$C$2+1)/7,0))))</f>
        <v/>
      </c>
      <c r="C11" s="50" t="n"/>
      <c r="D11" s="47" t="n"/>
      <c r="E11" s="50" t="n"/>
      <c r="F11" s="50" t="n"/>
      <c r="G11" s="50" t="n"/>
      <c r="H11" s="50" t="n"/>
      <c r="I11" s="50" t="n"/>
      <c r="J11" s="48">
        <f>IF($A11="","",$A11+3)</f>
        <v/>
      </c>
      <c r="K11" s="47" t="n"/>
      <c r="L11" s="47" t="n"/>
    </row>
    <row r="12">
      <c r="A12" s="48" t="n"/>
      <c r="B12" s="47">
        <f>IF($A12="","",MIN(24,MAX(1,ROUNDUP(($A12-DayPlan!$C$2+1)/7,0))))</f>
        <v/>
      </c>
      <c r="C12" s="50" t="n"/>
      <c r="D12" s="47" t="n"/>
      <c r="E12" s="50" t="n"/>
      <c r="F12" s="50" t="n"/>
      <c r="G12" s="50" t="n"/>
      <c r="H12" s="50" t="n"/>
      <c r="I12" s="50" t="n"/>
      <c r="J12" s="48">
        <f>IF($A12="","",$A12+3)</f>
        <v/>
      </c>
      <c r="K12" s="47" t="n"/>
      <c r="L12" s="47" t="n"/>
    </row>
    <row r="13">
      <c r="A13" s="48" t="n"/>
      <c r="B13" s="47">
        <f>IF($A13="","",MIN(24,MAX(1,ROUNDUP(($A13-DayPlan!$C$2+1)/7,0))))</f>
        <v/>
      </c>
      <c r="C13" s="50" t="n"/>
      <c r="D13" s="47" t="n"/>
      <c r="E13" s="50" t="n"/>
      <c r="F13" s="50" t="n"/>
      <c r="G13" s="50" t="n"/>
      <c r="H13" s="50" t="n"/>
      <c r="I13" s="50" t="n"/>
      <c r="J13" s="48">
        <f>IF($A13="","",$A13+3)</f>
        <v/>
      </c>
      <c r="K13" s="47" t="n"/>
      <c r="L13" s="47" t="n"/>
    </row>
    <row r="14">
      <c r="A14" s="48" t="n"/>
      <c r="B14" s="47">
        <f>IF($A14="","",MIN(24,MAX(1,ROUNDUP(($A14-DayPlan!$C$2+1)/7,0))))</f>
        <v/>
      </c>
      <c r="C14" s="50" t="n"/>
      <c r="D14" s="47" t="n"/>
      <c r="E14" s="50" t="n"/>
      <c r="F14" s="50" t="n"/>
      <c r="G14" s="50" t="n"/>
      <c r="H14" s="50" t="n"/>
      <c r="I14" s="50" t="n"/>
      <c r="J14" s="48">
        <f>IF($A14="","",$A14+3)</f>
        <v/>
      </c>
      <c r="K14" s="47" t="n"/>
      <c r="L14" s="47" t="n"/>
    </row>
    <row r="15">
      <c r="A15" s="48" t="n"/>
      <c r="B15" s="47">
        <f>IF($A15="","",MIN(24,MAX(1,ROUNDUP(($A15-DayPlan!$C$2+1)/7,0))))</f>
        <v/>
      </c>
      <c r="C15" s="50" t="n"/>
      <c r="D15" s="47" t="n"/>
      <c r="E15" s="50" t="n"/>
      <c r="F15" s="50" t="n"/>
      <c r="G15" s="50" t="n"/>
      <c r="H15" s="50" t="n"/>
      <c r="I15" s="50" t="n"/>
      <c r="J15" s="48">
        <f>IF($A15="","",$A15+3)</f>
        <v/>
      </c>
      <c r="K15" s="47" t="n"/>
      <c r="L15" s="47" t="n"/>
    </row>
    <row r="16">
      <c r="A16" s="48" t="n"/>
      <c r="B16" s="47">
        <f>IF($A16="","",MIN(24,MAX(1,ROUNDUP(($A16-DayPlan!$C$2+1)/7,0))))</f>
        <v/>
      </c>
      <c r="C16" s="50" t="n"/>
      <c r="D16" s="47" t="n"/>
      <c r="E16" s="50" t="n"/>
      <c r="F16" s="50" t="n"/>
      <c r="G16" s="50" t="n"/>
      <c r="H16" s="50" t="n"/>
      <c r="I16" s="50" t="n"/>
      <c r="J16" s="48">
        <f>IF($A16="","",$A16+3)</f>
        <v/>
      </c>
      <c r="K16" s="47" t="n"/>
      <c r="L16" s="47" t="n"/>
    </row>
    <row r="17">
      <c r="A17" s="48" t="n"/>
      <c r="B17" s="47">
        <f>IF($A17="","",MIN(24,MAX(1,ROUNDUP(($A17-DayPlan!$C$2+1)/7,0))))</f>
        <v/>
      </c>
      <c r="C17" s="50" t="n"/>
      <c r="D17" s="47" t="n"/>
      <c r="E17" s="50" t="n"/>
      <c r="F17" s="50" t="n"/>
      <c r="G17" s="50" t="n"/>
      <c r="H17" s="50" t="n"/>
      <c r="I17" s="50" t="n"/>
      <c r="J17" s="48">
        <f>IF($A17="","",$A17+3)</f>
        <v/>
      </c>
      <c r="K17" s="47" t="n"/>
      <c r="L17" s="47" t="n"/>
    </row>
    <row r="18">
      <c r="A18" s="48" t="n"/>
      <c r="B18" s="47">
        <f>IF($A18="","",MIN(24,MAX(1,ROUNDUP(($A18-DayPlan!$C$2+1)/7,0))))</f>
        <v/>
      </c>
      <c r="C18" s="50" t="n"/>
      <c r="D18" s="47" t="n"/>
      <c r="E18" s="50" t="n"/>
      <c r="F18" s="50" t="n"/>
      <c r="G18" s="50" t="n"/>
      <c r="H18" s="50" t="n"/>
      <c r="I18" s="50" t="n"/>
      <c r="J18" s="48">
        <f>IF($A18="","",$A18+3)</f>
        <v/>
      </c>
      <c r="K18" s="47" t="n"/>
      <c r="L18" s="47" t="n"/>
    </row>
    <row r="19">
      <c r="A19" s="48" t="n"/>
      <c r="B19" s="47">
        <f>IF($A19="","",MIN(24,MAX(1,ROUNDUP(($A19-DayPlan!$C$2+1)/7,0))))</f>
        <v/>
      </c>
      <c r="C19" s="50" t="n"/>
      <c r="D19" s="47" t="n"/>
      <c r="E19" s="50" t="n"/>
      <c r="F19" s="50" t="n"/>
      <c r="G19" s="50" t="n"/>
      <c r="H19" s="50" t="n"/>
      <c r="I19" s="50" t="n"/>
      <c r="J19" s="48">
        <f>IF($A19="","",$A19+3)</f>
        <v/>
      </c>
      <c r="K19" s="47" t="n"/>
      <c r="L19" s="47" t="n"/>
    </row>
    <row r="20">
      <c r="A20" s="48" t="n"/>
      <c r="B20" s="47">
        <f>IF($A20="","",MIN(24,MAX(1,ROUNDUP(($A20-DayPlan!$C$2+1)/7,0))))</f>
        <v/>
      </c>
      <c r="C20" s="50" t="n"/>
      <c r="D20" s="47" t="n"/>
      <c r="E20" s="50" t="n"/>
      <c r="F20" s="50" t="n"/>
      <c r="G20" s="50" t="n"/>
      <c r="H20" s="50" t="n"/>
      <c r="I20" s="50" t="n"/>
      <c r="J20" s="48">
        <f>IF($A20="","",$A20+3)</f>
        <v/>
      </c>
      <c r="K20" s="47" t="n"/>
      <c r="L20" s="47" t="n"/>
    </row>
    <row r="21">
      <c r="A21" s="48" t="n"/>
      <c r="B21" s="47">
        <f>IF($A21="","",MIN(24,MAX(1,ROUNDUP(($A21-DayPlan!$C$2+1)/7,0))))</f>
        <v/>
      </c>
      <c r="C21" s="50" t="n"/>
      <c r="D21" s="47" t="n"/>
      <c r="E21" s="50" t="n"/>
      <c r="F21" s="50" t="n"/>
      <c r="G21" s="50" t="n"/>
      <c r="H21" s="50" t="n"/>
      <c r="I21" s="50" t="n"/>
      <c r="J21" s="48">
        <f>IF($A21="","",$A21+3)</f>
        <v/>
      </c>
      <c r="K21" s="47" t="n"/>
      <c r="L21" s="47" t="n"/>
    </row>
    <row r="22">
      <c r="A22" s="48" t="n"/>
      <c r="B22" s="47">
        <f>IF($A22="","",MIN(24,MAX(1,ROUNDUP(($A22-DayPlan!$C$2+1)/7,0))))</f>
        <v/>
      </c>
      <c r="C22" s="50" t="n"/>
      <c r="D22" s="47" t="n"/>
      <c r="E22" s="50" t="n"/>
      <c r="F22" s="50" t="n"/>
      <c r="G22" s="50" t="n"/>
      <c r="H22" s="50" t="n"/>
      <c r="I22" s="50" t="n"/>
      <c r="J22" s="48">
        <f>IF($A22="","",$A22+3)</f>
        <v/>
      </c>
      <c r="K22" s="47" t="n"/>
      <c r="L22" s="47" t="n"/>
    </row>
    <row r="23">
      <c r="A23" s="48" t="n"/>
      <c r="B23" s="47">
        <f>IF($A23="","",MIN(24,MAX(1,ROUNDUP(($A23-DayPlan!$C$2+1)/7,0))))</f>
        <v/>
      </c>
      <c r="C23" s="50" t="n"/>
      <c r="D23" s="47" t="n"/>
      <c r="E23" s="50" t="n"/>
      <c r="F23" s="50" t="n"/>
      <c r="G23" s="50" t="n"/>
      <c r="H23" s="50" t="n"/>
      <c r="I23" s="50" t="n"/>
      <c r="J23" s="48">
        <f>IF($A23="","",$A23+3)</f>
        <v/>
      </c>
      <c r="K23" s="47" t="n"/>
      <c r="L23" s="47" t="n"/>
    </row>
    <row r="24">
      <c r="A24" s="48" t="n"/>
      <c r="B24" s="47">
        <f>IF($A24="","",MIN(24,MAX(1,ROUNDUP(($A24-DayPlan!$C$2+1)/7,0))))</f>
        <v/>
      </c>
      <c r="C24" s="50" t="n"/>
      <c r="D24" s="47" t="n"/>
      <c r="E24" s="50" t="n"/>
      <c r="F24" s="50" t="n"/>
      <c r="G24" s="50" t="n"/>
      <c r="H24" s="50" t="n"/>
      <c r="I24" s="50" t="n"/>
      <c r="J24" s="48">
        <f>IF($A24="","",$A24+3)</f>
        <v/>
      </c>
      <c r="K24" s="47" t="n"/>
      <c r="L24" s="47" t="n"/>
    </row>
    <row r="25">
      <c r="A25" s="48" t="n"/>
      <c r="B25" s="47">
        <f>IF($A25="","",MIN(24,MAX(1,ROUNDUP(($A25-DayPlan!$C$2+1)/7,0))))</f>
        <v/>
      </c>
      <c r="C25" s="50" t="n"/>
      <c r="D25" s="47" t="n"/>
      <c r="E25" s="50" t="n"/>
      <c r="F25" s="50" t="n"/>
      <c r="G25" s="50" t="n"/>
      <c r="H25" s="50" t="n"/>
      <c r="I25" s="50" t="n"/>
      <c r="J25" s="48">
        <f>IF($A25="","",$A25+3)</f>
        <v/>
      </c>
      <c r="K25" s="47" t="n"/>
      <c r="L25" s="47" t="n"/>
    </row>
    <row r="26">
      <c r="A26" s="48" t="n"/>
      <c r="B26" s="47">
        <f>IF($A26="","",MIN(24,MAX(1,ROUNDUP(($A26-DayPlan!$C$2+1)/7,0))))</f>
        <v/>
      </c>
      <c r="C26" s="50" t="n"/>
      <c r="D26" s="47" t="n"/>
      <c r="E26" s="50" t="n"/>
      <c r="F26" s="50" t="n"/>
      <c r="G26" s="50" t="n"/>
      <c r="H26" s="50" t="n"/>
      <c r="I26" s="50" t="n"/>
      <c r="J26" s="48">
        <f>IF($A26="","",$A26+3)</f>
        <v/>
      </c>
      <c r="K26" s="47" t="n"/>
      <c r="L26" s="47" t="n"/>
    </row>
    <row r="27">
      <c r="A27" s="48" t="n"/>
      <c r="B27" s="47">
        <f>IF($A27="","",MIN(24,MAX(1,ROUNDUP(($A27-DayPlan!$C$2+1)/7,0))))</f>
        <v/>
      </c>
      <c r="C27" s="50" t="n"/>
      <c r="D27" s="47" t="n"/>
      <c r="E27" s="50" t="n"/>
      <c r="F27" s="50" t="n"/>
      <c r="G27" s="50" t="n"/>
      <c r="H27" s="50" t="n"/>
      <c r="I27" s="50" t="n"/>
      <c r="J27" s="48">
        <f>IF($A27="","",$A27+3)</f>
        <v/>
      </c>
      <c r="K27" s="47" t="n"/>
      <c r="L27" s="47" t="n"/>
    </row>
    <row r="28">
      <c r="A28" s="48" t="n"/>
      <c r="B28" s="47">
        <f>IF($A28="","",MIN(24,MAX(1,ROUNDUP(($A28-DayPlan!$C$2+1)/7,0))))</f>
        <v/>
      </c>
      <c r="C28" s="50" t="n"/>
      <c r="D28" s="47" t="n"/>
      <c r="E28" s="50" t="n"/>
      <c r="F28" s="50" t="n"/>
      <c r="G28" s="50" t="n"/>
      <c r="H28" s="50" t="n"/>
      <c r="I28" s="50" t="n"/>
      <c r="J28" s="48">
        <f>IF($A28="","",$A28+3)</f>
        <v/>
      </c>
      <c r="K28" s="47" t="n"/>
      <c r="L28" s="47" t="n"/>
    </row>
    <row r="29">
      <c r="A29" s="48" t="n"/>
      <c r="B29" s="47">
        <f>IF($A29="","",MIN(24,MAX(1,ROUNDUP(($A29-DayPlan!$C$2+1)/7,0))))</f>
        <v/>
      </c>
      <c r="C29" s="50" t="n"/>
      <c r="D29" s="47" t="n"/>
      <c r="E29" s="50" t="n"/>
      <c r="F29" s="50" t="n"/>
      <c r="G29" s="50" t="n"/>
      <c r="H29" s="50" t="n"/>
      <c r="I29" s="50" t="n"/>
      <c r="J29" s="48">
        <f>IF($A29="","",$A29+3)</f>
        <v/>
      </c>
      <c r="K29" s="47" t="n"/>
      <c r="L29" s="47" t="n"/>
    </row>
    <row r="30">
      <c r="A30" s="48" t="n"/>
      <c r="B30" s="47">
        <f>IF($A30="","",MIN(24,MAX(1,ROUNDUP(($A30-DayPlan!$C$2+1)/7,0))))</f>
        <v/>
      </c>
      <c r="C30" s="50" t="n"/>
      <c r="D30" s="47" t="n"/>
      <c r="E30" s="50" t="n"/>
      <c r="F30" s="50" t="n"/>
      <c r="G30" s="50" t="n"/>
      <c r="H30" s="50" t="n"/>
      <c r="I30" s="50" t="n"/>
      <c r="J30" s="48">
        <f>IF($A30="","",$A30+3)</f>
        <v/>
      </c>
      <c r="K30" s="47" t="n"/>
      <c r="L30" s="47" t="n"/>
    </row>
    <row r="31">
      <c r="A31" s="48" t="n"/>
      <c r="B31" s="47">
        <f>IF($A31="","",MIN(24,MAX(1,ROUNDUP(($A31-DayPlan!$C$2+1)/7,0))))</f>
        <v/>
      </c>
      <c r="C31" s="50" t="n"/>
      <c r="D31" s="47" t="n"/>
      <c r="E31" s="50" t="n"/>
      <c r="F31" s="50" t="n"/>
      <c r="G31" s="50" t="n"/>
      <c r="H31" s="50" t="n"/>
      <c r="I31" s="50" t="n"/>
      <c r="J31" s="48">
        <f>IF($A31="","",$A31+3)</f>
        <v/>
      </c>
      <c r="K31" s="47" t="n"/>
      <c r="L31" s="47" t="n"/>
    </row>
    <row r="32">
      <c r="A32" s="48" t="n"/>
      <c r="B32" s="47">
        <f>IF($A32="","",MIN(24,MAX(1,ROUNDUP(($A32-DayPlan!$C$2+1)/7,0))))</f>
        <v/>
      </c>
      <c r="C32" s="50" t="n"/>
      <c r="D32" s="47" t="n"/>
      <c r="E32" s="50" t="n"/>
      <c r="F32" s="50" t="n"/>
      <c r="G32" s="50" t="n"/>
      <c r="H32" s="50" t="n"/>
      <c r="I32" s="50" t="n"/>
      <c r="J32" s="48">
        <f>IF($A32="","",$A32+3)</f>
        <v/>
      </c>
      <c r="K32" s="47" t="n"/>
      <c r="L32" s="47" t="n"/>
    </row>
    <row r="33">
      <c r="A33" s="48" t="n"/>
      <c r="B33" s="47">
        <f>IF($A33="","",MIN(24,MAX(1,ROUNDUP(($A33-DayPlan!$C$2+1)/7,0))))</f>
        <v/>
      </c>
      <c r="C33" s="50" t="n"/>
      <c r="D33" s="47" t="n"/>
      <c r="E33" s="50" t="n"/>
      <c r="F33" s="50" t="n"/>
      <c r="G33" s="50" t="n"/>
      <c r="H33" s="50" t="n"/>
      <c r="I33" s="50" t="n"/>
      <c r="J33" s="48">
        <f>IF($A33="","",$A33+3)</f>
        <v/>
      </c>
      <c r="K33" s="47" t="n"/>
      <c r="L33" s="47" t="n"/>
    </row>
    <row r="34">
      <c r="A34" s="48" t="n"/>
      <c r="B34" s="47">
        <f>IF($A34="","",MIN(24,MAX(1,ROUNDUP(($A34-DayPlan!$C$2+1)/7,0))))</f>
        <v/>
      </c>
      <c r="C34" s="50" t="n"/>
      <c r="D34" s="47" t="n"/>
      <c r="E34" s="50" t="n"/>
      <c r="F34" s="50" t="n"/>
      <c r="G34" s="50" t="n"/>
      <c r="H34" s="50" t="n"/>
      <c r="I34" s="50" t="n"/>
      <c r="J34" s="48">
        <f>IF($A34="","",$A34+3)</f>
        <v/>
      </c>
      <c r="K34" s="47" t="n"/>
      <c r="L34" s="47" t="n"/>
    </row>
    <row r="35">
      <c r="A35" s="48" t="n"/>
      <c r="B35" s="47">
        <f>IF($A35="","",MIN(24,MAX(1,ROUNDUP(($A35-DayPlan!$C$2+1)/7,0))))</f>
        <v/>
      </c>
      <c r="C35" s="50" t="n"/>
      <c r="D35" s="47" t="n"/>
      <c r="E35" s="50" t="n"/>
      <c r="F35" s="50" t="n"/>
      <c r="G35" s="50" t="n"/>
      <c r="H35" s="50" t="n"/>
      <c r="I35" s="50" t="n"/>
      <c r="J35" s="48">
        <f>IF($A35="","",$A35+3)</f>
        <v/>
      </c>
      <c r="K35" s="47" t="n"/>
      <c r="L35" s="47" t="n"/>
    </row>
    <row r="36">
      <c r="A36" s="48" t="n"/>
      <c r="B36" s="47">
        <f>IF($A36="","",MIN(24,MAX(1,ROUNDUP(($A36-DayPlan!$C$2+1)/7,0))))</f>
        <v/>
      </c>
      <c r="C36" s="50" t="n"/>
      <c r="D36" s="47" t="n"/>
      <c r="E36" s="50" t="n"/>
      <c r="F36" s="50" t="n"/>
      <c r="G36" s="50" t="n"/>
      <c r="H36" s="50" t="n"/>
      <c r="I36" s="50" t="n"/>
      <c r="J36" s="48">
        <f>IF($A36="","",$A36+3)</f>
        <v/>
      </c>
      <c r="K36" s="47" t="n"/>
      <c r="L36" s="47" t="n"/>
    </row>
    <row r="37">
      <c r="A37" s="48" t="n"/>
      <c r="B37" s="47">
        <f>IF($A37="","",MIN(24,MAX(1,ROUNDUP(($A37-DayPlan!$C$2+1)/7,0))))</f>
        <v/>
      </c>
      <c r="C37" s="50" t="n"/>
      <c r="D37" s="47" t="n"/>
      <c r="E37" s="50" t="n"/>
      <c r="F37" s="50" t="n"/>
      <c r="G37" s="50" t="n"/>
      <c r="H37" s="50" t="n"/>
      <c r="I37" s="50" t="n"/>
      <c r="J37" s="48">
        <f>IF($A37="","",$A37+3)</f>
        <v/>
      </c>
      <c r="K37" s="47" t="n"/>
      <c r="L37" s="47" t="n"/>
    </row>
    <row r="38">
      <c r="A38" s="48" t="n"/>
      <c r="B38" s="47">
        <f>IF($A38="","",MIN(24,MAX(1,ROUNDUP(($A38-DayPlan!$C$2+1)/7,0))))</f>
        <v/>
      </c>
      <c r="C38" s="50" t="n"/>
      <c r="D38" s="47" t="n"/>
      <c r="E38" s="50" t="n"/>
      <c r="F38" s="50" t="n"/>
      <c r="G38" s="50" t="n"/>
      <c r="H38" s="50" t="n"/>
      <c r="I38" s="50" t="n"/>
      <c r="J38" s="48">
        <f>IF($A38="","",$A38+3)</f>
        <v/>
      </c>
      <c r="K38" s="47" t="n"/>
      <c r="L38" s="47" t="n"/>
    </row>
    <row r="39">
      <c r="A39" s="48" t="n"/>
      <c r="B39" s="47">
        <f>IF($A39="","",MIN(24,MAX(1,ROUNDUP(($A39-DayPlan!$C$2+1)/7,0))))</f>
        <v/>
      </c>
      <c r="C39" s="50" t="n"/>
      <c r="D39" s="47" t="n"/>
      <c r="E39" s="50" t="n"/>
      <c r="F39" s="50" t="n"/>
      <c r="G39" s="50" t="n"/>
      <c r="H39" s="50" t="n"/>
      <c r="I39" s="50" t="n"/>
      <c r="J39" s="48">
        <f>IF($A39="","",$A39+3)</f>
        <v/>
      </c>
      <c r="K39" s="47" t="n"/>
      <c r="L39" s="47" t="n"/>
    </row>
    <row r="40">
      <c r="A40" s="48" t="n"/>
      <c r="B40" s="47">
        <f>IF($A40="","",MIN(24,MAX(1,ROUNDUP(($A40-DayPlan!$C$2+1)/7,0))))</f>
        <v/>
      </c>
      <c r="C40" s="50" t="n"/>
      <c r="D40" s="47" t="n"/>
      <c r="E40" s="50" t="n"/>
      <c r="F40" s="50" t="n"/>
      <c r="G40" s="50" t="n"/>
      <c r="H40" s="50" t="n"/>
      <c r="I40" s="50" t="n"/>
      <c r="J40" s="48">
        <f>IF($A40="","",$A40+3)</f>
        <v/>
      </c>
      <c r="K40" s="47" t="n"/>
      <c r="L40" s="47" t="n"/>
    </row>
    <row r="41">
      <c r="A41" s="48" t="n"/>
      <c r="B41" s="47">
        <f>IF($A41="","",MIN(24,MAX(1,ROUNDUP(($A41-DayPlan!$C$2+1)/7,0))))</f>
        <v/>
      </c>
      <c r="C41" s="50" t="n"/>
      <c r="D41" s="47" t="n"/>
      <c r="E41" s="50" t="n"/>
      <c r="F41" s="50" t="n"/>
      <c r="G41" s="50" t="n"/>
      <c r="H41" s="50" t="n"/>
      <c r="I41" s="50" t="n"/>
      <c r="J41" s="48">
        <f>IF($A41="","",$A41+3)</f>
        <v/>
      </c>
      <c r="K41" s="47" t="n"/>
      <c r="L41" s="47" t="n"/>
    </row>
    <row r="42">
      <c r="A42" s="48" t="n"/>
      <c r="B42" s="47">
        <f>IF($A42="","",MIN(24,MAX(1,ROUNDUP(($A42-DayPlan!$C$2+1)/7,0))))</f>
        <v/>
      </c>
      <c r="C42" s="50" t="n"/>
      <c r="D42" s="47" t="n"/>
      <c r="E42" s="50" t="n"/>
      <c r="F42" s="50" t="n"/>
      <c r="G42" s="50" t="n"/>
      <c r="H42" s="50" t="n"/>
      <c r="I42" s="50" t="n"/>
      <c r="J42" s="48">
        <f>IF($A42="","",$A42+3)</f>
        <v/>
      </c>
      <c r="K42" s="47" t="n"/>
      <c r="L42" s="47" t="n"/>
    </row>
    <row r="43">
      <c r="A43" s="48" t="n"/>
      <c r="B43" s="47">
        <f>IF($A43="","",MIN(24,MAX(1,ROUNDUP(($A43-DayPlan!$C$2+1)/7,0))))</f>
        <v/>
      </c>
      <c r="C43" s="50" t="n"/>
      <c r="D43" s="47" t="n"/>
      <c r="E43" s="50" t="n"/>
      <c r="F43" s="50" t="n"/>
      <c r="G43" s="50" t="n"/>
      <c r="H43" s="50" t="n"/>
      <c r="I43" s="50" t="n"/>
      <c r="J43" s="48">
        <f>IF($A43="","",$A43+3)</f>
        <v/>
      </c>
      <c r="K43" s="47" t="n"/>
      <c r="L43" s="47" t="n"/>
    </row>
    <row r="44">
      <c r="A44" s="48" t="n"/>
      <c r="B44" s="47">
        <f>IF($A44="","",MIN(24,MAX(1,ROUNDUP(($A44-DayPlan!$C$2+1)/7,0))))</f>
        <v/>
      </c>
      <c r="C44" s="50" t="n"/>
      <c r="D44" s="47" t="n"/>
      <c r="E44" s="50" t="n"/>
      <c r="F44" s="50" t="n"/>
      <c r="G44" s="50" t="n"/>
      <c r="H44" s="50" t="n"/>
      <c r="I44" s="50" t="n"/>
      <c r="J44" s="48">
        <f>IF($A44="","",$A44+3)</f>
        <v/>
      </c>
      <c r="K44" s="47" t="n"/>
      <c r="L44" s="47" t="n"/>
    </row>
    <row r="45">
      <c r="A45" s="48" t="n"/>
      <c r="B45" s="47">
        <f>IF($A45="","",MIN(24,MAX(1,ROUNDUP(($A45-DayPlan!$C$2+1)/7,0))))</f>
        <v/>
      </c>
      <c r="C45" s="50" t="n"/>
      <c r="D45" s="47" t="n"/>
      <c r="E45" s="50" t="n"/>
      <c r="F45" s="50" t="n"/>
      <c r="G45" s="50" t="n"/>
      <c r="H45" s="50" t="n"/>
      <c r="I45" s="50" t="n"/>
      <c r="J45" s="48">
        <f>IF($A45="","",$A45+3)</f>
        <v/>
      </c>
      <c r="K45" s="47" t="n"/>
      <c r="L45" s="47" t="n"/>
    </row>
    <row r="46">
      <c r="A46" s="48" t="n"/>
      <c r="B46" s="47">
        <f>IF($A46="","",MIN(24,MAX(1,ROUNDUP(($A46-DayPlan!$C$2+1)/7,0))))</f>
        <v/>
      </c>
      <c r="C46" s="50" t="n"/>
      <c r="D46" s="47" t="n"/>
      <c r="E46" s="50" t="n"/>
      <c r="F46" s="50" t="n"/>
      <c r="G46" s="50" t="n"/>
      <c r="H46" s="50" t="n"/>
      <c r="I46" s="50" t="n"/>
      <c r="J46" s="48">
        <f>IF($A46="","",$A46+3)</f>
        <v/>
      </c>
      <c r="K46" s="47" t="n"/>
      <c r="L46" s="47" t="n"/>
    </row>
    <row r="47">
      <c r="A47" s="48" t="n"/>
      <c r="B47" s="47">
        <f>IF($A47="","",MIN(24,MAX(1,ROUNDUP(($A47-DayPlan!$C$2+1)/7,0))))</f>
        <v/>
      </c>
      <c r="C47" s="50" t="n"/>
      <c r="D47" s="47" t="n"/>
      <c r="E47" s="50" t="n"/>
      <c r="F47" s="50" t="n"/>
      <c r="G47" s="50" t="n"/>
      <c r="H47" s="50" t="n"/>
      <c r="I47" s="50" t="n"/>
      <c r="J47" s="48">
        <f>IF($A47="","",$A47+3)</f>
        <v/>
      </c>
      <c r="K47" s="47" t="n"/>
      <c r="L47" s="47" t="n"/>
    </row>
    <row r="48">
      <c r="A48" s="48" t="n"/>
      <c r="B48" s="47">
        <f>IF($A48="","",MIN(24,MAX(1,ROUNDUP(($A48-DayPlan!$C$2+1)/7,0))))</f>
        <v/>
      </c>
      <c r="C48" s="50" t="n"/>
      <c r="D48" s="47" t="n"/>
      <c r="E48" s="50" t="n"/>
      <c r="F48" s="50" t="n"/>
      <c r="G48" s="50" t="n"/>
      <c r="H48" s="50" t="n"/>
      <c r="I48" s="50" t="n"/>
      <c r="J48" s="48">
        <f>IF($A48="","",$A48+3)</f>
        <v/>
      </c>
      <c r="K48" s="47" t="n"/>
      <c r="L48" s="47" t="n"/>
    </row>
    <row r="49">
      <c r="A49" s="48" t="n"/>
      <c r="B49" s="47">
        <f>IF($A49="","",MIN(24,MAX(1,ROUNDUP(($A49-DayPlan!$C$2+1)/7,0))))</f>
        <v/>
      </c>
      <c r="C49" s="50" t="n"/>
      <c r="D49" s="47" t="n"/>
      <c r="E49" s="50" t="n"/>
      <c r="F49" s="50" t="n"/>
      <c r="G49" s="50" t="n"/>
      <c r="H49" s="50" t="n"/>
      <c r="I49" s="50" t="n"/>
      <c r="J49" s="48">
        <f>IF($A49="","",$A49+3)</f>
        <v/>
      </c>
      <c r="K49" s="47" t="n"/>
      <c r="L49" s="47" t="n"/>
    </row>
    <row r="50">
      <c r="A50" s="48" t="n"/>
      <c r="B50" s="47">
        <f>IF($A50="","",MIN(24,MAX(1,ROUNDUP(($A50-DayPlan!$C$2+1)/7,0))))</f>
        <v/>
      </c>
      <c r="C50" s="50" t="n"/>
      <c r="D50" s="47" t="n"/>
      <c r="E50" s="50" t="n"/>
      <c r="F50" s="50" t="n"/>
      <c r="G50" s="50" t="n"/>
      <c r="H50" s="50" t="n"/>
      <c r="I50" s="50" t="n"/>
      <c r="J50" s="48">
        <f>IF($A50="","",$A50+3)</f>
        <v/>
      </c>
      <c r="K50" s="47" t="n"/>
      <c r="L50" s="47" t="n"/>
    </row>
    <row r="51">
      <c r="A51" s="48" t="n"/>
      <c r="B51" s="47">
        <f>IF($A51="","",MIN(24,MAX(1,ROUNDUP(($A51-DayPlan!$C$2+1)/7,0))))</f>
        <v/>
      </c>
      <c r="C51" s="50" t="n"/>
      <c r="D51" s="47" t="n"/>
      <c r="E51" s="50" t="n"/>
      <c r="F51" s="50" t="n"/>
      <c r="G51" s="50" t="n"/>
      <c r="H51" s="50" t="n"/>
      <c r="I51" s="50" t="n"/>
      <c r="J51" s="48">
        <f>IF($A51="","",$A51+3)</f>
        <v/>
      </c>
      <c r="K51" s="47" t="n"/>
      <c r="L51" s="47" t="n"/>
    </row>
    <row r="52">
      <c r="A52" s="48" t="n"/>
      <c r="B52" s="47">
        <f>IF($A52="","",MIN(24,MAX(1,ROUNDUP(($A52-DayPlan!$C$2+1)/7,0))))</f>
        <v/>
      </c>
      <c r="C52" s="50" t="n"/>
      <c r="D52" s="47" t="n"/>
      <c r="E52" s="50" t="n"/>
      <c r="F52" s="50" t="n"/>
      <c r="G52" s="50" t="n"/>
      <c r="H52" s="50" t="n"/>
      <c r="I52" s="50" t="n"/>
      <c r="J52" s="48">
        <f>IF($A52="","",$A52+3)</f>
        <v/>
      </c>
      <c r="K52" s="47" t="n"/>
      <c r="L52" s="47" t="n"/>
    </row>
    <row r="53">
      <c r="A53" s="48" t="n"/>
      <c r="B53" s="47">
        <f>IF($A53="","",MIN(24,MAX(1,ROUNDUP(($A53-DayPlan!$C$2+1)/7,0))))</f>
        <v/>
      </c>
      <c r="C53" s="50" t="n"/>
      <c r="D53" s="47" t="n"/>
      <c r="E53" s="50" t="n"/>
      <c r="F53" s="50" t="n"/>
      <c r="G53" s="50" t="n"/>
      <c r="H53" s="50" t="n"/>
      <c r="I53" s="50" t="n"/>
      <c r="J53" s="48">
        <f>IF($A53="","",$A53+3)</f>
        <v/>
      </c>
      <c r="K53" s="47" t="n"/>
      <c r="L53" s="47" t="n"/>
    </row>
    <row r="54">
      <c r="A54" s="48" t="n"/>
      <c r="B54" s="47">
        <f>IF($A54="","",MIN(24,MAX(1,ROUNDUP(($A54-DayPlan!$C$2+1)/7,0))))</f>
        <v/>
      </c>
      <c r="C54" s="50" t="n"/>
      <c r="D54" s="47" t="n"/>
      <c r="E54" s="50" t="n"/>
      <c r="F54" s="50" t="n"/>
      <c r="G54" s="50" t="n"/>
      <c r="H54" s="50" t="n"/>
      <c r="I54" s="50" t="n"/>
      <c r="J54" s="48">
        <f>IF($A54="","",$A54+3)</f>
        <v/>
      </c>
      <c r="K54" s="47" t="n"/>
      <c r="L54" s="47" t="n"/>
    </row>
    <row r="55">
      <c r="A55" s="48" t="n"/>
      <c r="B55" s="47">
        <f>IF($A55="","",MIN(24,MAX(1,ROUNDUP(($A55-DayPlan!$C$2+1)/7,0))))</f>
        <v/>
      </c>
      <c r="C55" s="50" t="n"/>
      <c r="D55" s="47" t="n"/>
      <c r="E55" s="50" t="n"/>
      <c r="F55" s="50" t="n"/>
      <c r="G55" s="50" t="n"/>
      <c r="H55" s="50" t="n"/>
      <c r="I55" s="50" t="n"/>
      <c r="J55" s="48">
        <f>IF($A55="","",$A55+3)</f>
        <v/>
      </c>
      <c r="K55" s="47" t="n"/>
      <c r="L55" s="47" t="n"/>
    </row>
    <row r="56">
      <c r="A56" s="48" t="n"/>
      <c r="B56" s="47">
        <f>IF($A56="","",MIN(24,MAX(1,ROUNDUP(($A56-DayPlan!$C$2+1)/7,0))))</f>
        <v/>
      </c>
      <c r="C56" s="50" t="n"/>
      <c r="D56" s="47" t="n"/>
      <c r="E56" s="50" t="n"/>
      <c r="F56" s="50" t="n"/>
      <c r="G56" s="50" t="n"/>
      <c r="H56" s="50" t="n"/>
      <c r="I56" s="50" t="n"/>
      <c r="J56" s="48">
        <f>IF($A56="","",$A56+3)</f>
        <v/>
      </c>
      <c r="K56" s="47" t="n"/>
      <c r="L56" s="47" t="n"/>
    </row>
    <row r="57">
      <c r="A57" s="48" t="n"/>
      <c r="B57" s="47">
        <f>IF($A57="","",MIN(24,MAX(1,ROUNDUP(($A57-DayPlan!$C$2+1)/7,0))))</f>
        <v/>
      </c>
      <c r="C57" s="50" t="n"/>
      <c r="D57" s="47" t="n"/>
      <c r="E57" s="50" t="n"/>
      <c r="F57" s="50" t="n"/>
      <c r="G57" s="50" t="n"/>
      <c r="H57" s="50" t="n"/>
      <c r="I57" s="50" t="n"/>
      <c r="J57" s="48">
        <f>IF($A57="","",$A57+3)</f>
        <v/>
      </c>
      <c r="K57" s="47" t="n"/>
      <c r="L57" s="47" t="n"/>
    </row>
    <row r="58">
      <c r="A58" s="48" t="n"/>
      <c r="B58" s="47">
        <f>IF($A58="","",MIN(24,MAX(1,ROUNDUP(($A58-DayPlan!$C$2+1)/7,0))))</f>
        <v/>
      </c>
      <c r="C58" s="50" t="n"/>
      <c r="D58" s="47" t="n"/>
      <c r="E58" s="50" t="n"/>
      <c r="F58" s="50" t="n"/>
      <c r="G58" s="50" t="n"/>
      <c r="H58" s="50" t="n"/>
      <c r="I58" s="50" t="n"/>
      <c r="J58" s="48">
        <f>IF($A58="","",$A58+3)</f>
        <v/>
      </c>
      <c r="K58" s="47" t="n"/>
      <c r="L58" s="47" t="n"/>
    </row>
    <row r="59">
      <c r="A59" s="48" t="n"/>
      <c r="B59" s="47">
        <f>IF($A59="","",MIN(24,MAX(1,ROUNDUP(($A59-DayPlan!$C$2+1)/7,0))))</f>
        <v/>
      </c>
      <c r="C59" s="50" t="n"/>
      <c r="D59" s="47" t="n"/>
      <c r="E59" s="50" t="n"/>
      <c r="F59" s="50" t="n"/>
      <c r="G59" s="50" t="n"/>
      <c r="H59" s="50" t="n"/>
      <c r="I59" s="50" t="n"/>
      <c r="J59" s="48">
        <f>IF($A59="","",$A59+3)</f>
        <v/>
      </c>
      <c r="K59" s="47" t="n"/>
      <c r="L59" s="47" t="n"/>
    </row>
    <row r="60">
      <c r="A60" s="48" t="n"/>
      <c r="B60" s="47">
        <f>IF($A60="","",MIN(24,MAX(1,ROUNDUP(($A60-DayPlan!$C$2+1)/7,0))))</f>
        <v/>
      </c>
      <c r="C60" s="50" t="n"/>
      <c r="D60" s="47" t="n"/>
      <c r="E60" s="50" t="n"/>
      <c r="F60" s="50" t="n"/>
      <c r="G60" s="50" t="n"/>
      <c r="H60" s="50" t="n"/>
      <c r="I60" s="50" t="n"/>
      <c r="J60" s="48">
        <f>IF($A60="","",$A60+3)</f>
        <v/>
      </c>
      <c r="K60" s="47" t="n"/>
      <c r="L60" s="47" t="n"/>
    </row>
    <row r="61">
      <c r="A61" s="48" t="n"/>
      <c r="B61" s="47">
        <f>IF($A61="","",MIN(24,MAX(1,ROUNDUP(($A61-DayPlan!$C$2+1)/7,0))))</f>
        <v/>
      </c>
      <c r="C61" s="50" t="n"/>
      <c r="D61" s="47" t="n"/>
      <c r="E61" s="50" t="n"/>
      <c r="F61" s="50" t="n"/>
      <c r="G61" s="50" t="n"/>
      <c r="H61" s="50" t="n"/>
      <c r="I61" s="50" t="n"/>
      <c r="J61" s="48">
        <f>IF($A61="","",$A61+3)</f>
        <v/>
      </c>
      <c r="K61" s="47" t="n"/>
      <c r="L61" s="47" t="n"/>
    </row>
    <row r="62">
      <c r="A62" s="48" t="n"/>
      <c r="B62" s="47">
        <f>IF($A62="","",MIN(24,MAX(1,ROUNDUP(($A62-DayPlan!$C$2+1)/7,0))))</f>
        <v/>
      </c>
      <c r="C62" s="50" t="n"/>
      <c r="D62" s="47" t="n"/>
      <c r="E62" s="50" t="n"/>
      <c r="F62" s="50" t="n"/>
      <c r="G62" s="50" t="n"/>
      <c r="H62" s="50" t="n"/>
      <c r="I62" s="50" t="n"/>
      <c r="J62" s="48">
        <f>IF($A62="","",$A62+3)</f>
        <v/>
      </c>
      <c r="K62" s="47" t="n"/>
      <c r="L62" s="47" t="n"/>
    </row>
    <row r="63">
      <c r="A63" s="48" t="n"/>
      <c r="B63" s="47">
        <f>IF($A63="","",MIN(24,MAX(1,ROUNDUP(($A63-DayPlan!$C$2+1)/7,0))))</f>
        <v/>
      </c>
      <c r="C63" s="50" t="n"/>
      <c r="D63" s="47" t="n"/>
      <c r="E63" s="50" t="n"/>
      <c r="F63" s="50" t="n"/>
      <c r="G63" s="50" t="n"/>
      <c r="H63" s="50" t="n"/>
      <c r="I63" s="50" t="n"/>
      <c r="J63" s="48">
        <f>IF($A63="","",$A63+3)</f>
        <v/>
      </c>
      <c r="K63" s="47" t="n"/>
      <c r="L63" s="47" t="n"/>
    </row>
    <row r="64">
      <c r="A64" s="48" t="n"/>
      <c r="B64" s="47">
        <f>IF($A64="","",MIN(24,MAX(1,ROUNDUP(($A64-DayPlan!$C$2+1)/7,0))))</f>
        <v/>
      </c>
      <c r="C64" s="50" t="n"/>
      <c r="D64" s="47" t="n"/>
      <c r="E64" s="50" t="n"/>
      <c r="F64" s="50" t="n"/>
      <c r="G64" s="50" t="n"/>
      <c r="H64" s="50" t="n"/>
      <c r="I64" s="50" t="n"/>
      <c r="J64" s="48">
        <f>IF($A64="","",$A64+3)</f>
        <v/>
      </c>
      <c r="K64" s="47" t="n"/>
      <c r="L64" s="47" t="n"/>
    </row>
    <row r="65">
      <c r="A65" s="48" t="n"/>
      <c r="B65" s="47">
        <f>IF($A65="","",MIN(24,MAX(1,ROUNDUP(($A65-DayPlan!$C$2+1)/7,0))))</f>
        <v/>
      </c>
      <c r="C65" s="50" t="n"/>
      <c r="D65" s="47" t="n"/>
      <c r="E65" s="50" t="n"/>
      <c r="F65" s="50" t="n"/>
      <c r="G65" s="50" t="n"/>
      <c r="H65" s="50" t="n"/>
      <c r="I65" s="50" t="n"/>
      <c r="J65" s="48">
        <f>IF($A65="","",$A65+3)</f>
        <v/>
      </c>
      <c r="K65" s="47" t="n"/>
      <c r="L65" s="47" t="n"/>
    </row>
    <row r="66">
      <c r="A66" s="48" t="n"/>
      <c r="B66" s="47">
        <f>IF($A66="","",MIN(24,MAX(1,ROUNDUP(($A66-DayPlan!$C$2+1)/7,0))))</f>
        <v/>
      </c>
      <c r="C66" s="50" t="n"/>
      <c r="D66" s="47" t="n"/>
      <c r="E66" s="50" t="n"/>
      <c r="F66" s="50" t="n"/>
      <c r="G66" s="50" t="n"/>
      <c r="H66" s="50" t="n"/>
      <c r="I66" s="50" t="n"/>
      <c r="J66" s="48">
        <f>IF($A66="","",$A66+3)</f>
        <v/>
      </c>
      <c r="K66" s="47" t="n"/>
      <c r="L66" s="47" t="n"/>
    </row>
    <row r="67">
      <c r="A67" s="48" t="n"/>
      <c r="B67" s="47">
        <f>IF($A67="","",MIN(24,MAX(1,ROUNDUP(($A67-DayPlan!$C$2+1)/7,0))))</f>
        <v/>
      </c>
      <c r="C67" s="50" t="n"/>
      <c r="D67" s="47" t="n"/>
      <c r="E67" s="50" t="n"/>
      <c r="F67" s="50" t="n"/>
      <c r="G67" s="50" t="n"/>
      <c r="H67" s="50" t="n"/>
      <c r="I67" s="50" t="n"/>
      <c r="J67" s="48">
        <f>IF($A67="","",$A67+3)</f>
        <v/>
      </c>
      <c r="K67" s="47" t="n"/>
      <c r="L67" s="47" t="n"/>
    </row>
    <row r="68">
      <c r="A68" s="48" t="n"/>
      <c r="B68" s="47">
        <f>IF($A68="","",MIN(24,MAX(1,ROUNDUP(($A68-DayPlan!$C$2+1)/7,0))))</f>
        <v/>
      </c>
      <c r="C68" s="50" t="n"/>
      <c r="D68" s="47" t="n"/>
      <c r="E68" s="50" t="n"/>
      <c r="F68" s="50" t="n"/>
      <c r="G68" s="50" t="n"/>
      <c r="H68" s="50" t="n"/>
      <c r="I68" s="50" t="n"/>
      <c r="J68" s="48">
        <f>IF($A68="","",$A68+3)</f>
        <v/>
      </c>
      <c r="K68" s="47" t="n"/>
      <c r="L68" s="47" t="n"/>
    </row>
    <row r="69">
      <c r="A69" s="48" t="n"/>
      <c r="B69" s="47">
        <f>IF($A69="","",MIN(24,MAX(1,ROUNDUP(($A69-DayPlan!$C$2+1)/7,0))))</f>
        <v/>
      </c>
      <c r="C69" s="50" t="n"/>
      <c r="D69" s="47" t="n"/>
      <c r="E69" s="50" t="n"/>
      <c r="F69" s="50" t="n"/>
      <c r="G69" s="50" t="n"/>
      <c r="H69" s="50" t="n"/>
      <c r="I69" s="50" t="n"/>
      <c r="J69" s="48">
        <f>IF($A69="","",$A69+3)</f>
        <v/>
      </c>
      <c r="K69" s="47" t="n"/>
      <c r="L69" s="47" t="n"/>
    </row>
    <row r="70">
      <c r="A70" s="48" t="n"/>
      <c r="B70" s="47">
        <f>IF($A70="","",MIN(24,MAX(1,ROUNDUP(($A70-DayPlan!$C$2+1)/7,0))))</f>
        <v/>
      </c>
      <c r="C70" s="50" t="n"/>
      <c r="D70" s="47" t="n"/>
      <c r="E70" s="50" t="n"/>
      <c r="F70" s="50" t="n"/>
      <c r="G70" s="50" t="n"/>
      <c r="H70" s="50" t="n"/>
      <c r="I70" s="50" t="n"/>
      <c r="J70" s="48">
        <f>IF($A70="","",$A70+3)</f>
        <v/>
      </c>
      <c r="K70" s="47" t="n"/>
      <c r="L70" s="47" t="n"/>
    </row>
    <row r="71">
      <c r="A71" s="48" t="n"/>
      <c r="B71" s="47">
        <f>IF($A71="","",MIN(24,MAX(1,ROUNDUP(($A71-DayPlan!$C$2+1)/7,0))))</f>
        <v/>
      </c>
      <c r="C71" s="50" t="n"/>
      <c r="D71" s="47" t="n"/>
      <c r="E71" s="50" t="n"/>
      <c r="F71" s="50" t="n"/>
      <c r="G71" s="50" t="n"/>
      <c r="H71" s="50" t="n"/>
      <c r="I71" s="50" t="n"/>
      <c r="J71" s="48">
        <f>IF($A71="","",$A71+3)</f>
        <v/>
      </c>
      <c r="K71" s="47" t="n"/>
      <c r="L71" s="47" t="n"/>
    </row>
    <row r="72">
      <c r="A72" s="48" t="n"/>
      <c r="B72" s="47">
        <f>IF($A72="","",MIN(24,MAX(1,ROUNDUP(($A72-DayPlan!$C$2+1)/7,0))))</f>
        <v/>
      </c>
      <c r="C72" s="50" t="n"/>
      <c r="D72" s="47" t="n"/>
      <c r="E72" s="50" t="n"/>
      <c r="F72" s="50" t="n"/>
      <c r="G72" s="50" t="n"/>
      <c r="H72" s="50" t="n"/>
      <c r="I72" s="50" t="n"/>
      <c r="J72" s="48">
        <f>IF($A72="","",$A72+3)</f>
        <v/>
      </c>
      <c r="K72" s="47" t="n"/>
      <c r="L72" s="47" t="n"/>
    </row>
    <row r="73">
      <c r="A73" s="48" t="n"/>
      <c r="B73" s="47">
        <f>IF($A73="","",MIN(24,MAX(1,ROUNDUP(($A73-DayPlan!$C$2+1)/7,0))))</f>
        <v/>
      </c>
      <c r="C73" s="50" t="n"/>
      <c r="D73" s="47" t="n"/>
      <c r="E73" s="50" t="n"/>
      <c r="F73" s="50" t="n"/>
      <c r="G73" s="50" t="n"/>
      <c r="H73" s="50" t="n"/>
      <c r="I73" s="50" t="n"/>
      <c r="J73" s="48">
        <f>IF($A73="","",$A73+3)</f>
        <v/>
      </c>
      <c r="K73" s="47" t="n"/>
      <c r="L73" s="47" t="n"/>
    </row>
    <row r="74">
      <c r="A74" s="48" t="n"/>
      <c r="B74" s="47">
        <f>IF($A74="","",MIN(24,MAX(1,ROUNDUP(($A74-DayPlan!$C$2+1)/7,0))))</f>
        <v/>
      </c>
      <c r="C74" s="50" t="n"/>
      <c r="D74" s="47" t="n"/>
      <c r="E74" s="50" t="n"/>
      <c r="F74" s="50" t="n"/>
      <c r="G74" s="50" t="n"/>
      <c r="H74" s="50" t="n"/>
      <c r="I74" s="50" t="n"/>
      <c r="J74" s="48">
        <f>IF($A74="","",$A74+3)</f>
        <v/>
      </c>
      <c r="K74" s="47" t="n"/>
      <c r="L74" s="47" t="n"/>
    </row>
    <row r="75">
      <c r="A75" s="48" t="n"/>
      <c r="B75" s="47">
        <f>IF($A75="","",MIN(24,MAX(1,ROUNDUP(($A75-DayPlan!$C$2+1)/7,0))))</f>
        <v/>
      </c>
      <c r="C75" s="50" t="n"/>
      <c r="D75" s="47" t="n"/>
      <c r="E75" s="50" t="n"/>
      <c r="F75" s="50" t="n"/>
      <c r="G75" s="50" t="n"/>
      <c r="H75" s="50" t="n"/>
      <c r="I75" s="50" t="n"/>
      <c r="J75" s="48">
        <f>IF($A75="","",$A75+3)</f>
        <v/>
      </c>
      <c r="K75" s="47" t="n"/>
      <c r="L75" s="47" t="n"/>
    </row>
    <row r="76">
      <c r="A76" s="48" t="n"/>
      <c r="B76" s="47">
        <f>IF($A76="","",MIN(24,MAX(1,ROUNDUP(($A76-DayPlan!$C$2+1)/7,0))))</f>
        <v/>
      </c>
      <c r="C76" s="50" t="n"/>
      <c r="D76" s="47" t="n"/>
      <c r="E76" s="50" t="n"/>
      <c r="F76" s="50" t="n"/>
      <c r="G76" s="50" t="n"/>
      <c r="H76" s="50" t="n"/>
      <c r="I76" s="50" t="n"/>
      <c r="J76" s="48">
        <f>IF($A76="","",$A76+3)</f>
        <v/>
      </c>
      <c r="K76" s="47" t="n"/>
      <c r="L76" s="47" t="n"/>
    </row>
    <row r="77">
      <c r="A77" s="48" t="n"/>
      <c r="B77" s="47">
        <f>IF($A77="","",MIN(24,MAX(1,ROUNDUP(($A77-DayPlan!$C$2+1)/7,0))))</f>
        <v/>
      </c>
      <c r="C77" s="50" t="n"/>
      <c r="D77" s="47" t="n"/>
      <c r="E77" s="50" t="n"/>
      <c r="F77" s="50" t="n"/>
      <c r="G77" s="50" t="n"/>
      <c r="H77" s="50" t="n"/>
      <c r="I77" s="50" t="n"/>
      <c r="J77" s="48">
        <f>IF($A77="","",$A77+3)</f>
        <v/>
      </c>
      <c r="K77" s="47" t="n"/>
      <c r="L77" s="47" t="n"/>
    </row>
    <row r="78">
      <c r="A78" s="48" t="n"/>
      <c r="B78" s="47">
        <f>IF($A78="","",MIN(24,MAX(1,ROUNDUP(($A78-DayPlan!$C$2+1)/7,0))))</f>
        <v/>
      </c>
      <c r="C78" s="50" t="n"/>
      <c r="D78" s="47" t="n"/>
      <c r="E78" s="50" t="n"/>
      <c r="F78" s="50" t="n"/>
      <c r="G78" s="50" t="n"/>
      <c r="H78" s="50" t="n"/>
      <c r="I78" s="50" t="n"/>
      <c r="J78" s="48">
        <f>IF($A78="","",$A78+3)</f>
        <v/>
      </c>
      <c r="K78" s="47" t="n"/>
      <c r="L78" s="47" t="n"/>
    </row>
    <row r="79">
      <c r="A79" s="48" t="n"/>
      <c r="B79" s="47">
        <f>IF($A79="","",MIN(24,MAX(1,ROUNDUP(($A79-DayPlan!$C$2+1)/7,0))))</f>
        <v/>
      </c>
      <c r="C79" s="50" t="n"/>
      <c r="D79" s="47" t="n"/>
      <c r="E79" s="50" t="n"/>
      <c r="F79" s="50" t="n"/>
      <c r="G79" s="50" t="n"/>
      <c r="H79" s="50" t="n"/>
      <c r="I79" s="50" t="n"/>
      <c r="J79" s="48">
        <f>IF($A79="","",$A79+3)</f>
        <v/>
      </c>
      <c r="K79" s="47" t="n"/>
      <c r="L79" s="47" t="n"/>
    </row>
    <row r="80">
      <c r="A80" s="48" t="n"/>
      <c r="B80" s="47">
        <f>IF($A80="","",MIN(24,MAX(1,ROUNDUP(($A80-DayPlan!$C$2+1)/7,0))))</f>
        <v/>
      </c>
      <c r="C80" s="50" t="n"/>
      <c r="D80" s="47" t="n"/>
      <c r="E80" s="50" t="n"/>
      <c r="F80" s="50" t="n"/>
      <c r="G80" s="50" t="n"/>
      <c r="H80" s="50" t="n"/>
      <c r="I80" s="50" t="n"/>
      <c r="J80" s="48">
        <f>IF($A80="","",$A80+3)</f>
        <v/>
      </c>
      <c r="K80" s="47" t="n"/>
      <c r="L80" s="47" t="n"/>
    </row>
    <row r="81">
      <c r="A81" s="48" t="n"/>
      <c r="B81" s="47">
        <f>IF($A81="","",MIN(24,MAX(1,ROUNDUP(($A81-DayPlan!$C$2+1)/7,0))))</f>
        <v/>
      </c>
      <c r="C81" s="50" t="n"/>
      <c r="D81" s="47" t="n"/>
      <c r="E81" s="50" t="n"/>
      <c r="F81" s="50" t="n"/>
      <c r="G81" s="50" t="n"/>
      <c r="H81" s="50" t="n"/>
      <c r="I81" s="50" t="n"/>
      <c r="J81" s="48">
        <f>IF($A81="","",$A81+3)</f>
        <v/>
      </c>
      <c r="K81" s="47" t="n"/>
      <c r="L81" s="47" t="n"/>
    </row>
    <row r="82">
      <c r="A82" s="48" t="n"/>
      <c r="B82" s="47">
        <f>IF($A82="","",MIN(24,MAX(1,ROUNDUP(($A82-DayPlan!$C$2+1)/7,0))))</f>
        <v/>
      </c>
      <c r="C82" s="50" t="n"/>
      <c r="D82" s="47" t="n"/>
      <c r="E82" s="50" t="n"/>
      <c r="F82" s="50" t="n"/>
      <c r="G82" s="50" t="n"/>
      <c r="H82" s="50" t="n"/>
      <c r="I82" s="50" t="n"/>
      <c r="J82" s="48">
        <f>IF($A82="","",$A82+3)</f>
        <v/>
      </c>
      <c r="K82" s="47" t="n"/>
      <c r="L82" s="47" t="n"/>
    </row>
    <row r="83">
      <c r="A83" s="48" t="n"/>
      <c r="B83" s="47">
        <f>IF($A83="","",MIN(24,MAX(1,ROUNDUP(($A83-DayPlan!$C$2+1)/7,0))))</f>
        <v/>
      </c>
      <c r="C83" s="50" t="n"/>
      <c r="D83" s="47" t="n"/>
      <c r="E83" s="50" t="n"/>
      <c r="F83" s="50" t="n"/>
      <c r="G83" s="50" t="n"/>
      <c r="H83" s="50" t="n"/>
      <c r="I83" s="50" t="n"/>
      <c r="J83" s="48">
        <f>IF($A83="","",$A83+3)</f>
        <v/>
      </c>
      <c r="K83" s="47" t="n"/>
      <c r="L83" s="47" t="n"/>
    </row>
    <row r="84">
      <c r="A84" s="48" t="n"/>
      <c r="B84" s="47">
        <f>IF($A84="","",MIN(24,MAX(1,ROUNDUP(($A84-DayPlan!$C$2+1)/7,0))))</f>
        <v/>
      </c>
      <c r="C84" s="50" t="n"/>
      <c r="D84" s="47" t="n"/>
      <c r="E84" s="50" t="n"/>
      <c r="F84" s="50" t="n"/>
      <c r="G84" s="50" t="n"/>
      <c r="H84" s="50" t="n"/>
      <c r="I84" s="50" t="n"/>
      <c r="J84" s="48">
        <f>IF($A84="","",$A84+3)</f>
        <v/>
      </c>
      <c r="K84" s="47" t="n"/>
      <c r="L84" s="47" t="n"/>
    </row>
    <row r="85">
      <c r="A85" s="48" t="n"/>
      <c r="B85" s="47">
        <f>IF($A85="","",MIN(24,MAX(1,ROUNDUP(($A85-DayPlan!$C$2+1)/7,0))))</f>
        <v/>
      </c>
      <c r="C85" s="50" t="n"/>
      <c r="D85" s="47" t="n"/>
      <c r="E85" s="50" t="n"/>
      <c r="F85" s="50" t="n"/>
      <c r="G85" s="50" t="n"/>
      <c r="H85" s="50" t="n"/>
      <c r="I85" s="50" t="n"/>
      <c r="J85" s="48">
        <f>IF($A85="","",$A85+3)</f>
        <v/>
      </c>
      <c r="K85" s="47" t="n"/>
      <c r="L85" s="47" t="n"/>
    </row>
    <row r="86">
      <c r="A86" s="48" t="n"/>
      <c r="B86" s="47">
        <f>IF($A86="","",MIN(24,MAX(1,ROUNDUP(($A86-DayPlan!$C$2+1)/7,0))))</f>
        <v/>
      </c>
      <c r="C86" s="50" t="n"/>
      <c r="D86" s="47" t="n"/>
      <c r="E86" s="50" t="n"/>
      <c r="F86" s="50" t="n"/>
      <c r="G86" s="50" t="n"/>
      <c r="H86" s="50" t="n"/>
      <c r="I86" s="50" t="n"/>
      <c r="J86" s="48">
        <f>IF($A86="","",$A86+3)</f>
        <v/>
      </c>
      <c r="K86" s="47" t="n"/>
      <c r="L86" s="47" t="n"/>
    </row>
    <row r="87">
      <c r="A87" s="48" t="n"/>
      <c r="B87" s="47">
        <f>IF($A87="","",MIN(24,MAX(1,ROUNDUP(($A87-DayPlan!$C$2+1)/7,0))))</f>
        <v/>
      </c>
      <c r="C87" s="50" t="n"/>
      <c r="D87" s="47" t="n"/>
      <c r="E87" s="50" t="n"/>
      <c r="F87" s="50" t="n"/>
      <c r="G87" s="50" t="n"/>
      <c r="H87" s="50" t="n"/>
      <c r="I87" s="50" t="n"/>
      <c r="J87" s="48">
        <f>IF($A87="","",$A87+3)</f>
        <v/>
      </c>
      <c r="K87" s="47" t="n"/>
      <c r="L87" s="47" t="n"/>
    </row>
    <row r="88">
      <c r="A88" s="48" t="n"/>
      <c r="B88" s="47">
        <f>IF($A88="","",MIN(24,MAX(1,ROUNDUP(($A88-DayPlan!$C$2+1)/7,0))))</f>
        <v/>
      </c>
      <c r="C88" s="50" t="n"/>
      <c r="D88" s="47" t="n"/>
      <c r="E88" s="50" t="n"/>
      <c r="F88" s="50" t="n"/>
      <c r="G88" s="50" t="n"/>
      <c r="H88" s="50" t="n"/>
      <c r="I88" s="50" t="n"/>
      <c r="J88" s="48">
        <f>IF($A88="","",$A88+3)</f>
        <v/>
      </c>
      <c r="K88" s="47" t="n"/>
      <c r="L88" s="47" t="n"/>
    </row>
    <row r="89">
      <c r="A89" s="48" t="n"/>
      <c r="B89" s="47">
        <f>IF($A89="","",MIN(24,MAX(1,ROUNDUP(($A89-DayPlan!$C$2+1)/7,0))))</f>
        <v/>
      </c>
      <c r="C89" s="50" t="n"/>
      <c r="D89" s="47" t="n"/>
      <c r="E89" s="50" t="n"/>
      <c r="F89" s="50" t="n"/>
      <c r="G89" s="50" t="n"/>
      <c r="H89" s="50" t="n"/>
      <c r="I89" s="50" t="n"/>
      <c r="J89" s="48">
        <f>IF($A89="","",$A89+3)</f>
        <v/>
      </c>
      <c r="K89" s="47" t="n"/>
      <c r="L89" s="47" t="n"/>
    </row>
    <row r="90">
      <c r="A90" s="48" t="n"/>
      <c r="B90" s="47">
        <f>IF($A90="","",MIN(24,MAX(1,ROUNDUP(($A90-DayPlan!$C$2+1)/7,0))))</f>
        <v/>
      </c>
      <c r="C90" s="50" t="n"/>
      <c r="D90" s="47" t="n"/>
      <c r="E90" s="50" t="n"/>
      <c r="F90" s="50" t="n"/>
      <c r="G90" s="50" t="n"/>
      <c r="H90" s="50" t="n"/>
      <c r="I90" s="50" t="n"/>
      <c r="J90" s="48">
        <f>IF($A90="","",$A90+3)</f>
        <v/>
      </c>
      <c r="K90" s="47" t="n"/>
      <c r="L90" s="47" t="n"/>
    </row>
    <row r="91">
      <c r="A91" s="48" t="n"/>
      <c r="B91" s="47">
        <f>IF($A91="","",MIN(24,MAX(1,ROUNDUP(($A91-DayPlan!$C$2+1)/7,0))))</f>
        <v/>
      </c>
      <c r="C91" s="50" t="n"/>
      <c r="D91" s="47" t="n"/>
      <c r="E91" s="50" t="n"/>
      <c r="F91" s="50" t="n"/>
      <c r="G91" s="50" t="n"/>
      <c r="H91" s="50" t="n"/>
      <c r="I91" s="50" t="n"/>
      <c r="J91" s="48">
        <f>IF($A91="","",$A91+3)</f>
        <v/>
      </c>
      <c r="K91" s="47" t="n"/>
      <c r="L91" s="47" t="n"/>
    </row>
    <row r="92">
      <c r="A92" s="48" t="n"/>
      <c r="B92" s="47">
        <f>IF($A92="","",MIN(24,MAX(1,ROUNDUP(($A92-DayPlan!$C$2+1)/7,0))))</f>
        <v/>
      </c>
      <c r="C92" s="50" t="n"/>
      <c r="D92" s="47" t="n"/>
      <c r="E92" s="50" t="n"/>
      <c r="F92" s="50" t="n"/>
      <c r="G92" s="50" t="n"/>
      <c r="H92" s="50" t="n"/>
      <c r="I92" s="50" t="n"/>
      <c r="J92" s="48">
        <f>IF($A92="","",$A92+3)</f>
        <v/>
      </c>
      <c r="K92" s="47" t="n"/>
      <c r="L92" s="47" t="n"/>
    </row>
    <row r="93">
      <c r="A93" s="48" t="n"/>
      <c r="B93" s="47">
        <f>IF($A93="","",MIN(24,MAX(1,ROUNDUP(($A93-DayPlan!$C$2+1)/7,0))))</f>
        <v/>
      </c>
      <c r="C93" s="50" t="n"/>
      <c r="D93" s="47" t="n"/>
      <c r="E93" s="50" t="n"/>
      <c r="F93" s="50" t="n"/>
      <c r="G93" s="50" t="n"/>
      <c r="H93" s="50" t="n"/>
      <c r="I93" s="50" t="n"/>
      <c r="J93" s="48">
        <f>IF($A93="","",$A93+3)</f>
        <v/>
      </c>
      <c r="K93" s="47" t="n"/>
      <c r="L93" s="47" t="n"/>
    </row>
    <row r="94">
      <c r="A94" s="48" t="n"/>
      <c r="B94" s="47">
        <f>IF($A94="","",MIN(24,MAX(1,ROUNDUP(($A94-DayPlan!$C$2+1)/7,0))))</f>
        <v/>
      </c>
      <c r="C94" s="50" t="n"/>
      <c r="D94" s="47" t="n"/>
      <c r="E94" s="50" t="n"/>
      <c r="F94" s="50" t="n"/>
      <c r="G94" s="50" t="n"/>
      <c r="H94" s="50" t="n"/>
      <c r="I94" s="50" t="n"/>
      <c r="J94" s="48">
        <f>IF($A94="","",$A94+3)</f>
        <v/>
      </c>
      <c r="K94" s="47" t="n"/>
      <c r="L94" s="47" t="n"/>
    </row>
    <row r="95">
      <c r="A95" s="48" t="n"/>
      <c r="B95" s="47">
        <f>IF($A95="","",MIN(24,MAX(1,ROUNDUP(($A95-DayPlan!$C$2+1)/7,0))))</f>
        <v/>
      </c>
      <c r="C95" s="50" t="n"/>
      <c r="D95" s="47" t="n"/>
      <c r="E95" s="50" t="n"/>
      <c r="F95" s="50" t="n"/>
      <c r="G95" s="50" t="n"/>
      <c r="H95" s="50" t="n"/>
      <c r="I95" s="50" t="n"/>
      <c r="J95" s="48">
        <f>IF($A95="","",$A95+3)</f>
        <v/>
      </c>
      <c r="K95" s="47" t="n"/>
      <c r="L95" s="47" t="n"/>
    </row>
    <row r="96">
      <c r="A96" s="48" t="n"/>
      <c r="B96" s="47">
        <f>IF($A96="","",MIN(24,MAX(1,ROUNDUP(($A96-DayPlan!$C$2+1)/7,0))))</f>
        <v/>
      </c>
      <c r="C96" s="50" t="n"/>
      <c r="D96" s="47" t="n"/>
      <c r="E96" s="50" t="n"/>
      <c r="F96" s="50" t="n"/>
      <c r="G96" s="50" t="n"/>
      <c r="H96" s="50" t="n"/>
      <c r="I96" s="50" t="n"/>
      <c r="J96" s="48">
        <f>IF($A96="","",$A96+3)</f>
        <v/>
      </c>
      <c r="K96" s="47" t="n"/>
      <c r="L96" s="47" t="n"/>
    </row>
    <row r="97">
      <c r="A97" s="48" t="n"/>
      <c r="B97" s="47">
        <f>IF($A97="","",MIN(24,MAX(1,ROUNDUP(($A97-DayPlan!$C$2+1)/7,0))))</f>
        <v/>
      </c>
      <c r="C97" s="50" t="n"/>
      <c r="D97" s="47" t="n"/>
      <c r="E97" s="50" t="n"/>
      <c r="F97" s="50" t="n"/>
      <c r="G97" s="50" t="n"/>
      <c r="H97" s="50" t="n"/>
      <c r="I97" s="50" t="n"/>
      <c r="J97" s="48">
        <f>IF($A97="","",$A97+3)</f>
        <v/>
      </c>
      <c r="K97" s="47" t="n"/>
      <c r="L97" s="47" t="n"/>
    </row>
    <row r="98">
      <c r="A98" s="48" t="n"/>
      <c r="B98" s="47">
        <f>IF($A98="","",MIN(24,MAX(1,ROUNDUP(($A98-DayPlan!$C$2+1)/7,0))))</f>
        <v/>
      </c>
      <c r="C98" s="50" t="n"/>
      <c r="D98" s="47" t="n"/>
      <c r="E98" s="50" t="n"/>
      <c r="F98" s="50" t="n"/>
      <c r="G98" s="50" t="n"/>
      <c r="H98" s="50" t="n"/>
      <c r="I98" s="50" t="n"/>
      <c r="J98" s="48">
        <f>IF($A98="","",$A98+3)</f>
        <v/>
      </c>
      <c r="K98" s="47" t="n"/>
      <c r="L98" s="47" t="n"/>
    </row>
    <row r="99">
      <c r="A99" s="48" t="n"/>
      <c r="B99" s="47">
        <f>IF($A99="","",MIN(24,MAX(1,ROUNDUP(($A99-DayPlan!$C$2+1)/7,0))))</f>
        <v/>
      </c>
      <c r="C99" s="50" t="n"/>
      <c r="D99" s="47" t="n"/>
      <c r="E99" s="50" t="n"/>
      <c r="F99" s="50" t="n"/>
      <c r="G99" s="50" t="n"/>
      <c r="H99" s="50" t="n"/>
      <c r="I99" s="50" t="n"/>
      <c r="J99" s="48">
        <f>IF($A99="","",$A99+3)</f>
        <v/>
      </c>
      <c r="K99" s="47" t="n"/>
      <c r="L99" s="47" t="n"/>
    </row>
    <row r="100">
      <c r="A100" s="48" t="n"/>
      <c r="B100" s="47">
        <f>IF($A100="","",MIN(24,MAX(1,ROUNDUP(($A100-DayPlan!$C$2+1)/7,0))))</f>
        <v/>
      </c>
      <c r="C100" s="50" t="n"/>
      <c r="D100" s="47" t="n"/>
      <c r="E100" s="50" t="n"/>
      <c r="F100" s="50" t="n"/>
      <c r="G100" s="50" t="n"/>
      <c r="H100" s="50" t="n"/>
      <c r="I100" s="50" t="n"/>
      <c r="J100" s="48">
        <f>IF($A100="","",$A100+3)</f>
        <v/>
      </c>
      <c r="K100" s="47" t="n"/>
      <c r="L100" s="47" t="n"/>
    </row>
    <row r="101">
      <c r="A101" s="48" t="n"/>
      <c r="B101" s="47">
        <f>IF($A101="","",MIN(24,MAX(1,ROUNDUP(($A101-DayPlan!$C$2+1)/7,0))))</f>
        <v/>
      </c>
      <c r="C101" s="50" t="n"/>
      <c r="D101" s="47" t="n"/>
      <c r="E101" s="50" t="n"/>
      <c r="F101" s="50" t="n"/>
      <c r="G101" s="50" t="n"/>
      <c r="H101" s="50" t="n"/>
      <c r="I101" s="50" t="n"/>
      <c r="J101" s="48">
        <f>IF($A101="","",$A101+3)</f>
        <v/>
      </c>
      <c r="K101" s="47" t="n"/>
      <c r="L101" s="47" t="n"/>
    </row>
    <row r="102">
      <c r="A102" s="48" t="n"/>
      <c r="B102" s="47">
        <f>IF($A102="","",MIN(24,MAX(1,ROUNDUP(($A102-DayPlan!$C$2+1)/7,0))))</f>
        <v/>
      </c>
      <c r="C102" s="50" t="n"/>
      <c r="D102" s="47" t="n"/>
      <c r="E102" s="50" t="n"/>
      <c r="F102" s="50" t="n"/>
      <c r="G102" s="50" t="n"/>
      <c r="H102" s="50" t="n"/>
      <c r="I102" s="50" t="n"/>
      <c r="J102" s="48">
        <f>IF($A102="","",$A102+3)</f>
        <v/>
      </c>
      <c r="K102" s="47" t="n"/>
      <c r="L102" s="47" t="n"/>
    </row>
    <row r="103">
      <c r="A103" s="48" t="n"/>
      <c r="B103" s="47">
        <f>IF($A103="","",MIN(24,MAX(1,ROUNDUP(($A103-DayPlan!$C$2+1)/7,0))))</f>
        <v/>
      </c>
      <c r="C103" s="50" t="n"/>
      <c r="D103" s="47" t="n"/>
      <c r="E103" s="50" t="n"/>
      <c r="F103" s="50" t="n"/>
      <c r="G103" s="50" t="n"/>
      <c r="H103" s="50" t="n"/>
      <c r="I103" s="50" t="n"/>
      <c r="J103" s="48">
        <f>IF($A103="","",$A103+3)</f>
        <v/>
      </c>
      <c r="K103" s="47" t="n"/>
      <c r="L103" s="47" t="n"/>
    </row>
    <row r="104">
      <c r="A104" s="48" t="n"/>
      <c r="B104" s="47">
        <f>IF($A104="","",MIN(24,MAX(1,ROUNDUP(($A104-DayPlan!$C$2+1)/7,0))))</f>
        <v/>
      </c>
      <c r="C104" s="50" t="n"/>
      <c r="D104" s="47" t="n"/>
      <c r="E104" s="50" t="n"/>
      <c r="F104" s="50" t="n"/>
      <c r="G104" s="50" t="n"/>
      <c r="H104" s="50" t="n"/>
      <c r="I104" s="50" t="n"/>
      <c r="J104" s="48">
        <f>IF($A104="","",$A104+3)</f>
        <v/>
      </c>
      <c r="K104" s="47" t="n"/>
      <c r="L104" s="47" t="n"/>
    </row>
    <row r="105">
      <c r="A105" s="48" t="n"/>
      <c r="B105" s="47">
        <f>IF($A105="","",MIN(24,MAX(1,ROUNDUP(($A105-DayPlan!$C$2+1)/7,0))))</f>
        <v/>
      </c>
      <c r="C105" s="50" t="n"/>
      <c r="D105" s="47" t="n"/>
      <c r="E105" s="50" t="n"/>
      <c r="F105" s="50" t="n"/>
      <c r="G105" s="50" t="n"/>
      <c r="H105" s="50" t="n"/>
      <c r="I105" s="50" t="n"/>
      <c r="J105" s="48">
        <f>IF($A105="","",$A105+3)</f>
        <v/>
      </c>
      <c r="K105" s="47" t="n"/>
      <c r="L105" s="47" t="n"/>
    </row>
    <row r="106">
      <c r="A106" s="48" t="n"/>
      <c r="B106" s="47">
        <f>IF($A106="","",MIN(24,MAX(1,ROUNDUP(($A106-DayPlan!$C$2+1)/7,0))))</f>
        <v/>
      </c>
      <c r="C106" s="50" t="n"/>
      <c r="D106" s="47" t="n"/>
      <c r="E106" s="50" t="n"/>
      <c r="F106" s="50" t="n"/>
      <c r="G106" s="50" t="n"/>
      <c r="H106" s="50" t="n"/>
      <c r="I106" s="50" t="n"/>
      <c r="J106" s="48">
        <f>IF($A106="","",$A106+3)</f>
        <v/>
      </c>
      <c r="K106" s="47" t="n"/>
      <c r="L106" s="47" t="n"/>
    </row>
    <row r="107">
      <c r="A107" s="48" t="n"/>
      <c r="B107" s="47">
        <f>IF($A107="","",MIN(24,MAX(1,ROUNDUP(($A107-DayPlan!$C$2+1)/7,0))))</f>
        <v/>
      </c>
      <c r="C107" s="50" t="n"/>
      <c r="D107" s="47" t="n"/>
      <c r="E107" s="50" t="n"/>
      <c r="F107" s="50" t="n"/>
      <c r="G107" s="50" t="n"/>
      <c r="H107" s="50" t="n"/>
      <c r="I107" s="50" t="n"/>
      <c r="J107" s="48">
        <f>IF($A107="","",$A107+3)</f>
        <v/>
      </c>
      <c r="K107" s="47" t="n"/>
      <c r="L107" s="47" t="n"/>
    </row>
    <row r="108">
      <c r="A108" s="48" t="n"/>
      <c r="B108" s="47">
        <f>IF($A108="","",MIN(24,MAX(1,ROUNDUP(($A108-DayPlan!$C$2+1)/7,0))))</f>
        <v/>
      </c>
      <c r="C108" s="50" t="n"/>
      <c r="D108" s="47" t="n"/>
      <c r="E108" s="50" t="n"/>
      <c r="F108" s="50" t="n"/>
      <c r="G108" s="50" t="n"/>
      <c r="H108" s="50" t="n"/>
      <c r="I108" s="50" t="n"/>
      <c r="J108" s="48">
        <f>IF($A108="","",$A108+3)</f>
        <v/>
      </c>
      <c r="K108" s="47" t="n"/>
      <c r="L108" s="47" t="n"/>
    </row>
    <row r="109">
      <c r="A109" s="48" t="n"/>
      <c r="B109" s="47">
        <f>IF($A109="","",MIN(24,MAX(1,ROUNDUP(($A109-DayPlan!$C$2+1)/7,0))))</f>
        <v/>
      </c>
      <c r="C109" s="50" t="n"/>
      <c r="D109" s="47" t="n"/>
      <c r="E109" s="50" t="n"/>
      <c r="F109" s="50" t="n"/>
      <c r="G109" s="50" t="n"/>
      <c r="H109" s="50" t="n"/>
      <c r="I109" s="50" t="n"/>
      <c r="J109" s="48">
        <f>IF($A109="","",$A109+3)</f>
        <v/>
      </c>
      <c r="K109" s="47" t="n"/>
      <c r="L109" s="47" t="n"/>
    </row>
    <row r="110">
      <c r="A110" s="48" t="n"/>
      <c r="B110" s="47">
        <f>IF($A110="","",MIN(24,MAX(1,ROUNDUP(($A110-DayPlan!$C$2+1)/7,0))))</f>
        <v/>
      </c>
      <c r="C110" s="50" t="n"/>
      <c r="D110" s="47" t="n"/>
      <c r="E110" s="50" t="n"/>
      <c r="F110" s="50" t="n"/>
      <c r="G110" s="50" t="n"/>
      <c r="H110" s="50" t="n"/>
      <c r="I110" s="50" t="n"/>
      <c r="J110" s="48">
        <f>IF($A110="","",$A110+3)</f>
        <v/>
      </c>
      <c r="K110" s="47" t="n"/>
      <c r="L110" s="47" t="n"/>
    </row>
    <row r="111">
      <c r="A111" s="48" t="n"/>
      <c r="B111" s="47">
        <f>IF($A111="","",MIN(24,MAX(1,ROUNDUP(($A111-DayPlan!$C$2+1)/7,0))))</f>
        <v/>
      </c>
      <c r="C111" s="50" t="n"/>
      <c r="D111" s="47" t="n"/>
      <c r="E111" s="50" t="n"/>
      <c r="F111" s="50" t="n"/>
      <c r="G111" s="50" t="n"/>
      <c r="H111" s="50" t="n"/>
      <c r="I111" s="50" t="n"/>
      <c r="J111" s="48">
        <f>IF($A111="","",$A111+3)</f>
        <v/>
      </c>
      <c r="K111" s="47" t="n"/>
      <c r="L111" s="47" t="n"/>
    </row>
    <row r="112">
      <c r="A112" s="48" t="n"/>
      <c r="B112" s="47">
        <f>IF($A112="","",MIN(24,MAX(1,ROUNDUP(($A112-DayPlan!$C$2+1)/7,0))))</f>
        <v/>
      </c>
      <c r="C112" s="50" t="n"/>
      <c r="D112" s="47" t="n"/>
      <c r="E112" s="50" t="n"/>
      <c r="F112" s="50" t="n"/>
      <c r="G112" s="50" t="n"/>
      <c r="H112" s="50" t="n"/>
      <c r="I112" s="50" t="n"/>
      <c r="J112" s="48">
        <f>IF($A112="","",$A112+3)</f>
        <v/>
      </c>
      <c r="K112" s="47" t="n"/>
      <c r="L112" s="47" t="n"/>
    </row>
    <row r="113">
      <c r="A113" s="48" t="n"/>
      <c r="B113" s="47">
        <f>IF($A113="","",MIN(24,MAX(1,ROUNDUP(($A113-DayPlan!$C$2+1)/7,0))))</f>
        <v/>
      </c>
      <c r="C113" s="50" t="n"/>
      <c r="D113" s="47" t="n"/>
      <c r="E113" s="50" t="n"/>
      <c r="F113" s="50" t="n"/>
      <c r="G113" s="50" t="n"/>
      <c r="H113" s="50" t="n"/>
      <c r="I113" s="50" t="n"/>
      <c r="J113" s="48">
        <f>IF($A113="","",$A113+3)</f>
        <v/>
      </c>
      <c r="K113" s="47" t="n"/>
      <c r="L113" s="47" t="n"/>
    </row>
    <row r="114">
      <c r="A114" s="48" t="n"/>
      <c r="B114" s="47">
        <f>IF($A114="","",MIN(24,MAX(1,ROUNDUP(($A114-DayPlan!$C$2+1)/7,0))))</f>
        <v/>
      </c>
      <c r="C114" s="50" t="n"/>
      <c r="D114" s="47" t="n"/>
      <c r="E114" s="50" t="n"/>
      <c r="F114" s="50" t="n"/>
      <c r="G114" s="50" t="n"/>
      <c r="H114" s="50" t="n"/>
      <c r="I114" s="50" t="n"/>
      <c r="J114" s="48">
        <f>IF($A114="","",$A114+3)</f>
        <v/>
      </c>
      <c r="K114" s="47" t="n"/>
      <c r="L114" s="47" t="n"/>
    </row>
    <row r="115">
      <c r="A115" s="48" t="n"/>
      <c r="B115" s="47">
        <f>IF($A115="","",MIN(24,MAX(1,ROUNDUP(($A115-DayPlan!$C$2+1)/7,0))))</f>
        <v/>
      </c>
      <c r="C115" s="50" t="n"/>
      <c r="D115" s="47" t="n"/>
      <c r="E115" s="50" t="n"/>
      <c r="F115" s="50" t="n"/>
      <c r="G115" s="50" t="n"/>
      <c r="H115" s="50" t="n"/>
      <c r="I115" s="50" t="n"/>
      <c r="J115" s="48">
        <f>IF($A115="","",$A115+3)</f>
        <v/>
      </c>
      <c r="K115" s="47" t="n"/>
      <c r="L115" s="47" t="n"/>
    </row>
    <row r="116">
      <c r="A116" s="48" t="n"/>
      <c r="B116" s="47">
        <f>IF($A116="","",MIN(24,MAX(1,ROUNDUP(($A116-DayPlan!$C$2+1)/7,0))))</f>
        <v/>
      </c>
      <c r="C116" s="50" t="n"/>
      <c r="D116" s="47" t="n"/>
      <c r="E116" s="50" t="n"/>
      <c r="F116" s="50" t="n"/>
      <c r="G116" s="50" t="n"/>
      <c r="H116" s="50" t="n"/>
      <c r="I116" s="50" t="n"/>
      <c r="J116" s="48">
        <f>IF($A116="","",$A116+3)</f>
        <v/>
      </c>
      <c r="K116" s="47" t="n"/>
      <c r="L116" s="47" t="n"/>
    </row>
    <row r="117">
      <c r="A117" s="48" t="n"/>
      <c r="B117" s="47">
        <f>IF($A117="","",MIN(24,MAX(1,ROUNDUP(($A117-DayPlan!$C$2+1)/7,0))))</f>
        <v/>
      </c>
      <c r="C117" s="50" t="n"/>
      <c r="D117" s="47" t="n"/>
      <c r="E117" s="50" t="n"/>
      <c r="F117" s="50" t="n"/>
      <c r="G117" s="50" t="n"/>
      <c r="H117" s="50" t="n"/>
      <c r="I117" s="50" t="n"/>
      <c r="J117" s="48">
        <f>IF($A117="","",$A117+3)</f>
        <v/>
      </c>
      <c r="K117" s="47" t="n"/>
      <c r="L117" s="47" t="n"/>
    </row>
    <row r="118">
      <c r="A118" s="48" t="n"/>
      <c r="B118" s="47">
        <f>IF($A118="","",MIN(24,MAX(1,ROUNDUP(($A118-DayPlan!$C$2+1)/7,0))))</f>
        <v/>
      </c>
      <c r="C118" s="50" t="n"/>
      <c r="D118" s="47" t="n"/>
      <c r="E118" s="50" t="n"/>
      <c r="F118" s="50" t="n"/>
      <c r="G118" s="50" t="n"/>
      <c r="H118" s="50" t="n"/>
      <c r="I118" s="50" t="n"/>
      <c r="J118" s="48">
        <f>IF($A118="","",$A118+3)</f>
        <v/>
      </c>
      <c r="K118" s="47" t="n"/>
      <c r="L118" s="47" t="n"/>
    </row>
    <row r="119">
      <c r="A119" s="48" t="n"/>
      <c r="B119" s="47">
        <f>IF($A119="","",MIN(24,MAX(1,ROUNDUP(($A119-DayPlan!$C$2+1)/7,0))))</f>
        <v/>
      </c>
      <c r="C119" s="50" t="n"/>
      <c r="D119" s="47" t="n"/>
      <c r="E119" s="50" t="n"/>
      <c r="F119" s="50" t="n"/>
      <c r="G119" s="50" t="n"/>
      <c r="H119" s="50" t="n"/>
      <c r="I119" s="50" t="n"/>
      <c r="J119" s="48">
        <f>IF($A119="","",$A119+3)</f>
        <v/>
      </c>
      <c r="K119" s="47" t="n"/>
      <c r="L119" s="47" t="n"/>
    </row>
    <row r="120">
      <c r="A120" s="48" t="n"/>
      <c r="B120" s="47">
        <f>IF($A120="","",MIN(24,MAX(1,ROUNDUP(($A120-DayPlan!$C$2+1)/7,0))))</f>
        <v/>
      </c>
      <c r="C120" s="50" t="n"/>
      <c r="D120" s="47" t="n"/>
      <c r="E120" s="50" t="n"/>
      <c r="F120" s="50" t="n"/>
      <c r="G120" s="50" t="n"/>
      <c r="H120" s="50" t="n"/>
      <c r="I120" s="50" t="n"/>
      <c r="J120" s="48">
        <f>IF($A120="","",$A120+3)</f>
        <v/>
      </c>
      <c r="K120" s="47" t="n"/>
      <c r="L120" s="47" t="n"/>
    </row>
    <row r="121">
      <c r="A121" s="48" t="n"/>
      <c r="B121" s="47">
        <f>IF($A121="","",MIN(24,MAX(1,ROUNDUP(($A121-DayPlan!$C$2+1)/7,0))))</f>
        <v/>
      </c>
      <c r="C121" s="50" t="n"/>
      <c r="D121" s="47" t="n"/>
      <c r="E121" s="50" t="n"/>
      <c r="F121" s="50" t="n"/>
      <c r="G121" s="50" t="n"/>
      <c r="H121" s="50" t="n"/>
      <c r="I121" s="50" t="n"/>
      <c r="J121" s="48">
        <f>IF($A121="","",$A121+3)</f>
        <v/>
      </c>
      <c r="K121" s="47" t="n"/>
      <c r="L121" s="47" t="n"/>
    </row>
    <row r="122">
      <c r="A122" s="48" t="n"/>
      <c r="B122" s="47">
        <f>IF($A122="","",MIN(24,MAX(1,ROUNDUP(($A122-DayPlan!$C$2+1)/7,0))))</f>
        <v/>
      </c>
      <c r="C122" s="50" t="n"/>
      <c r="D122" s="47" t="n"/>
      <c r="E122" s="50" t="n"/>
      <c r="F122" s="50" t="n"/>
      <c r="G122" s="50" t="n"/>
      <c r="H122" s="50" t="n"/>
      <c r="I122" s="50" t="n"/>
      <c r="J122" s="48">
        <f>IF($A122="","",$A122+3)</f>
        <v/>
      </c>
      <c r="K122" s="47" t="n"/>
      <c r="L122" s="47" t="n"/>
    </row>
    <row r="123">
      <c r="A123" s="48" t="n"/>
      <c r="B123" s="47">
        <f>IF($A123="","",MIN(24,MAX(1,ROUNDUP(($A123-DayPlan!$C$2+1)/7,0))))</f>
        <v/>
      </c>
      <c r="C123" s="50" t="n"/>
      <c r="D123" s="47" t="n"/>
      <c r="E123" s="50" t="n"/>
      <c r="F123" s="50" t="n"/>
      <c r="G123" s="50" t="n"/>
      <c r="H123" s="50" t="n"/>
      <c r="I123" s="50" t="n"/>
      <c r="J123" s="48">
        <f>IF($A123="","",$A123+3)</f>
        <v/>
      </c>
      <c r="K123" s="47" t="n"/>
      <c r="L123" s="47" t="n"/>
    </row>
    <row r="124">
      <c r="A124" s="48" t="n"/>
      <c r="B124" s="47">
        <f>IF($A124="","",MIN(24,MAX(1,ROUNDUP(($A124-DayPlan!$C$2+1)/7,0))))</f>
        <v/>
      </c>
      <c r="C124" s="50" t="n"/>
      <c r="D124" s="47" t="n"/>
      <c r="E124" s="50" t="n"/>
      <c r="F124" s="50" t="n"/>
      <c r="G124" s="50" t="n"/>
      <c r="H124" s="50" t="n"/>
      <c r="I124" s="50" t="n"/>
      <c r="J124" s="48">
        <f>IF($A124="","",$A124+3)</f>
        <v/>
      </c>
      <c r="K124" s="47" t="n"/>
      <c r="L124" s="47" t="n"/>
    </row>
    <row r="125">
      <c r="A125" s="48" t="n"/>
      <c r="B125" s="47">
        <f>IF($A125="","",MIN(24,MAX(1,ROUNDUP(($A125-DayPlan!$C$2+1)/7,0))))</f>
        <v/>
      </c>
      <c r="C125" s="50" t="n"/>
      <c r="D125" s="47" t="n"/>
      <c r="E125" s="50" t="n"/>
      <c r="F125" s="50" t="n"/>
      <c r="G125" s="50" t="n"/>
      <c r="H125" s="50" t="n"/>
      <c r="I125" s="50" t="n"/>
      <c r="J125" s="48">
        <f>IF($A125="","",$A125+3)</f>
        <v/>
      </c>
      <c r="K125" s="47" t="n"/>
      <c r="L125" s="47" t="n"/>
    </row>
    <row r="126">
      <c r="A126" s="48" t="n"/>
      <c r="B126" s="47">
        <f>IF($A126="","",MIN(24,MAX(1,ROUNDUP(($A126-DayPlan!$C$2+1)/7,0))))</f>
        <v/>
      </c>
      <c r="C126" s="50" t="n"/>
      <c r="D126" s="47" t="n"/>
      <c r="E126" s="50" t="n"/>
      <c r="F126" s="50" t="n"/>
      <c r="G126" s="50" t="n"/>
      <c r="H126" s="50" t="n"/>
      <c r="I126" s="50" t="n"/>
      <c r="J126" s="48">
        <f>IF($A126="","",$A126+3)</f>
        <v/>
      </c>
      <c r="K126" s="47" t="n"/>
      <c r="L126" s="47" t="n"/>
    </row>
    <row r="127">
      <c r="A127" s="48" t="n"/>
      <c r="B127" s="47">
        <f>IF($A127="","",MIN(24,MAX(1,ROUNDUP(($A127-DayPlan!$C$2+1)/7,0))))</f>
        <v/>
      </c>
      <c r="C127" s="50" t="n"/>
      <c r="D127" s="47" t="n"/>
      <c r="E127" s="50" t="n"/>
      <c r="F127" s="50" t="n"/>
      <c r="G127" s="50" t="n"/>
      <c r="H127" s="50" t="n"/>
      <c r="I127" s="50" t="n"/>
      <c r="J127" s="48">
        <f>IF($A127="","",$A127+3)</f>
        <v/>
      </c>
      <c r="K127" s="47" t="n"/>
      <c r="L127" s="47" t="n"/>
    </row>
    <row r="128">
      <c r="A128" s="48" t="n"/>
      <c r="B128" s="47">
        <f>IF($A128="","",MIN(24,MAX(1,ROUNDUP(($A128-DayPlan!$C$2+1)/7,0))))</f>
        <v/>
      </c>
      <c r="C128" s="50" t="n"/>
      <c r="D128" s="47" t="n"/>
      <c r="E128" s="50" t="n"/>
      <c r="F128" s="50" t="n"/>
      <c r="G128" s="50" t="n"/>
      <c r="H128" s="50" t="n"/>
      <c r="I128" s="50" t="n"/>
      <c r="J128" s="48">
        <f>IF($A128="","",$A128+3)</f>
        <v/>
      </c>
      <c r="K128" s="47" t="n"/>
      <c r="L128" s="47" t="n"/>
    </row>
    <row r="129">
      <c r="A129" s="48" t="n"/>
      <c r="B129" s="47">
        <f>IF($A129="","",MIN(24,MAX(1,ROUNDUP(($A129-DayPlan!$C$2+1)/7,0))))</f>
        <v/>
      </c>
      <c r="C129" s="50" t="n"/>
      <c r="D129" s="47" t="n"/>
      <c r="E129" s="50" t="n"/>
      <c r="F129" s="50" t="n"/>
      <c r="G129" s="50" t="n"/>
      <c r="H129" s="50" t="n"/>
      <c r="I129" s="50" t="n"/>
      <c r="J129" s="48">
        <f>IF($A129="","",$A129+3)</f>
        <v/>
      </c>
      <c r="K129" s="47" t="n"/>
      <c r="L129" s="47" t="n"/>
    </row>
    <row r="130">
      <c r="A130" s="48" t="n"/>
      <c r="B130" s="47">
        <f>IF($A130="","",MIN(24,MAX(1,ROUNDUP(($A130-DayPlan!$C$2+1)/7,0))))</f>
        <v/>
      </c>
      <c r="C130" s="50" t="n"/>
      <c r="D130" s="47" t="n"/>
      <c r="E130" s="50" t="n"/>
      <c r="F130" s="50" t="n"/>
      <c r="G130" s="50" t="n"/>
      <c r="H130" s="50" t="n"/>
      <c r="I130" s="50" t="n"/>
      <c r="J130" s="48">
        <f>IF($A130="","",$A130+3)</f>
        <v/>
      </c>
      <c r="K130" s="47" t="n"/>
      <c r="L130" s="47" t="n"/>
    </row>
    <row r="131">
      <c r="A131" s="48" t="n"/>
      <c r="B131" s="47">
        <f>IF($A131="","",MIN(24,MAX(1,ROUNDUP(($A131-DayPlan!$C$2+1)/7,0))))</f>
        <v/>
      </c>
      <c r="C131" s="50" t="n"/>
      <c r="D131" s="47" t="n"/>
      <c r="E131" s="50" t="n"/>
      <c r="F131" s="50" t="n"/>
      <c r="G131" s="50" t="n"/>
      <c r="H131" s="50" t="n"/>
      <c r="I131" s="50" t="n"/>
      <c r="J131" s="48">
        <f>IF($A131="","",$A131+3)</f>
        <v/>
      </c>
      <c r="K131" s="47" t="n"/>
      <c r="L131" s="47" t="n"/>
    </row>
    <row r="132">
      <c r="A132" s="48" t="n"/>
      <c r="B132" s="47">
        <f>IF($A132="","",MIN(24,MAX(1,ROUNDUP(($A132-DayPlan!$C$2+1)/7,0))))</f>
        <v/>
      </c>
      <c r="C132" s="50" t="n"/>
      <c r="D132" s="47" t="n"/>
      <c r="E132" s="50" t="n"/>
      <c r="F132" s="50" t="n"/>
      <c r="G132" s="50" t="n"/>
      <c r="H132" s="50" t="n"/>
      <c r="I132" s="50" t="n"/>
      <c r="J132" s="48">
        <f>IF($A132="","",$A132+3)</f>
        <v/>
      </c>
      <c r="K132" s="47" t="n"/>
      <c r="L132" s="47" t="n"/>
    </row>
    <row r="133">
      <c r="A133" s="48" t="n"/>
      <c r="B133" s="47">
        <f>IF($A133="","",MIN(24,MAX(1,ROUNDUP(($A133-DayPlan!$C$2+1)/7,0))))</f>
        <v/>
      </c>
      <c r="C133" s="50" t="n"/>
      <c r="D133" s="47" t="n"/>
      <c r="E133" s="50" t="n"/>
      <c r="F133" s="50" t="n"/>
      <c r="G133" s="50" t="n"/>
      <c r="H133" s="50" t="n"/>
      <c r="I133" s="50" t="n"/>
      <c r="J133" s="48">
        <f>IF($A133="","",$A133+3)</f>
        <v/>
      </c>
      <c r="K133" s="47" t="n"/>
      <c r="L133" s="47" t="n"/>
    </row>
    <row r="134">
      <c r="A134" s="48" t="n"/>
      <c r="B134" s="47">
        <f>IF($A134="","",MIN(24,MAX(1,ROUNDUP(($A134-DayPlan!$C$2+1)/7,0))))</f>
        <v/>
      </c>
      <c r="C134" s="50" t="n"/>
      <c r="D134" s="47" t="n"/>
      <c r="E134" s="50" t="n"/>
      <c r="F134" s="50" t="n"/>
      <c r="G134" s="50" t="n"/>
      <c r="H134" s="50" t="n"/>
      <c r="I134" s="50" t="n"/>
      <c r="J134" s="48">
        <f>IF($A134="","",$A134+3)</f>
        <v/>
      </c>
      <c r="K134" s="47" t="n"/>
      <c r="L134" s="47" t="n"/>
    </row>
    <row r="135">
      <c r="A135" s="48" t="n"/>
      <c r="B135" s="47">
        <f>IF($A135="","",MIN(24,MAX(1,ROUNDUP(($A135-DayPlan!$C$2+1)/7,0))))</f>
        <v/>
      </c>
      <c r="C135" s="50" t="n"/>
      <c r="D135" s="47" t="n"/>
      <c r="E135" s="50" t="n"/>
      <c r="F135" s="50" t="n"/>
      <c r="G135" s="50" t="n"/>
      <c r="H135" s="50" t="n"/>
      <c r="I135" s="50" t="n"/>
      <c r="J135" s="48">
        <f>IF($A135="","",$A135+3)</f>
        <v/>
      </c>
      <c r="K135" s="47" t="n"/>
      <c r="L135" s="47" t="n"/>
    </row>
    <row r="136">
      <c r="A136" s="48" t="n"/>
      <c r="B136" s="47">
        <f>IF($A136="","",MIN(24,MAX(1,ROUNDUP(($A136-DayPlan!$C$2+1)/7,0))))</f>
        <v/>
      </c>
      <c r="C136" s="50" t="n"/>
      <c r="D136" s="47" t="n"/>
      <c r="E136" s="50" t="n"/>
      <c r="F136" s="50" t="n"/>
      <c r="G136" s="50" t="n"/>
      <c r="H136" s="50" t="n"/>
      <c r="I136" s="50" t="n"/>
      <c r="J136" s="48">
        <f>IF($A136="","",$A136+3)</f>
        <v/>
      </c>
      <c r="K136" s="47" t="n"/>
      <c r="L136" s="47" t="n"/>
    </row>
    <row r="137">
      <c r="A137" s="48" t="n"/>
      <c r="B137" s="47">
        <f>IF($A137="","",MIN(24,MAX(1,ROUNDUP(($A137-DayPlan!$C$2+1)/7,0))))</f>
        <v/>
      </c>
      <c r="C137" s="50" t="n"/>
      <c r="D137" s="47" t="n"/>
      <c r="E137" s="50" t="n"/>
      <c r="F137" s="50" t="n"/>
      <c r="G137" s="50" t="n"/>
      <c r="H137" s="50" t="n"/>
      <c r="I137" s="50" t="n"/>
      <c r="J137" s="48">
        <f>IF($A137="","",$A137+3)</f>
        <v/>
      </c>
      <c r="K137" s="47" t="n"/>
      <c r="L137" s="47" t="n"/>
    </row>
    <row r="138">
      <c r="A138" s="48" t="n"/>
      <c r="B138" s="47">
        <f>IF($A138="","",MIN(24,MAX(1,ROUNDUP(($A138-DayPlan!$C$2+1)/7,0))))</f>
        <v/>
      </c>
      <c r="C138" s="50" t="n"/>
      <c r="D138" s="47" t="n"/>
      <c r="E138" s="50" t="n"/>
      <c r="F138" s="50" t="n"/>
      <c r="G138" s="50" t="n"/>
      <c r="H138" s="50" t="n"/>
      <c r="I138" s="50" t="n"/>
      <c r="J138" s="48">
        <f>IF($A138="","",$A138+3)</f>
        <v/>
      </c>
      <c r="K138" s="47" t="n"/>
      <c r="L138" s="47" t="n"/>
    </row>
    <row r="139">
      <c r="A139" s="48" t="n"/>
      <c r="B139" s="47">
        <f>IF($A139="","",MIN(24,MAX(1,ROUNDUP(($A139-DayPlan!$C$2+1)/7,0))))</f>
        <v/>
      </c>
      <c r="C139" s="50" t="n"/>
      <c r="D139" s="47" t="n"/>
      <c r="E139" s="50" t="n"/>
      <c r="F139" s="50" t="n"/>
      <c r="G139" s="50" t="n"/>
      <c r="H139" s="50" t="n"/>
      <c r="I139" s="50" t="n"/>
      <c r="J139" s="48">
        <f>IF($A139="","",$A139+3)</f>
        <v/>
      </c>
      <c r="K139" s="47" t="n"/>
      <c r="L139" s="47" t="n"/>
    </row>
    <row r="140">
      <c r="A140" s="48" t="n"/>
      <c r="B140" s="47">
        <f>IF($A140="","",MIN(24,MAX(1,ROUNDUP(($A140-DayPlan!$C$2+1)/7,0))))</f>
        <v/>
      </c>
      <c r="C140" s="50" t="n"/>
      <c r="D140" s="47" t="n"/>
      <c r="E140" s="50" t="n"/>
      <c r="F140" s="50" t="n"/>
      <c r="G140" s="50" t="n"/>
      <c r="H140" s="50" t="n"/>
      <c r="I140" s="50" t="n"/>
      <c r="J140" s="48">
        <f>IF($A140="","",$A140+3)</f>
        <v/>
      </c>
      <c r="K140" s="47" t="n"/>
      <c r="L140" s="47" t="n"/>
    </row>
    <row r="141">
      <c r="A141" s="48" t="n"/>
      <c r="B141" s="47">
        <f>IF($A141="","",MIN(24,MAX(1,ROUNDUP(($A141-DayPlan!$C$2+1)/7,0))))</f>
        <v/>
      </c>
      <c r="C141" s="50" t="n"/>
      <c r="D141" s="47" t="n"/>
      <c r="E141" s="50" t="n"/>
      <c r="F141" s="50" t="n"/>
      <c r="G141" s="50" t="n"/>
      <c r="H141" s="50" t="n"/>
      <c r="I141" s="50" t="n"/>
      <c r="J141" s="48">
        <f>IF($A141="","",$A141+3)</f>
        <v/>
      </c>
      <c r="K141" s="47" t="n"/>
      <c r="L141" s="47" t="n"/>
    </row>
    <row r="142">
      <c r="A142" s="48" t="n"/>
      <c r="B142" s="47">
        <f>IF($A142="","",MIN(24,MAX(1,ROUNDUP(($A142-DayPlan!$C$2+1)/7,0))))</f>
        <v/>
      </c>
      <c r="C142" s="50" t="n"/>
      <c r="D142" s="47" t="n"/>
      <c r="E142" s="50" t="n"/>
      <c r="F142" s="50" t="n"/>
      <c r="G142" s="50" t="n"/>
      <c r="H142" s="50" t="n"/>
      <c r="I142" s="50" t="n"/>
      <c r="J142" s="48">
        <f>IF($A142="","",$A142+3)</f>
        <v/>
      </c>
      <c r="K142" s="47" t="n"/>
      <c r="L142" s="47" t="n"/>
    </row>
    <row r="143">
      <c r="A143" s="48" t="n"/>
      <c r="B143" s="47">
        <f>IF($A143="","",MIN(24,MAX(1,ROUNDUP(($A143-DayPlan!$C$2+1)/7,0))))</f>
        <v/>
      </c>
      <c r="C143" s="50" t="n"/>
      <c r="D143" s="47" t="n"/>
      <c r="E143" s="50" t="n"/>
      <c r="F143" s="50" t="n"/>
      <c r="G143" s="50" t="n"/>
      <c r="H143" s="50" t="n"/>
      <c r="I143" s="50" t="n"/>
      <c r="J143" s="48">
        <f>IF($A143="","",$A143+3)</f>
        <v/>
      </c>
      <c r="K143" s="47" t="n"/>
      <c r="L143" s="47" t="n"/>
    </row>
    <row r="144">
      <c r="A144" s="48" t="n"/>
      <c r="B144" s="47">
        <f>IF($A144="","",MIN(24,MAX(1,ROUNDUP(($A144-DayPlan!$C$2+1)/7,0))))</f>
        <v/>
      </c>
      <c r="C144" s="50" t="n"/>
      <c r="D144" s="47" t="n"/>
      <c r="E144" s="50" t="n"/>
      <c r="F144" s="50" t="n"/>
      <c r="G144" s="50" t="n"/>
      <c r="H144" s="50" t="n"/>
      <c r="I144" s="50" t="n"/>
      <c r="J144" s="48">
        <f>IF($A144="","",$A144+3)</f>
        <v/>
      </c>
      <c r="K144" s="47" t="n"/>
      <c r="L144" s="47" t="n"/>
    </row>
    <row r="145">
      <c r="A145" s="48" t="n"/>
      <c r="B145" s="47">
        <f>IF($A145="","",MIN(24,MAX(1,ROUNDUP(($A145-DayPlan!$C$2+1)/7,0))))</f>
        <v/>
      </c>
      <c r="C145" s="50" t="n"/>
      <c r="D145" s="47" t="n"/>
      <c r="E145" s="50" t="n"/>
      <c r="F145" s="50" t="n"/>
      <c r="G145" s="50" t="n"/>
      <c r="H145" s="50" t="n"/>
      <c r="I145" s="50" t="n"/>
      <c r="J145" s="48">
        <f>IF($A145="","",$A145+3)</f>
        <v/>
      </c>
      <c r="K145" s="47" t="n"/>
      <c r="L145" s="47" t="n"/>
    </row>
    <row r="146">
      <c r="A146" s="48" t="n"/>
      <c r="B146" s="47">
        <f>IF($A146="","",MIN(24,MAX(1,ROUNDUP(($A146-DayPlan!$C$2+1)/7,0))))</f>
        <v/>
      </c>
      <c r="C146" s="50" t="n"/>
      <c r="D146" s="47" t="n"/>
      <c r="E146" s="50" t="n"/>
      <c r="F146" s="50" t="n"/>
      <c r="G146" s="50" t="n"/>
      <c r="H146" s="50" t="n"/>
      <c r="I146" s="50" t="n"/>
      <c r="J146" s="48">
        <f>IF($A146="","",$A146+3)</f>
        <v/>
      </c>
      <c r="K146" s="47" t="n"/>
      <c r="L146" s="47" t="n"/>
    </row>
    <row r="147">
      <c r="A147" s="48" t="n"/>
      <c r="B147" s="47">
        <f>IF($A147="","",MIN(24,MAX(1,ROUNDUP(($A147-DayPlan!$C$2+1)/7,0))))</f>
        <v/>
      </c>
      <c r="C147" s="50" t="n"/>
      <c r="D147" s="47" t="n"/>
      <c r="E147" s="50" t="n"/>
      <c r="F147" s="50" t="n"/>
      <c r="G147" s="50" t="n"/>
      <c r="H147" s="50" t="n"/>
      <c r="I147" s="50" t="n"/>
      <c r="J147" s="48">
        <f>IF($A147="","",$A147+3)</f>
        <v/>
      </c>
      <c r="K147" s="47" t="n"/>
      <c r="L147" s="47" t="n"/>
    </row>
    <row r="148">
      <c r="A148" s="48" t="n"/>
      <c r="B148" s="47">
        <f>IF($A148="","",MIN(24,MAX(1,ROUNDUP(($A148-DayPlan!$C$2+1)/7,0))))</f>
        <v/>
      </c>
      <c r="C148" s="50" t="n"/>
      <c r="D148" s="47" t="n"/>
      <c r="E148" s="50" t="n"/>
      <c r="F148" s="50" t="n"/>
      <c r="G148" s="50" t="n"/>
      <c r="H148" s="50" t="n"/>
      <c r="I148" s="50" t="n"/>
      <c r="J148" s="48">
        <f>IF($A148="","",$A148+3)</f>
        <v/>
      </c>
      <c r="K148" s="47" t="n"/>
      <c r="L148" s="47" t="n"/>
    </row>
    <row r="149">
      <c r="A149" s="48" t="n"/>
      <c r="B149" s="47">
        <f>IF($A149="","",MIN(24,MAX(1,ROUNDUP(($A149-DayPlan!$C$2+1)/7,0))))</f>
        <v/>
      </c>
      <c r="C149" s="50" t="n"/>
      <c r="D149" s="47" t="n"/>
      <c r="E149" s="50" t="n"/>
      <c r="F149" s="50" t="n"/>
      <c r="G149" s="50" t="n"/>
      <c r="H149" s="50" t="n"/>
      <c r="I149" s="50" t="n"/>
      <c r="J149" s="48">
        <f>IF($A149="","",$A149+3)</f>
        <v/>
      </c>
      <c r="K149" s="47" t="n"/>
      <c r="L149" s="47" t="n"/>
    </row>
    <row r="150">
      <c r="A150" s="48" t="n"/>
      <c r="B150" s="47">
        <f>IF($A150="","",MIN(24,MAX(1,ROUNDUP(($A150-DayPlan!$C$2+1)/7,0))))</f>
        <v/>
      </c>
      <c r="C150" s="50" t="n"/>
      <c r="D150" s="47" t="n"/>
      <c r="E150" s="50" t="n"/>
      <c r="F150" s="50" t="n"/>
      <c r="G150" s="50" t="n"/>
      <c r="H150" s="50" t="n"/>
      <c r="I150" s="50" t="n"/>
      <c r="J150" s="48">
        <f>IF($A150="","",$A150+3)</f>
        <v/>
      </c>
      <c r="K150" s="47" t="n"/>
      <c r="L150" s="47" t="n"/>
    </row>
    <row r="151">
      <c r="A151" s="48" t="n"/>
      <c r="B151" s="47">
        <f>IF($A151="","",MIN(24,MAX(1,ROUNDUP(($A151-DayPlan!$C$2+1)/7,0))))</f>
        <v/>
      </c>
      <c r="C151" s="50" t="n"/>
      <c r="D151" s="47" t="n"/>
      <c r="E151" s="50" t="n"/>
      <c r="F151" s="50" t="n"/>
      <c r="G151" s="50" t="n"/>
      <c r="H151" s="50" t="n"/>
      <c r="I151" s="50" t="n"/>
      <c r="J151" s="48">
        <f>IF($A151="","",$A151+3)</f>
        <v/>
      </c>
      <c r="K151" s="47" t="n"/>
      <c r="L151" s="47" t="n"/>
    </row>
    <row r="152">
      <c r="A152" s="48" t="n"/>
      <c r="B152" s="47">
        <f>IF($A152="","",MIN(24,MAX(1,ROUNDUP(($A152-DayPlan!$C$2+1)/7,0))))</f>
        <v/>
      </c>
      <c r="C152" s="50" t="n"/>
      <c r="D152" s="47" t="n"/>
      <c r="E152" s="50" t="n"/>
      <c r="F152" s="50" t="n"/>
      <c r="G152" s="50" t="n"/>
      <c r="H152" s="50" t="n"/>
      <c r="I152" s="50" t="n"/>
      <c r="J152" s="48">
        <f>IF($A152="","",$A152+3)</f>
        <v/>
      </c>
      <c r="K152" s="47" t="n"/>
      <c r="L152" s="47" t="n"/>
    </row>
    <row r="153">
      <c r="A153" s="48" t="n"/>
      <c r="B153" s="47">
        <f>IF($A153="","",MIN(24,MAX(1,ROUNDUP(($A153-DayPlan!$C$2+1)/7,0))))</f>
        <v/>
      </c>
      <c r="C153" s="50" t="n"/>
      <c r="D153" s="47" t="n"/>
      <c r="E153" s="50" t="n"/>
      <c r="F153" s="50" t="n"/>
      <c r="G153" s="50" t="n"/>
      <c r="H153" s="50" t="n"/>
      <c r="I153" s="50" t="n"/>
      <c r="J153" s="48">
        <f>IF($A153="","",$A153+3)</f>
        <v/>
      </c>
      <c r="K153" s="47" t="n"/>
      <c r="L153" s="47" t="n"/>
    </row>
    <row r="154">
      <c r="A154" s="48" t="n"/>
      <c r="B154" s="47">
        <f>IF($A154="","",MIN(24,MAX(1,ROUNDUP(($A154-DayPlan!$C$2+1)/7,0))))</f>
        <v/>
      </c>
      <c r="C154" s="50" t="n"/>
      <c r="D154" s="47" t="n"/>
      <c r="E154" s="50" t="n"/>
      <c r="F154" s="50" t="n"/>
      <c r="G154" s="50" t="n"/>
      <c r="H154" s="50" t="n"/>
      <c r="I154" s="50" t="n"/>
      <c r="J154" s="48">
        <f>IF($A154="","",$A154+3)</f>
        <v/>
      </c>
      <c r="K154" s="47" t="n"/>
      <c r="L154" s="47" t="n"/>
    </row>
    <row r="155">
      <c r="A155" s="48" t="n"/>
      <c r="B155" s="47">
        <f>IF($A155="","",MIN(24,MAX(1,ROUNDUP(($A155-DayPlan!$C$2+1)/7,0))))</f>
        <v/>
      </c>
      <c r="C155" s="50" t="n"/>
      <c r="D155" s="47" t="n"/>
      <c r="E155" s="50" t="n"/>
      <c r="F155" s="50" t="n"/>
      <c r="G155" s="50" t="n"/>
      <c r="H155" s="50" t="n"/>
      <c r="I155" s="50" t="n"/>
      <c r="J155" s="48">
        <f>IF($A155="","",$A155+3)</f>
        <v/>
      </c>
      <c r="K155" s="47" t="n"/>
      <c r="L155" s="47" t="n"/>
    </row>
    <row r="156">
      <c r="A156" s="48" t="n"/>
      <c r="B156" s="47">
        <f>IF($A156="","",MIN(24,MAX(1,ROUNDUP(($A156-DayPlan!$C$2+1)/7,0))))</f>
        <v/>
      </c>
      <c r="C156" s="50" t="n"/>
      <c r="D156" s="47" t="n"/>
      <c r="E156" s="50" t="n"/>
      <c r="F156" s="50" t="n"/>
      <c r="G156" s="50" t="n"/>
      <c r="H156" s="50" t="n"/>
      <c r="I156" s="50" t="n"/>
      <c r="J156" s="48">
        <f>IF($A156="","",$A156+3)</f>
        <v/>
      </c>
      <c r="K156" s="47" t="n"/>
      <c r="L156" s="47" t="n"/>
    </row>
    <row r="157">
      <c r="A157" s="48" t="n"/>
      <c r="B157" s="47">
        <f>IF($A157="","",MIN(24,MAX(1,ROUNDUP(($A157-DayPlan!$C$2+1)/7,0))))</f>
        <v/>
      </c>
      <c r="C157" s="50" t="n"/>
      <c r="D157" s="47" t="n"/>
      <c r="E157" s="50" t="n"/>
      <c r="F157" s="50" t="n"/>
      <c r="G157" s="50" t="n"/>
      <c r="H157" s="50" t="n"/>
      <c r="I157" s="50" t="n"/>
      <c r="J157" s="48">
        <f>IF($A157="","",$A157+3)</f>
        <v/>
      </c>
      <c r="K157" s="47" t="n"/>
      <c r="L157" s="47" t="n"/>
    </row>
    <row r="158">
      <c r="A158" s="48" t="n"/>
      <c r="B158" s="47">
        <f>IF($A158="","",MIN(24,MAX(1,ROUNDUP(($A158-DayPlan!$C$2+1)/7,0))))</f>
        <v/>
      </c>
      <c r="C158" s="50" t="n"/>
      <c r="D158" s="47" t="n"/>
      <c r="E158" s="50" t="n"/>
      <c r="F158" s="50" t="n"/>
      <c r="G158" s="50" t="n"/>
      <c r="H158" s="50" t="n"/>
      <c r="I158" s="50" t="n"/>
      <c r="J158" s="48">
        <f>IF($A158="","",$A158+3)</f>
        <v/>
      </c>
      <c r="K158" s="47" t="n"/>
      <c r="L158" s="47" t="n"/>
    </row>
    <row r="159">
      <c r="A159" s="48" t="n"/>
      <c r="B159" s="47">
        <f>IF($A159="","",MIN(24,MAX(1,ROUNDUP(($A159-DayPlan!$C$2+1)/7,0))))</f>
        <v/>
      </c>
      <c r="C159" s="50" t="n"/>
      <c r="D159" s="47" t="n"/>
      <c r="E159" s="50" t="n"/>
      <c r="F159" s="50" t="n"/>
      <c r="G159" s="50" t="n"/>
      <c r="H159" s="50" t="n"/>
      <c r="I159" s="50" t="n"/>
      <c r="J159" s="48">
        <f>IF($A159="","",$A159+3)</f>
        <v/>
      </c>
      <c r="K159" s="47" t="n"/>
      <c r="L159" s="47" t="n"/>
    </row>
    <row r="160">
      <c r="A160" s="48" t="n"/>
      <c r="B160" s="47">
        <f>IF($A160="","",MIN(24,MAX(1,ROUNDUP(($A160-DayPlan!$C$2+1)/7,0))))</f>
        <v/>
      </c>
      <c r="C160" s="50" t="n"/>
      <c r="D160" s="47" t="n"/>
      <c r="E160" s="50" t="n"/>
      <c r="F160" s="50" t="n"/>
      <c r="G160" s="50" t="n"/>
      <c r="H160" s="50" t="n"/>
      <c r="I160" s="50" t="n"/>
      <c r="J160" s="48">
        <f>IF($A160="","",$A160+3)</f>
        <v/>
      </c>
      <c r="K160" s="47" t="n"/>
      <c r="L160" s="47" t="n"/>
    </row>
    <row r="161">
      <c r="A161" s="48" t="n"/>
      <c r="B161" s="47">
        <f>IF($A161="","",MIN(24,MAX(1,ROUNDUP(($A161-DayPlan!$C$2+1)/7,0))))</f>
        <v/>
      </c>
      <c r="C161" s="50" t="n"/>
      <c r="D161" s="47" t="n"/>
      <c r="E161" s="50" t="n"/>
      <c r="F161" s="50" t="n"/>
      <c r="G161" s="50" t="n"/>
      <c r="H161" s="50" t="n"/>
      <c r="I161" s="50" t="n"/>
      <c r="J161" s="48">
        <f>IF($A161="","",$A161+3)</f>
        <v/>
      </c>
      <c r="K161" s="47" t="n"/>
      <c r="L161" s="47" t="n"/>
    </row>
    <row r="162">
      <c r="A162" s="48" t="n"/>
      <c r="B162" s="47">
        <f>IF($A162="","",MIN(24,MAX(1,ROUNDUP(($A162-DayPlan!$C$2+1)/7,0))))</f>
        <v/>
      </c>
      <c r="C162" s="50" t="n"/>
      <c r="D162" s="47" t="n"/>
      <c r="E162" s="50" t="n"/>
      <c r="F162" s="50" t="n"/>
      <c r="G162" s="50" t="n"/>
      <c r="H162" s="50" t="n"/>
      <c r="I162" s="50" t="n"/>
      <c r="J162" s="48">
        <f>IF($A162="","",$A162+3)</f>
        <v/>
      </c>
      <c r="K162" s="47" t="n"/>
      <c r="L162" s="47" t="n"/>
    </row>
    <row r="163">
      <c r="A163" s="48" t="n"/>
      <c r="B163" s="47">
        <f>IF($A163="","",MIN(24,MAX(1,ROUNDUP(($A163-DayPlan!$C$2+1)/7,0))))</f>
        <v/>
      </c>
      <c r="C163" s="50" t="n"/>
      <c r="D163" s="47" t="n"/>
      <c r="E163" s="50" t="n"/>
      <c r="F163" s="50" t="n"/>
      <c r="G163" s="50" t="n"/>
      <c r="H163" s="50" t="n"/>
      <c r="I163" s="50" t="n"/>
      <c r="J163" s="48">
        <f>IF($A163="","",$A163+3)</f>
        <v/>
      </c>
      <c r="K163" s="47" t="n"/>
      <c r="L163" s="47" t="n"/>
    </row>
    <row r="164">
      <c r="A164" s="48" t="n"/>
      <c r="B164" s="47">
        <f>IF($A164="","",MIN(24,MAX(1,ROUNDUP(($A164-DayPlan!$C$2+1)/7,0))))</f>
        <v/>
      </c>
      <c r="C164" s="50" t="n"/>
      <c r="D164" s="47" t="n"/>
      <c r="E164" s="50" t="n"/>
      <c r="F164" s="50" t="n"/>
      <c r="G164" s="50" t="n"/>
      <c r="H164" s="50" t="n"/>
      <c r="I164" s="50" t="n"/>
      <c r="J164" s="48">
        <f>IF($A164="","",$A164+3)</f>
        <v/>
      </c>
      <c r="K164" s="47" t="n"/>
      <c r="L164" s="47" t="n"/>
    </row>
    <row r="165">
      <c r="A165" s="48" t="n"/>
      <c r="B165" s="47">
        <f>IF($A165="","",MIN(24,MAX(1,ROUNDUP(($A165-DayPlan!$C$2+1)/7,0))))</f>
        <v/>
      </c>
      <c r="C165" s="50" t="n"/>
      <c r="D165" s="47" t="n"/>
      <c r="E165" s="50" t="n"/>
      <c r="F165" s="50" t="n"/>
      <c r="G165" s="50" t="n"/>
      <c r="H165" s="50" t="n"/>
      <c r="I165" s="50" t="n"/>
      <c r="J165" s="48">
        <f>IF($A165="","",$A165+3)</f>
        <v/>
      </c>
      <c r="K165" s="47" t="n"/>
      <c r="L165" s="47" t="n"/>
    </row>
    <row r="166">
      <c r="A166" s="48" t="n"/>
      <c r="B166" s="47">
        <f>IF($A166="","",MIN(24,MAX(1,ROUNDUP(($A166-DayPlan!$C$2+1)/7,0))))</f>
        <v/>
      </c>
      <c r="C166" s="50" t="n"/>
      <c r="D166" s="47" t="n"/>
      <c r="E166" s="50" t="n"/>
      <c r="F166" s="50" t="n"/>
      <c r="G166" s="50" t="n"/>
      <c r="H166" s="50" t="n"/>
      <c r="I166" s="50" t="n"/>
      <c r="J166" s="48">
        <f>IF($A166="","",$A166+3)</f>
        <v/>
      </c>
      <c r="K166" s="47" t="n"/>
      <c r="L166" s="47" t="n"/>
    </row>
    <row r="167">
      <c r="A167" s="48" t="n"/>
      <c r="B167" s="47">
        <f>IF($A167="","",MIN(24,MAX(1,ROUNDUP(($A167-DayPlan!$C$2+1)/7,0))))</f>
        <v/>
      </c>
      <c r="C167" s="50" t="n"/>
      <c r="D167" s="47" t="n"/>
      <c r="E167" s="50" t="n"/>
      <c r="F167" s="50" t="n"/>
      <c r="G167" s="50" t="n"/>
      <c r="H167" s="50" t="n"/>
      <c r="I167" s="50" t="n"/>
      <c r="J167" s="48">
        <f>IF($A167="","",$A167+3)</f>
        <v/>
      </c>
      <c r="K167" s="47" t="n"/>
      <c r="L167" s="47" t="n"/>
    </row>
    <row r="168">
      <c r="A168" s="48" t="n"/>
      <c r="B168" s="47">
        <f>IF($A168="","",MIN(24,MAX(1,ROUNDUP(($A168-DayPlan!$C$2+1)/7,0))))</f>
        <v/>
      </c>
      <c r="C168" s="50" t="n"/>
      <c r="D168" s="47" t="n"/>
      <c r="E168" s="50" t="n"/>
      <c r="F168" s="50" t="n"/>
      <c r="G168" s="50" t="n"/>
      <c r="H168" s="50" t="n"/>
      <c r="I168" s="50" t="n"/>
      <c r="J168" s="48">
        <f>IF($A168="","",$A168+3)</f>
        <v/>
      </c>
      <c r="K168" s="47" t="n"/>
      <c r="L168" s="47" t="n"/>
    </row>
    <row r="169">
      <c r="A169" s="48" t="n"/>
      <c r="B169" s="47">
        <f>IF($A169="","",MIN(24,MAX(1,ROUNDUP(($A169-DayPlan!$C$2+1)/7,0))))</f>
        <v/>
      </c>
      <c r="C169" s="50" t="n"/>
      <c r="D169" s="47" t="n"/>
      <c r="E169" s="50" t="n"/>
      <c r="F169" s="50" t="n"/>
      <c r="G169" s="50" t="n"/>
      <c r="H169" s="50" t="n"/>
      <c r="I169" s="50" t="n"/>
      <c r="J169" s="48">
        <f>IF($A169="","",$A169+3)</f>
        <v/>
      </c>
      <c r="K169" s="47" t="n"/>
      <c r="L169" s="47" t="n"/>
    </row>
    <row r="170">
      <c r="A170" s="48" t="n"/>
      <c r="B170" s="47">
        <f>IF($A170="","",MIN(24,MAX(1,ROUNDUP(($A170-DayPlan!$C$2+1)/7,0))))</f>
        <v/>
      </c>
      <c r="C170" s="50" t="n"/>
      <c r="D170" s="47" t="n"/>
      <c r="E170" s="50" t="n"/>
      <c r="F170" s="50" t="n"/>
      <c r="G170" s="50" t="n"/>
      <c r="H170" s="50" t="n"/>
      <c r="I170" s="50" t="n"/>
      <c r="J170" s="48">
        <f>IF($A170="","",$A170+3)</f>
        <v/>
      </c>
      <c r="K170" s="47" t="n"/>
      <c r="L170" s="47" t="n"/>
    </row>
    <row r="171">
      <c r="A171" s="48" t="n"/>
      <c r="B171" s="47">
        <f>IF($A171="","",MIN(24,MAX(1,ROUNDUP(($A171-DayPlan!$C$2+1)/7,0))))</f>
        <v/>
      </c>
      <c r="C171" s="50" t="n"/>
      <c r="D171" s="47" t="n"/>
      <c r="E171" s="50" t="n"/>
      <c r="F171" s="50" t="n"/>
      <c r="G171" s="50" t="n"/>
      <c r="H171" s="50" t="n"/>
      <c r="I171" s="50" t="n"/>
      <c r="J171" s="48">
        <f>IF($A171="","",$A171+3)</f>
        <v/>
      </c>
      <c r="K171" s="47" t="n"/>
      <c r="L171" s="47" t="n"/>
    </row>
    <row r="172">
      <c r="A172" s="48" t="n"/>
      <c r="B172" s="47">
        <f>IF($A172="","",MIN(24,MAX(1,ROUNDUP(($A172-DayPlan!$C$2+1)/7,0))))</f>
        <v/>
      </c>
      <c r="C172" s="50" t="n"/>
      <c r="D172" s="47" t="n"/>
      <c r="E172" s="50" t="n"/>
      <c r="F172" s="50" t="n"/>
      <c r="G172" s="50" t="n"/>
      <c r="H172" s="50" t="n"/>
      <c r="I172" s="50" t="n"/>
      <c r="J172" s="48">
        <f>IF($A172="","",$A172+3)</f>
        <v/>
      </c>
      <c r="K172" s="47" t="n"/>
      <c r="L172" s="47" t="n"/>
    </row>
    <row r="173">
      <c r="A173" s="48" t="n"/>
      <c r="B173" s="47">
        <f>IF($A173="","",MIN(24,MAX(1,ROUNDUP(($A173-DayPlan!$C$2+1)/7,0))))</f>
        <v/>
      </c>
      <c r="C173" s="50" t="n"/>
      <c r="D173" s="47" t="n"/>
      <c r="E173" s="50" t="n"/>
      <c r="F173" s="50" t="n"/>
      <c r="G173" s="50" t="n"/>
      <c r="H173" s="50" t="n"/>
      <c r="I173" s="50" t="n"/>
      <c r="J173" s="48">
        <f>IF($A173="","",$A173+3)</f>
        <v/>
      </c>
      <c r="K173" s="47" t="n"/>
      <c r="L173" s="47" t="n"/>
    </row>
    <row r="174">
      <c r="A174" s="48" t="n"/>
      <c r="B174" s="47">
        <f>IF($A174="","",MIN(24,MAX(1,ROUNDUP(($A174-DayPlan!$C$2+1)/7,0))))</f>
        <v/>
      </c>
      <c r="C174" s="50" t="n"/>
      <c r="D174" s="47" t="n"/>
      <c r="E174" s="50" t="n"/>
      <c r="F174" s="50" t="n"/>
      <c r="G174" s="50" t="n"/>
      <c r="H174" s="50" t="n"/>
      <c r="I174" s="50" t="n"/>
      <c r="J174" s="48">
        <f>IF($A174="","",$A174+3)</f>
        <v/>
      </c>
      <c r="K174" s="47" t="n"/>
      <c r="L174" s="47" t="n"/>
    </row>
    <row r="175">
      <c r="A175" s="48" t="n"/>
      <c r="B175" s="47">
        <f>IF($A175="","",MIN(24,MAX(1,ROUNDUP(($A175-DayPlan!$C$2+1)/7,0))))</f>
        <v/>
      </c>
      <c r="C175" s="50" t="n"/>
      <c r="D175" s="47" t="n"/>
      <c r="E175" s="50" t="n"/>
      <c r="F175" s="50" t="n"/>
      <c r="G175" s="50" t="n"/>
      <c r="H175" s="50" t="n"/>
      <c r="I175" s="50" t="n"/>
      <c r="J175" s="48">
        <f>IF($A175="","",$A175+3)</f>
        <v/>
      </c>
      <c r="K175" s="47" t="n"/>
      <c r="L175" s="47" t="n"/>
    </row>
    <row r="176">
      <c r="A176" s="48" t="n"/>
      <c r="B176" s="47">
        <f>IF($A176="","",MIN(24,MAX(1,ROUNDUP(($A176-DayPlan!$C$2+1)/7,0))))</f>
        <v/>
      </c>
      <c r="C176" s="50" t="n"/>
      <c r="D176" s="47" t="n"/>
      <c r="E176" s="50" t="n"/>
      <c r="F176" s="50" t="n"/>
      <c r="G176" s="50" t="n"/>
      <c r="H176" s="50" t="n"/>
      <c r="I176" s="50" t="n"/>
      <c r="J176" s="48">
        <f>IF($A176="","",$A176+3)</f>
        <v/>
      </c>
      <c r="K176" s="47" t="n"/>
      <c r="L176" s="47" t="n"/>
    </row>
    <row r="177">
      <c r="A177" s="48" t="n"/>
      <c r="B177" s="47">
        <f>IF($A177="","",MIN(24,MAX(1,ROUNDUP(($A177-DayPlan!$C$2+1)/7,0))))</f>
        <v/>
      </c>
      <c r="C177" s="50" t="n"/>
      <c r="D177" s="47" t="n"/>
      <c r="E177" s="50" t="n"/>
      <c r="F177" s="50" t="n"/>
      <c r="G177" s="50" t="n"/>
      <c r="H177" s="50" t="n"/>
      <c r="I177" s="50" t="n"/>
      <c r="J177" s="48">
        <f>IF($A177="","",$A177+3)</f>
        <v/>
      </c>
      <c r="K177" s="47" t="n"/>
      <c r="L177" s="47" t="n"/>
    </row>
    <row r="178">
      <c r="A178" s="48" t="n"/>
      <c r="B178" s="47">
        <f>IF($A178="","",MIN(24,MAX(1,ROUNDUP(($A178-DayPlan!$C$2+1)/7,0))))</f>
        <v/>
      </c>
      <c r="C178" s="50" t="n"/>
      <c r="D178" s="47" t="n"/>
      <c r="E178" s="50" t="n"/>
      <c r="F178" s="50" t="n"/>
      <c r="G178" s="50" t="n"/>
      <c r="H178" s="50" t="n"/>
      <c r="I178" s="50" t="n"/>
      <c r="J178" s="48">
        <f>IF($A178="","",$A178+3)</f>
        <v/>
      </c>
      <c r="K178" s="47" t="n"/>
      <c r="L178" s="47" t="n"/>
    </row>
    <row r="179">
      <c r="A179" s="48" t="n"/>
      <c r="B179" s="47">
        <f>IF($A179="","",MIN(24,MAX(1,ROUNDUP(($A179-DayPlan!$C$2+1)/7,0))))</f>
        <v/>
      </c>
      <c r="C179" s="50" t="n"/>
      <c r="D179" s="47" t="n"/>
      <c r="E179" s="50" t="n"/>
      <c r="F179" s="50" t="n"/>
      <c r="G179" s="50" t="n"/>
      <c r="H179" s="50" t="n"/>
      <c r="I179" s="50" t="n"/>
      <c r="J179" s="48">
        <f>IF($A179="","",$A179+3)</f>
        <v/>
      </c>
      <c r="K179" s="47" t="n"/>
      <c r="L179" s="47" t="n"/>
    </row>
    <row r="180">
      <c r="A180" s="48" t="n"/>
      <c r="B180" s="47">
        <f>IF($A180="","",MIN(24,MAX(1,ROUNDUP(($A180-DayPlan!$C$2+1)/7,0))))</f>
        <v/>
      </c>
      <c r="C180" s="50" t="n"/>
      <c r="D180" s="47" t="n"/>
      <c r="E180" s="50" t="n"/>
      <c r="F180" s="50" t="n"/>
      <c r="G180" s="50" t="n"/>
      <c r="H180" s="50" t="n"/>
      <c r="I180" s="50" t="n"/>
      <c r="J180" s="48">
        <f>IF($A180="","",$A180+3)</f>
        <v/>
      </c>
      <c r="K180" s="47" t="n"/>
      <c r="L180" s="47" t="n"/>
    </row>
    <row r="181">
      <c r="A181" s="48" t="n"/>
      <c r="B181" s="47">
        <f>IF($A181="","",MIN(24,MAX(1,ROUNDUP(($A181-DayPlan!$C$2+1)/7,0))))</f>
        <v/>
      </c>
      <c r="C181" s="50" t="n"/>
      <c r="D181" s="47" t="n"/>
      <c r="E181" s="50" t="n"/>
      <c r="F181" s="50" t="n"/>
      <c r="G181" s="50" t="n"/>
      <c r="H181" s="50" t="n"/>
      <c r="I181" s="50" t="n"/>
      <c r="J181" s="48">
        <f>IF($A181="","",$A181+3)</f>
        <v/>
      </c>
      <c r="K181" s="47" t="n"/>
      <c r="L181" s="47" t="n"/>
    </row>
    <row r="182">
      <c r="A182" s="48" t="n"/>
      <c r="B182" s="47">
        <f>IF($A182="","",MIN(24,MAX(1,ROUNDUP(($A182-DayPlan!$C$2+1)/7,0))))</f>
        <v/>
      </c>
      <c r="C182" s="50" t="n"/>
      <c r="D182" s="47" t="n"/>
      <c r="E182" s="50" t="n"/>
      <c r="F182" s="50" t="n"/>
      <c r="G182" s="50" t="n"/>
      <c r="H182" s="50" t="n"/>
      <c r="I182" s="50" t="n"/>
      <c r="J182" s="48">
        <f>IF($A182="","",$A182+3)</f>
        <v/>
      </c>
      <c r="K182" s="47" t="n"/>
      <c r="L182" s="47" t="n"/>
    </row>
    <row r="183">
      <c r="A183" s="48" t="n"/>
      <c r="B183" s="47">
        <f>IF($A183="","",MIN(24,MAX(1,ROUNDUP(($A183-DayPlan!$C$2+1)/7,0))))</f>
        <v/>
      </c>
      <c r="C183" s="50" t="n"/>
      <c r="D183" s="47" t="n"/>
      <c r="E183" s="50" t="n"/>
      <c r="F183" s="50" t="n"/>
      <c r="G183" s="50" t="n"/>
      <c r="H183" s="50" t="n"/>
      <c r="I183" s="50" t="n"/>
      <c r="J183" s="48">
        <f>IF($A183="","",$A183+3)</f>
        <v/>
      </c>
      <c r="K183" s="47" t="n"/>
      <c r="L183" s="47" t="n"/>
    </row>
    <row r="184">
      <c r="A184" s="48" t="n"/>
      <c r="B184" s="47">
        <f>IF($A184="","",MIN(24,MAX(1,ROUNDUP(($A184-DayPlan!$C$2+1)/7,0))))</f>
        <v/>
      </c>
      <c r="C184" s="50" t="n"/>
      <c r="D184" s="47" t="n"/>
      <c r="E184" s="50" t="n"/>
      <c r="F184" s="50" t="n"/>
      <c r="G184" s="50" t="n"/>
      <c r="H184" s="50" t="n"/>
      <c r="I184" s="50" t="n"/>
      <c r="J184" s="48">
        <f>IF($A184="","",$A184+3)</f>
        <v/>
      </c>
      <c r="K184" s="47" t="n"/>
      <c r="L184" s="47" t="n"/>
    </row>
    <row r="185">
      <c r="A185" s="48" t="n"/>
      <c r="B185" s="47">
        <f>IF($A185="","",MIN(24,MAX(1,ROUNDUP(($A185-DayPlan!$C$2+1)/7,0))))</f>
        <v/>
      </c>
      <c r="C185" s="50" t="n"/>
      <c r="D185" s="47" t="n"/>
      <c r="E185" s="50" t="n"/>
      <c r="F185" s="50" t="n"/>
      <c r="G185" s="50" t="n"/>
      <c r="H185" s="50" t="n"/>
      <c r="I185" s="50" t="n"/>
      <c r="J185" s="48">
        <f>IF($A185="","",$A185+3)</f>
        <v/>
      </c>
      <c r="K185" s="47" t="n"/>
      <c r="L185" s="47" t="n"/>
    </row>
    <row r="186">
      <c r="A186" s="48" t="n"/>
      <c r="B186" s="47">
        <f>IF($A186="","",MIN(24,MAX(1,ROUNDUP(($A186-DayPlan!$C$2+1)/7,0))))</f>
        <v/>
      </c>
      <c r="C186" s="50" t="n"/>
      <c r="D186" s="47" t="n"/>
      <c r="E186" s="50" t="n"/>
      <c r="F186" s="50" t="n"/>
      <c r="G186" s="50" t="n"/>
      <c r="H186" s="50" t="n"/>
      <c r="I186" s="50" t="n"/>
      <c r="J186" s="48">
        <f>IF($A186="","",$A186+3)</f>
        <v/>
      </c>
      <c r="K186" s="47" t="n"/>
      <c r="L186" s="47" t="n"/>
    </row>
    <row r="187">
      <c r="A187" s="48" t="n"/>
      <c r="B187" s="47">
        <f>IF($A187="","",MIN(24,MAX(1,ROUNDUP(($A187-DayPlan!$C$2+1)/7,0))))</f>
        <v/>
      </c>
      <c r="C187" s="50" t="n"/>
      <c r="D187" s="47" t="n"/>
      <c r="E187" s="50" t="n"/>
      <c r="F187" s="50" t="n"/>
      <c r="G187" s="50" t="n"/>
      <c r="H187" s="50" t="n"/>
      <c r="I187" s="50" t="n"/>
      <c r="J187" s="48">
        <f>IF($A187="","",$A187+3)</f>
        <v/>
      </c>
      <c r="K187" s="47" t="n"/>
      <c r="L187" s="47" t="n"/>
    </row>
    <row r="188">
      <c r="A188" s="48" t="n"/>
      <c r="B188" s="47">
        <f>IF($A188="","",MIN(24,MAX(1,ROUNDUP(($A188-DayPlan!$C$2+1)/7,0))))</f>
        <v/>
      </c>
      <c r="C188" s="50" t="n"/>
      <c r="D188" s="47" t="n"/>
      <c r="E188" s="50" t="n"/>
      <c r="F188" s="50" t="n"/>
      <c r="G188" s="50" t="n"/>
      <c r="H188" s="50" t="n"/>
      <c r="I188" s="50" t="n"/>
      <c r="J188" s="48">
        <f>IF($A188="","",$A188+3)</f>
        <v/>
      </c>
      <c r="K188" s="47" t="n"/>
      <c r="L188" s="47" t="n"/>
    </row>
    <row r="189">
      <c r="A189" s="48" t="n"/>
      <c r="B189" s="47">
        <f>IF($A189="","",MIN(24,MAX(1,ROUNDUP(($A189-DayPlan!$C$2+1)/7,0))))</f>
        <v/>
      </c>
      <c r="C189" s="50" t="n"/>
      <c r="D189" s="47" t="n"/>
      <c r="E189" s="50" t="n"/>
      <c r="F189" s="50" t="n"/>
      <c r="G189" s="50" t="n"/>
      <c r="H189" s="50" t="n"/>
      <c r="I189" s="50" t="n"/>
      <c r="J189" s="48">
        <f>IF($A189="","",$A189+3)</f>
        <v/>
      </c>
      <c r="K189" s="47" t="n"/>
      <c r="L189" s="47" t="n"/>
    </row>
    <row r="190">
      <c r="A190" s="48" t="n"/>
      <c r="B190" s="47">
        <f>IF($A190="","",MIN(24,MAX(1,ROUNDUP(($A190-DayPlan!$C$2+1)/7,0))))</f>
        <v/>
      </c>
      <c r="C190" s="50" t="n"/>
      <c r="D190" s="47" t="n"/>
      <c r="E190" s="50" t="n"/>
      <c r="F190" s="50" t="n"/>
      <c r="G190" s="50" t="n"/>
      <c r="H190" s="50" t="n"/>
      <c r="I190" s="50" t="n"/>
      <c r="J190" s="48">
        <f>IF($A190="","",$A190+3)</f>
        <v/>
      </c>
      <c r="K190" s="47" t="n"/>
      <c r="L190" s="47" t="n"/>
    </row>
    <row r="191">
      <c r="A191" s="48" t="n"/>
      <c r="B191" s="47">
        <f>IF($A191="","",MIN(24,MAX(1,ROUNDUP(($A191-DayPlan!$C$2+1)/7,0))))</f>
        <v/>
      </c>
      <c r="C191" s="50" t="n"/>
      <c r="D191" s="47" t="n"/>
      <c r="E191" s="50" t="n"/>
      <c r="F191" s="50" t="n"/>
      <c r="G191" s="50" t="n"/>
      <c r="H191" s="50" t="n"/>
      <c r="I191" s="50" t="n"/>
      <c r="J191" s="48">
        <f>IF($A191="","",$A191+3)</f>
        <v/>
      </c>
      <c r="K191" s="47" t="n"/>
      <c r="L191" s="47" t="n"/>
    </row>
    <row r="192">
      <c r="A192" s="48" t="n"/>
      <c r="B192" s="47">
        <f>IF($A192="","",MIN(24,MAX(1,ROUNDUP(($A192-DayPlan!$C$2+1)/7,0))))</f>
        <v/>
      </c>
      <c r="C192" s="50" t="n"/>
      <c r="D192" s="47" t="n"/>
      <c r="E192" s="50" t="n"/>
      <c r="F192" s="50" t="n"/>
      <c r="G192" s="50" t="n"/>
      <c r="H192" s="50" t="n"/>
      <c r="I192" s="50" t="n"/>
      <c r="J192" s="48">
        <f>IF($A192="","",$A192+3)</f>
        <v/>
      </c>
      <c r="K192" s="47" t="n"/>
      <c r="L192" s="47" t="n"/>
    </row>
    <row r="193">
      <c r="A193" s="48" t="n"/>
      <c r="B193" s="47">
        <f>IF($A193="","",MIN(24,MAX(1,ROUNDUP(($A193-DayPlan!$C$2+1)/7,0))))</f>
        <v/>
      </c>
      <c r="C193" s="50" t="n"/>
      <c r="D193" s="47" t="n"/>
      <c r="E193" s="50" t="n"/>
      <c r="F193" s="50" t="n"/>
      <c r="G193" s="50" t="n"/>
      <c r="H193" s="50" t="n"/>
      <c r="I193" s="50" t="n"/>
      <c r="J193" s="48">
        <f>IF($A193="","",$A193+3)</f>
        <v/>
      </c>
      <c r="K193" s="47" t="n"/>
      <c r="L193" s="47" t="n"/>
    </row>
    <row r="194">
      <c r="A194" s="48" t="n"/>
      <c r="B194" s="47">
        <f>IF($A194="","",MIN(24,MAX(1,ROUNDUP(($A194-DayPlan!$C$2+1)/7,0))))</f>
        <v/>
      </c>
      <c r="C194" s="50" t="n"/>
      <c r="D194" s="47" t="n"/>
      <c r="E194" s="50" t="n"/>
      <c r="F194" s="50" t="n"/>
      <c r="G194" s="50" t="n"/>
      <c r="H194" s="50" t="n"/>
      <c r="I194" s="50" t="n"/>
      <c r="J194" s="48">
        <f>IF($A194="","",$A194+3)</f>
        <v/>
      </c>
      <c r="K194" s="47" t="n"/>
      <c r="L194" s="47" t="n"/>
    </row>
    <row r="195">
      <c r="A195" s="48" t="n"/>
      <c r="B195" s="47">
        <f>IF($A195="","",MIN(24,MAX(1,ROUNDUP(($A195-DayPlan!$C$2+1)/7,0))))</f>
        <v/>
      </c>
      <c r="C195" s="50" t="n"/>
      <c r="D195" s="47" t="n"/>
      <c r="E195" s="50" t="n"/>
      <c r="F195" s="50" t="n"/>
      <c r="G195" s="50" t="n"/>
      <c r="H195" s="50" t="n"/>
      <c r="I195" s="50" t="n"/>
      <c r="J195" s="48">
        <f>IF($A195="","",$A195+3)</f>
        <v/>
      </c>
      <c r="K195" s="47" t="n"/>
      <c r="L195" s="47" t="n"/>
    </row>
    <row r="196">
      <c r="A196" s="48" t="n"/>
      <c r="B196" s="47">
        <f>IF($A196="","",MIN(24,MAX(1,ROUNDUP(($A196-DayPlan!$C$2+1)/7,0))))</f>
        <v/>
      </c>
      <c r="C196" s="50" t="n"/>
      <c r="D196" s="47" t="n"/>
      <c r="E196" s="50" t="n"/>
      <c r="F196" s="50" t="n"/>
      <c r="G196" s="50" t="n"/>
      <c r="H196" s="50" t="n"/>
      <c r="I196" s="50" t="n"/>
      <c r="J196" s="48">
        <f>IF($A196="","",$A196+3)</f>
        <v/>
      </c>
      <c r="K196" s="47" t="n"/>
      <c r="L196" s="47" t="n"/>
    </row>
    <row r="197">
      <c r="A197" s="48" t="n"/>
      <c r="B197" s="47">
        <f>IF($A197="","",MIN(24,MAX(1,ROUNDUP(($A197-DayPlan!$C$2+1)/7,0))))</f>
        <v/>
      </c>
      <c r="C197" s="50" t="n"/>
      <c r="D197" s="47" t="n"/>
      <c r="E197" s="50" t="n"/>
      <c r="F197" s="50" t="n"/>
      <c r="G197" s="50" t="n"/>
      <c r="H197" s="50" t="n"/>
      <c r="I197" s="50" t="n"/>
      <c r="J197" s="48">
        <f>IF($A197="","",$A197+3)</f>
        <v/>
      </c>
      <c r="K197" s="47" t="n"/>
      <c r="L197" s="47" t="n"/>
    </row>
    <row r="198">
      <c r="A198" s="48" t="n"/>
      <c r="B198" s="47">
        <f>IF($A198="","",MIN(24,MAX(1,ROUNDUP(($A198-DayPlan!$C$2+1)/7,0))))</f>
        <v/>
      </c>
      <c r="C198" s="50" t="n"/>
      <c r="D198" s="47" t="n"/>
      <c r="E198" s="50" t="n"/>
      <c r="F198" s="50" t="n"/>
      <c r="G198" s="50" t="n"/>
      <c r="H198" s="50" t="n"/>
      <c r="I198" s="50" t="n"/>
      <c r="J198" s="48">
        <f>IF($A198="","",$A198+3)</f>
        <v/>
      </c>
      <c r="K198" s="47" t="n"/>
      <c r="L198" s="47" t="n"/>
    </row>
    <row r="199">
      <c r="A199" s="48" t="n"/>
      <c r="B199" s="47">
        <f>IF($A199="","",MIN(24,MAX(1,ROUNDUP(($A199-DayPlan!$C$2+1)/7,0))))</f>
        <v/>
      </c>
      <c r="C199" s="50" t="n"/>
      <c r="D199" s="47" t="n"/>
      <c r="E199" s="50" t="n"/>
      <c r="F199" s="50" t="n"/>
      <c r="G199" s="50" t="n"/>
      <c r="H199" s="50" t="n"/>
      <c r="I199" s="50" t="n"/>
      <c r="J199" s="48">
        <f>IF($A199="","",$A199+3)</f>
        <v/>
      </c>
      <c r="K199" s="47" t="n"/>
      <c r="L199" s="47" t="n"/>
    </row>
    <row r="200">
      <c r="A200" s="48" t="n"/>
      <c r="B200" s="47">
        <f>IF($A200="","",MIN(24,MAX(1,ROUNDUP(($A200-DayPlan!$C$2+1)/7,0))))</f>
        <v/>
      </c>
      <c r="C200" s="50" t="n"/>
      <c r="D200" s="47" t="n"/>
      <c r="E200" s="50" t="n"/>
      <c r="F200" s="50" t="n"/>
      <c r="G200" s="50" t="n"/>
      <c r="H200" s="50" t="n"/>
      <c r="I200" s="50" t="n"/>
      <c r="J200" s="48">
        <f>IF($A200="","",$A200+3)</f>
        <v/>
      </c>
      <c r="K200" s="47" t="n"/>
      <c r="L200" s="47" t="n"/>
    </row>
    <row r="201">
      <c r="A201" s="48" t="n"/>
      <c r="B201" s="47">
        <f>IF($A201="","",MIN(24,MAX(1,ROUNDUP(($A201-DayPlan!$C$2+1)/7,0))))</f>
        <v/>
      </c>
      <c r="C201" s="50" t="n"/>
      <c r="D201" s="47" t="n"/>
      <c r="E201" s="50" t="n"/>
      <c r="F201" s="50" t="n"/>
      <c r="G201" s="50" t="n"/>
      <c r="H201" s="50" t="n"/>
      <c r="I201" s="50" t="n"/>
      <c r="J201" s="48">
        <f>IF($A201="","",$A201+3)</f>
        <v/>
      </c>
      <c r="K201" s="47" t="n"/>
      <c r="L201" s="47" t="n"/>
    </row>
    <row r="202">
      <c r="A202" s="48" t="n"/>
      <c r="B202" s="47">
        <f>IF($A202="","",MIN(24,MAX(1,ROUNDUP(($A202-DayPlan!$C$2+1)/7,0))))</f>
        <v/>
      </c>
      <c r="C202" s="50" t="n"/>
      <c r="D202" s="47" t="n"/>
      <c r="E202" s="50" t="n"/>
      <c r="F202" s="50" t="n"/>
      <c r="G202" s="50" t="n"/>
      <c r="H202" s="50" t="n"/>
      <c r="I202" s="50" t="n"/>
      <c r="J202" s="48">
        <f>IF($A202="","",$A202+3)</f>
        <v/>
      </c>
      <c r="K202" s="47" t="n"/>
      <c r="L202" s="47" t="n"/>
    </row>
    <row r="203">
      <c r="A203" s="48" t="n"/>
      <c r="B203" s="47">
        <f>IF($A203="","",MIN(24,MAX(1,ROUNDUP(($A203-DayPlan!$C$2+1)/7,0))))</f>
        <v/>
      </c>
      <c r="C203" s="50" t="n"/>
      <c r="D203" s="47" t="n"/>
      <c r="E203" s="50" t="n"/>
      <c r="F203" s="50" t="n"/>
      <c r="G203" s="50" t="n"/>
      <c r="H203" s="50" t="n"/>
      <c r="I203" s="50" t="n"/>
      <c r="J203" s="48">
        <f>IF($A203="","",$A203+3)</f>
        <v/>
      </c>
      <c r="K203" s="47" t="n"/>
      <c r="L203" s="47" t="n"/>
    </row>
    <row r="204">
      <c r="A204" s="48" t="n"/>
      <c r="B204" s="47">
        <f>IF($A204="","",MIN(24,MAX(1,ROUNDUP(($A204-DayPlan!$C$2+1)/7,0))))</f>
        <v/>
      </c>
      <c r="C204" s="50" t="n"/>
      <c r="D204" s="47" t="n"/>
      <c r="E204" s="50" t="n"/>
      <c r="F204" s="50" t="n"/>
      <c r="G204" s="50" t="n"/>
      <c r="H204" s="50" t="n"/>
      <c r="I204" s="50" t="n"/>
      <c r="J204" s="48">
        <f>IF($A204="","",$A204+3)</f>
        <v/>
      </c>
      <c r="K204" s="47" t="n"/>
      <c r="L204" s="47" t="n"/>
    </row>
    <row r="205">
      <c r="A205" s="48" t="n"/>
      <c r="B205" s="47">
        <f>IF($A205="","",MIN(24,MAX(1,ROUNDUP(($A205-DayPlan!$C$2+1)/7,0))))</f>
        <v/>
      </c>
      <c r="C205" s="50" t="n"/>
      <c r="D205" s="47" t="n"/>
      <c r="E205" s="50" t="n"/>
      <c r="F205" s="50" t="n"/>
      <c r="G205" s="50" t="n"/>
      <c r="H205" s="50" t="n"/>
      <c r="I205" s="50" t="n"/>
      <c r="J205" s="48">
        <f>IF($A205="","",$A205+3)</f>
        <v/>
      </c>
      <c r="K205" s="47" t="n"/>
      <c r="L205" s="47" t="n"/>
    </row>
    <row r="206">
      <c r="A206" s="48" t="n"/>
      <c r="B206" s="47">
        <f>IF($A206="","",MIN(24,MAX(1,ROUNDUP(($A206-DayPlan!$C$2+1)/7,0))))</f>
        <v/>
      </c>
      <c r="C206" s="50" t="n"/>
      <c r="D206" s="47" t="n"/>
      <c r="E206" s="50" t="n"/>
      <c r="F206" s="50" t="n"/>
      <c r="G206" s="50" t="n"/>
      <c r="H206" s="50" t="n"/>
      <c r="I206" s="50" t="n"/>
      <c r="J206" s="48">
        <f>IF($A206="","",$A206+3)</f>
        <v/>
      </c>
      <c r="K206" s="47" t="n"/>
      <c r="L206" s="47" t="n"/>
    </row>
    <row r="207">
      <c r="A207" s="48" t="n"/>
      <c r="B207" s="47">
        <f>IF($A207="","",MIN(24,MAX(1,ROUNDUP(($A207-DayPlan!$C$2+1)/7,0))))</f>
        <v/>
      </c>
      <c r="C207" s="50" t="n"/>
      <c r="D207" s="47" t="n"/>
      <c r="E207" s="50" t="n"/>
      <c r="F207" s="50" t="n"/>
      <c r="G207" s="50" t="n"/>
      <c r="H207" s="50" t="n"/>
      <c r="I207" s="50" t="n"/>
      <c r="J207" s="48">
        <f>IF($A207="","",$A207+3)</f>
        <v/>
      </c>
      <c r="K207" s="47" t="n"/>
      <c r="L207" s="47" t="n"/>
    </row>
    <row r="208">
      <c r="A208" s="48" t="n"/>
      <c r="B208" s="47">
        <f>IF($A208="","",MIN(24,MAX(1,ROUNDUP(($A208-DayPlan!$C$2+1)/7,0))))</f>
        <v/>
      </c>
      <c r="C208" s="50" t="n"/>
      <c r="D208" s="47" t="n"/>
      <c r="E208" s="50" t="n"/>
      <c r="F208" s="50" t="n"/>
      <c r="G208" s="50" t="n"/>
      <c r="H208" s="50" t="n"/>
      <c r="I208" s="50" t="n"/>
      <c r="J208" s="48">
        <f>IF($A208="","",$A208+3)</f>
        <v/>
      </c>
      <c r="K208" s="47" t="n"/>
      <c r="L208" s="47" t="n"/>
    </row>
    <row r="209">
      <c r="A209" s="48" t="n"/>
      <c r="B209" s="47">
        <f>IF($A209="","",MIN(24,MAX(1,ROUNDUP(($A209-DayPlan!$C$2+1)/7,0))))</f>
        <v/>
      </c>
      <c r="C209" s="50" t="n"/>
      <c r="D209" s="47" t="n"/>
      <c r="E209" s="50" t="n"/>
      <c r="F209" s="50" t="n"/>
      <c r="G209" s="50" t="n"/>
      <c r="H209" s="50" t="n"/>
      <c r="I209" s="50" t="n"/>
      <c r="J209" s="48">
        <f>IF($A209="","",$A209+3)</f>
        <v/>
      </c>
      <c r="K209" s="47" t="n"/>
      <c r="L209" s="47" t="n"/>
    </row>
    <row r="210">
      <c r="A210" s="48" t="n"/>
      <c r="B210" s="47">
        <f>IF($A210="","",MIN(24,MAX(1,ROUNDUP(($A210-DayPlan!$C$2+1)/7,0))))</f>
        <v/>
      </c>
      <c r="C210" s="50" t="n"/>
      <c r="D210" s="47" t="n"/>
      <c r="E210" s="50" t="n"/>
      <c r="F210" s="50" t="n"/>
      <c r="G210" s="50" t="n"/>
      <c r="H210" s="50" t="n"/>
      <c r="I210" s="50" t="n"/>
      <c r="J210" s="48">
        <f>IF($A210="","",$A210+3)</f>
        <v/>
      </c>
      <c r="K210" s="47" t="n"/>
      <c r="L210" s="47" t="n"/>
    </row>
    <row r="211">
      <c r="A211" s="48" t="n"/>
      <c r="B211" s="47">
        <f>IF($A211="","",MIN(24,MAX(1,ROUNDUP(($A211-DayPlan!$C$2+1)/7,0))))</f>
        <v/>
      </c>
      <c r="C211" s="50" t="n"/>
      <c r="D211" s="47" t="n"/>
      <c r="E211" s="50" t="n"/>
      <c r="F211" s="50" t="n"/>
      <c r="G211" s="50" t="n"/>
      <c r="H211" s="50" t="n"/>
      <c r="I211" s="50" t="n"/>
      <c r="J211" s="48">
        <f>IF($A211="","",$A211+3)</f>
        <v/>
      </c>
      <c r="K211" s="47" t="n"/>
      <c r="L211" s="47" t="n"/>
    </row>
    <row r="212">
      <c r="A212" s="48" t="n"/>
      <c r="B212" s="47">
        <f>IF($A212="","",MIN(24,MAX(1,ROUNDUP(($A212-DayPlan!$C$2+1)/7,0))))</f>
        <v/>
      </c>
      <c r="C212" s="50" t="n"/>
      <c r="D212" s="47" t="n"/>
      <c r="E212" s="50" t="n"/>
      <c r="F212" s="50" t="n"/>
      <c r="G212" s="50" t="n"/>
      <c r="H212" s="50" t="n"/>
      <c r="I212" s="50" t="n"/>
      <c r="J212" s="48">
        <f>IF($A212="","",$A212+3)</f>
        <v/>
      </c>
      <c r="K212" s="47" t="n"/>
      <c r="L212" s="47" t="n"/>
    </row>
    <row r="213">
      <c r="A213" s="48" t="n"/>
      <c r="B213" s="47">
        <f>IF($A213="","",MIN(24,MAX(1,ROUNDUP(($A213-DayPlan!$C$2+1)/7,0))))</f>
        <v/>
      </c>
      <c r="C213" s="50" t="n"/>
      <c r="D213" s="47" t="n"/>
      <c r="E213" s="50" t="n"/>
      <c r="F213" s="50" t="n"/>
      <c r="G213" s="50" t="n"/>
      <c r="H213" s="50" t="n"/>
      <c r="I213" s="50" t="n"/>
      <c r="J213" s="48">
        <f>IF($A213="","",$A213+3)</f>
        <v/>
      </c>
      <c r="K213" s="47" t="n"/>
      <c r="L213" s="47" t="n"/>
    </row>
    <row r="214">
      <c r="A214" s="48" t="n"/>
      <c r="B214" s="47">
        <f>IF($A214="","",MIN(24,MAX(1,ROUNDUP(($A214-DayPlan!$C$2+1)/7,0))))</f>
        <v/>
      </c>
      <c r="C214" s="50" t="n"/>
      <c r="D214" s="47" t="n"/>
      <c r="E214" s="50" t="n"/>
      <c r="F214" s="50" t="n"/>
      <c r="G214" s="50" t="n"/>
      <c r="H214" s="50" t="n"/>
      <c r="I214" s="50" t="n"/>
      <c r="J214" s="48">
        <f>IF($A214="","",$A214+3)</f>
        <v/>
      </c>
      <c r="K214" s="47" t="n"/>
      <c r="L214" s="47" t="n"/>
    </row>
    <row r="215">
      <c r="A215" s="48" t="n"/>
      <c r="B215" s="47">
        <f>IF($A215="","",MIN(24,MAX(1,ROUNDUP(($A215-DayPlan!$C$2+1)/7,0))))</f>
        <v/>
      </c>
      <c r="C215" s="50" t="n"/>
      <c r="D215" s="47" t="n"/>
      <c r="E215" s="50" t="n"/>
      <c r="F215" s="50" t="n"/>
      <c r="G215" s="50" t="n"/>
      <c r="H215" s="50" t="n"/>
      <c r="I215" s="50" t="n"/>
      <c r="J215" s="48">
        <f>IF($A215="","",$A215+3)</f>
        <v/>
      </c>
      <c r="K215" s="47" t="n"/>
      <c r="L215" s="47" t="n"/>
    </row>
    <row r="216">
      <c r="A216" s="48" t="n"/>
      <c r="B216" s="47">
        <f>IF($A216="","",MIN(24,MAX(1,ROUNDUP(($A216-DayPlan!$C$2+1)/7,0))))</f>
        <v/>
      </c>
      <c r="C216" s="50" t="n"/>
      <c r="D216" s="47" t="n"/>
      <c r="E216" s="50" t="n"/>
      <c r="F216" s="50" t="n"/>
      <c r="G216" s="50" t="n"/>
      <c r="H216" s="50" t="n"/>
      <c r="I216" s="50" t="n"/>
      <c r="J216" s="48">
        <f>IF($A216="","",$A216+3)</f>
        <v/>
      </c>
      <c r="K216" s="47" t="n"/>
      <c r="L216" s="47" t="n"/>
    </row>
    <row r="217">
      <c r="A217" s="48" t="n"/>
      <c r="B217" s="47">
        <f>IF($A217="","",MIN(24,MAX(1,ROUNDUP(($A217-DayPlan!$C$2+1)/7,0))))</f>
        <v/>
      </c>
      <c r="C217" s="50" t="n"/>
      <c r="D217" s="47" t="n"/>
      <c r="E217" s="50" t="n"/>
      <c r="F217" s="50" t="n"/>
      <c r="G217" s="50" t="n"/>
      <c r="H217" s="50" t="n"/>
      <c r="I217" s="50" t="n"/>
      <c r="J217" s="48">
        <f>IF($A217="","",$A217+3)</f>
        <v/>
      </c>
      <c r="K217" s="47" t="n"/>
      <c r="L217" s="47" t="n"/>
    </row>
    <row r="218">
      <c r="A218" s="48" t="n"/>
      <c r="B218" s="47">
        <f>IF($A218="","",MIN(24,MAX(1,ROUNDUP(($A218-DayPlan!$C$2+1)/7,0))))</f>
        <v/>
      </c>
      <c r="C218" s="50" t="n"/>
      <c r="D218" s="47" t="n"/>
      <c r="E218" s="50" t="n"/>
      <c r="F218" s="50" t="n"/>
      <c r="G218" s="50" t="n"/>
      <c r="H218" s="50" t="n"/>
      <c r="I218" s="50" t="n"/>
      <c r="J218" s="48">
        <f>IF($A218="","",$A218+3)</f>
        <v/>
      </c>
      <c r="K218" s="47" t="n"/>
      <c r="L218" s="47" t="n"/>
    </row>
    <row r="219">
      <c r="A219" s="48" t="n"/>
      <c r="B219" s="47">
        <f>IF($A219="","",MIN(24,MAX(1,ROUNDUP(($A219-DayPlan!$C$2+1)/7,0))))</f>
        <v/>
      </c>
      <c r="C219" s="50" t="n"/>
      <c r="D219" s="47" t="n"/>
      <c r="E219" s="50" t="n"/>
      <c r="F219" s="50" t="n"/>
      <c r="G219" s="50" t="n"/>
      <c r="H219" s="50" t="n"/>
      <c r="I219" s="50" t="n"/>
      <c r="J219" s="48">
        <f>IF($A219="","",$A219+3)</f>
        <v/>
      </c>
      <c r="K219" s="47" t="n"/>
      <c r="L219" s="47" t="n"/>
    </row>
    <row r="220">
      <c r="A220" s="48" t="n"/>
      <c r="B220" s="47">
        <f>IF($A220="","",MIN(24,MAX(1,ROUNDUP(($A220-DayPlan!$C$2+1)/7,0))))</f>
        <v/>
      </c>
      <c r="C220" s="50" t="n"/>
      <c r="D220" s="47" t="n"/>
      <c r="E220" s="50" t="n"/>
      <c r="F220" s="50" t="n"/>
      <c r="G220" s="50" t="n"/>
      <c r="H220" s="50" t="n"/>
      <c r="I220" s="50" t="n"/>
      <c r="J220" s="48">
        <f>IF($A220="","",$A220+3)</f>
        <v/>
      </c>
      <c r="K220" s="47" t="n"/>
      <c r="L220" s="47" t="n"/>
    </row>
    <row r="221">
      <c r="A221" s="48" t="n"/>
      <c r="B221" s="47">
        <f>IF($A221="","",MIN(24,MAX(1,ROUNDUP(($A221-DayPlan!$C$2+1)/7,0))))</f>
        <v/>
      </c>
      <c r="C221" s="50" t="n"/>
      <c r="D221" s="47" t="n"/>
      <c r="E221" s="50" t="n"/>
      <c r="F221" s="50" t="n"/>
      <c r="G221" s="50" t="n"/>
      <c r="H221" s="50" t="n"/>
      <c r="I221" s="50" t="n"/>
      <c r="J221" s="48">
        <f>IF($A221="","",$A221+3)</f>
        <v/>
      </c>
      <c r="K221" s="47" t="n"/>
      <c r="L221" s="47" t="n"/>
    </row>
    <row r="222">
      <c r="A222" s="48" t="n"/>
      <c r="B222" s="47">
        <f>IF($A222="","",MIN(24,MAX(1,ROUNDUP(($A222-DayPlan!$C$2+1)/7,0))))</f>
        <v/>
      </c>
      <c r="C222" s="50" t="n"/>
      <c r="D222" s="47" t="n"/>
      <c r="E222" s="50" t="n"/>
      <c r="F222" s="50" t="n"/>
      <c r="G222" s="50" t="n"/>
      <c r="H222" s="50" t="n"/>
      <c r="I222" s="50" t="n"/>
      <c r="J222" s="48">
        <f>IF($A222="","",$A222+3)</f>
        <v/>
      </c>
      <c r="K222" s="47" t="n"/>
      <c r="L222" s="47" t="n"/>
    </row>
    <row r="223">
      <c r="A223" s="48" t="n"/>
      <c r="B223" s="47">
        <f>IF($A223="","",MIN(24,MAX(1,ROUNDUP(($A223-DayPlan!$C$2+1)/7,0))))</f>
        <v/>
      </c>
      <c r="C223" s="50" t="n"/>
      <c r="D223" s="47" t="n"/>
      <c r="E223" s="50" t="n"/>
      <c r="F223" s="50" t="n"/>
      <c r="G223" s="50" t="n"/>
      <c r="H223" s="50" t="n"/>
      <c r="I223" s="50" t="n"/>
      <c r="J223" s="48">
        <f>IF($A223="","",$A223+3)</f>
        <v/>
      </c>
      <c r="K223" s="47" t="n"/>
      <c r="L223" s="47" t="n"/>
    </row>
    <row r="224">
      <c r="A224" s="48" t="n"/>
      <c r="B224" s="47">
        <f>IF($A224="","",MIN(24,MAX(1,ROUNDUP(($A224-DayPlan!$C$2+1)/7,0))))</f>
        <v/>
      </c>
      <c r="C224" s="50" t="n"/>
      <c r="D224" s="47" t="n"/>
      <c r="E224" s="50" t="n"/>
      <c r="F224" s="50" t="n"/>
      <c r="G224" s="50" t="n"/>
      <c r="H224" s="50" t="n"/>
      <c r="I224" s="50" t="n"/>
      <c r="J224" s="48">
        <f>IF($A224="","",$A224+3)</f>
        <v/>
      </c>
      <c r="K224" s="47" t="n"/>
      <c r="L224" s="47" t="n"/>
    </row>
    <row r="225">
      <c r="A225" s="48" t="n"/>
      <c r="B225" s="47">
        <f>IF($A225="","",MIN(24,MAX(1,ROUNDUP(($A225-DayPlan!$C$2+1)/7,0))))</f>
        <v/>
      </c>
      <c r="C225" s="50" t="n"/>
      <c r="D225" s="47" t="n"/>
      <c r="E225" s="50" t="n"/>
      <c r="F225" s="50" t="n"/>
      <c r="G225" s="50" t="n"/>
      <c r="H225" s="50" t="n"/>
      <c r="I225" s="50" t="n"/>
      <c r="J225" s="48">
        <f>IF($A225="","",$A225+3)</f>
        <v/>
      </c>
      <c r="K225" s="47" t="n"/>
      <c r="L225" s="47" t="n"/>
    </row>
    <row r="226">
      <c r="A226" s="48" t="n"/>
      <c r="B226" s="47">
        <f>IF($A226="","",MIN(24,MAX(1,ROUNDUP(($A226-DayPlan!$C$2+1)/7,0))))</f>
        <v/>
      </c>
      <c r="C226" s="50" t="n"/>
      <c r="D226" s="47" t="n"/>
      <c r="E226" s="50" t="n"/>
      <c r="F226" s="50" t="n"/>
      <c r="G226" s="50" t="n"/>
      <c r="H226" s="50" t="n"/>
      <c r="I226" s="50" t="n"/>
      <c r="J226" s="48">
        <f>IF($A226="","",$A226+3)</f>
        <v/>
      </c>
      <c r="K226" s="47" t="n"/>
      <c r="L226" s="47" t="n"/>
    </row>
    <row r="227">
      <c r="A227" s="48" t="n"/>
      <c r="B227" s="47">
        <f>IF($A227="","",MIN(24,MAX(1,ROUNDUP(($A227-DayPlan!$C$2+1)/7,0))))</f>
        <v/>
      </c>
      <c r="C227" s="50" t="n"/>
      <c r="D227" s="47" t="n"/>
      <c r="E227" s="50" t="n"/>
      <c r="F227" s="50" t="n"/>
      <c r="G227" s="50" t="n"/>
      <c r="H227" s="50" t="n"/>
      <c r="I227" s="50" t="n"/>
      <c r="J227" s="48">
        <f>IF($A227="","",$A227+3)</f>
        <v/>
      </c>
      <c r="K227" s="47" t="n"/>
      <c r="L227" s="47" t="n"/>
    </row>
    <row r="228">
      <c r="A228" s="48" t="n"/>
      <c r="B228" s="47">
        <f>IF($A228="","",MIN(24,MAX(1,ROUNDUP(($A228-DayPlan!$C$2+1)/7,0))))</f>
        <v/>
      </c>
      <c r="C228" s="50" t="n"/>
      <c r="D228" s="47" t="n"/>
      <c r="E228" s="50" t="n"/>
      <c r="F228" s="50" t="n"/>
      <c r="G228" s="50" t="n"/>
      <c r="H228" s="50" t="n"/>
      <c r="I228" s="50" t="n"/>
      <c r="J228" s="48">
        <f>IF($A228="","",$A228+3)</f>
        <v/>
      </c>
      <c r="K228" s="47" t="n"/>
      <c r="L228" s="47" t="n"/>
    </row>
    <row r="229">
      <c r="A229" s="48" t="n"/>
      <c r="B229" s="47">
        <f>IF($A229="","",MIN(24,MAX(1,ROUNDUP(($A229-DayPlan!$C$2+1)/7,0))))</f>
        <v/>
      </c>
      <c r="C229" s="50" t="n"/>
      <c r="D229" s="47" t="n"/>
      <c r="E229" s="50" t="n"/>
      <c r="F229" s="50" t="n"/>
      <c r="G229" s="50" t="n"/>
      <c r="H229" s="50" t="n"/>
      <c r="I229" s="50" t="n"/>
      <c r="J229" s="48">
        <f>IF($A229="","",$A229+3)</f>
        <v/>
      </c>
      <c r="K229" s="47" t="n"/>
      <c r="L229" s="47" t="n"/>
    </row>
    <row r="230">
      <c r="A230" s="48" t="n"/>
      <c r="B230" s="47">
        <f>IF($A230="","",MIN(24,MAX(1,ROUNDUP(($A230-DayPlan!$C$2+1)/7,0))))</f>
        <v/>
      </c>
      <c r="C230" s="50" t="n"/>
      <c r="D230" s="47" t="n"/>
      <c r="E230" s="50" t="n"/>
      <c r="F230" s="50" t="n"/>
      <c r="G230" s="50" t="n"/>
      <c r="H230" s="50" t="n"/>
      <c r="I230" s="50" t="n"/>
      <c r="J230" s="48">
        <f>IF($A230="","",$A230+3)</f>
        <v/>
      </c>
      <c r="K230" s="47" t="n"/>
      <c r="L230" s="47" t="n"/>
    </row>
    <row r="231">
      <c r="A231" s="48" t="n"/>
      <c r="B231" s="47">
        <f>IF($A231="","",MIN(24,MAX(1,ROUNDUP(($A231-DayPlan!$C$2+1)/7,0))))</f>
        <v/>
      </c>
      <c r="C231" s="50" t="n"/>
      <c r="D231" s="47" t="n"/>
      <c r="E231" s="50" t="n"/>
      <c r="F231" s="50" t="n"/>
      <c r="G231" s="50" t="n"/>
      <c r="H231" s="50" t="n"/>
      <c r="I231" s="50" t="n"/>
      <c r="J231" s="48">
        <f>IF($A231="","",$A231+3)</f>
        <v/>
      </c>
      <c r="K231" s="47" t="n"/>
      <c r="L231" s="47" t="n"/>
    </row>
    <row r="232">
      <c r="A232" s="48" t="n"/>
      <c r="B232" s="47">
        <f>IF($A232="","",MIN(24,MAX(1,ROUNDUP(($A232-DayPlan!$C$2+1)/7,0))))</f>
        <v/>
      </c>
      <c r="C232" s="50" t="n"/>
      <c r="D232" s="47" t="n"/>
      <c r="E232" s="50" t="n"/>
      <c r="F232" s="50" t="n"/>
      <c r="G232" s="50" t="n"/>
      <c r="H232" s="50" t="n"/>
      <c r="I232" s="50" t="n"/>
      <c r="J232" s="48">
        <f>IF($A232="","",$A232+3)</f>
        <v/>
      </c>
      <c r="K232" s="47" t="n"/>
      <c r="L232" s="47" t="n"/>
    </row>
    <row r="233">
      <c r="A233" s="48" t="n"/>
      <c r="B233" s="47">
        <f>IF($A233="","",MIN(24,MAX(1,ROUNDUP(($A233-DayPlan!$C$2+1)/7,0))))</f>
        <v/>
      </c>
      <c r="C233" s="50" t="n"/>
      <c r="D233" s="47" t="n"/>
      <c r="E233" s="50" t="n"/>
      <c r="F233" s="50" t="n"/>
      <c r="G233" s="50" t="n"/>
      <c r="H233" s="50" t="n"/>
      <c r="I233" s="50" t="n"/>
      <c r="J233" s="48">
        <f>IF($A233="","",$A233+3)</f>
        <v/>
      </c>
      <c r="K233" s="47" t="n"/>
      <c r="L233" s="47" t="n"/>
    </row>
    <row r="234">
      <c r="A234" s="48" t="n"/>
      <c r="B234" s="47">
        <f>IF($A234="","",MIN(24,MAX(1,ROUNDUP(($A234-DayPlan!$C$2+1)/7,0))))</f>
        <v/>
      </c>
      <c r="C234" s="50" t="n"/>
      <c r="D234" s="47" t="n"/>
      <c r="E234" s="50" t="n"/>
      <c r="F234" s="50" t="n"/>
      <c r="G234" s="50" t="n"/>
      <c r="H234" s="50" t="n"/>
      <c r="I234" s="50" t="n"/>
      <c r="J234" s="48">
        <f>IF($A234="","",$A234+3)</f>
        <v/>
      </c>
      <c r="K234" s="47" t="n"/>
      <c r="L234" s="47" t="n"/>
    </row>
    <row r="235">
      <c r="A235" s="48" t="n"/>
      <c r="B235" s="47">
        <f>IF($A235="","",MIN(24,MAX(1,ROUNDUP(($A235-DayPlan!$C$2+1)/7,0))))</f>
        <v/>
      </c>
      <c r="C235" s="50" t="n"/>
      <c r="D235" s="47" t="n"/>
      <c r="E235" s="50" t="n"/>
      <c r="F235" s="50" t="n"/>
      <c r="G235" s="50" t="n"/>
      <c r="H235" s="50" t="n"/>
      <c r="I235" s="50" t="n"/>
      <c r="J235" s="48">
        <f>IF($A235="","",$A235+3)</f>
        <v/>
      </c>
      <c r="K235" s="47" t="n"/>
      <c r="L235" s="47" t="n"/>
    </row>
    <row r="236">
      <c r="A236" s="48" t="n"/>
      <c r="B236" s="47">
        <f>IF($A236="","",MIN(24,MAX(1,ROUNDUP(($A236-DayPlan!$C$2+1)/7,0))))</f>
        <v/>
      </c>
      <c r="C236" s="50" t="n"/>
      <c r="D236" s="47" t="n"/>
      <c r="E236" s="50" t="n"/>
      <c r="F236" s="50" t="n"/>
      <c r="G236" s="50" t="n"/>
      <c r="H236" s="50" t="n"/>
      <c r="I236" s="50" t="n"/>
      <c r="J236" s="48">
        <f>IF($A236="","",$A236+3)</f>
        <v/>
      </c>
      <c r="K236" s="47" t="n"/>
      <c r="L236" s="47" t="n"/>
    </row>
    <row r="237">
      <c r="A237" s="48" t="n"/>
      <c r="B237" s="47">
        <f>IF($A237="","",MIN(24,MAX(1,ROUNDUP(($A237-DayPlan!$C$2+1)/7,0))))</f>
        <v/>
      </c>
      <c r="C237" s="50" t="n"/>
      <c r="D237" s="47" t="n"/>
      <c r="E237" s="50" t="n"/>
      <c r="F237" s="50" t="n"/>
      <c r="G237" s="50" t="n"/>
      <c r="H237" s="50" t="n"/>
      <c r="I237" s="50" t="n"/>
      <c r="J237" s="48">
        <f>IF($A237="","",$A237+3)</f>
        <v/>
      </c>
      <c r="K237" s="47" t="n"/>
      <c r="L237" s="47" t="n"/>
    </row>
    <row r="238">
      <c r="A238" s="48" t="n"/>
      <c r="B238" s="47">
        <f>IF($A238="","",MIN(24,MAX(1,ROUNDUP(($A238-DayPlan!$C$2+1)/7,0))))</f>
        <v/>
      </c>
      <c r="C238" s="50" t="n"/>
      <c r="D238" s="47" t="n"/>
      <c r="E238" s="50" t="n"/>
      <c r="F238" s="50" t="n"/>
      <c r="G238" s="50" t="n"/>
      <c r="H238" s="50" t="n"/>
      <c r="I238" s="50" t="n"/>
      <c r="J238" s="48">
        <f>IF($A238="","",$A238+3)</f>
        <v/>
      </c>
      <c r="K238" s="47" t="n"/>
      <c r="L238" s="47" t="n"/>
    </row>
    <row r="239">
      <c r="A239" s="48" t="n"/>
      <c r="B239" s="47">
        <f>IF($A239="","",MIN(24,MAX(1,ROUNDUP(($A239-DayPlan!$C$2+1)/7,0))))</f>
        <v/>
      </c>
      <c r="C239" s="50" t="n"/>
      <c r="D239" s="47" t="n"/>
      <c r="E239" s="50" t="n"/>
      <c r="F239" s="50" t="n"/>
      <c r="G239" s="50" t="n"/>
      <c r="H239" s="50" t="n"/>
      <c r="I239" s="50" t="n"/>
      <c r="J239" s="48">
        <f>IF($A239="","",$A239+3)</f>
        <v/>
      </c>
      <c r="K239" s="47" t="n"/>
      <c r="L239" s="47" t="n"/>
    </row>
    <row r="240">
      <c r="A240" s="48" t="n"/>
      <c r="B240" s="47">
        <f>IF($A240="","",MIN(24,MAX(1,ROUNDUP(($A240-DayPlan!$C$2+1)/7,0))))</f>
        <v/>
      </c>
      <c r="C240" s="50" t="n"/>
      <c r="D240" s="47" t="n"/>
      <c r="E240" s="50" t="n"/>
      <c r="F240" s="50" t="n"/>
      <c r="G240" s="50" t="n"/>
      <c r="H240" s="50" t="n"/>
      <c r="I240" s="50" t="n"/>
      <c r="J240" s="48">
        <f>IF($A240="","",$A240+3)</f>
        <v/>
      </c>
      <c r="K240" s="47" t="n"/>
      <c r="L240" s="47" t="n"/>
    </row>
    <row r="241">
      <c r="A241" s="48" t="n"/>
      <c r="B241" s="47">
        <f>IF($A241="","",MIN(24,MAX(1,ROUNDUP(($A241-DayPlan!$C$2+1)/7,0))))</f>
        <v/>
      </c>
      <c r="C241" s="50" t="n"/>
      <c r="D241" s="47" t="n"/>
      <c r="E241" s="50" t="n"/>
      <c r="F241" s="50" t="n"/>
      <c r="G241" s="50" t="n"/>
      <c r="H241" s="50" t="n"/>
      <c r="I241" s="50" t="n"/>
      <c r="J241" s="48">
        <f>IF($A241="","",$A241+3)</f>
        <v/>
      </c>
      <c r="K241" s="47" t="n"/>
      <c r="L241" s="47" t="n"/>
    </row>
    <row r="242">
      <c r="A242" s="48" t="n"/>
      <c r="B242" s="47">
        <f>IF($A242="","",MIN(24,MAX(1,ROUNDUP(($A242-DayPlan!$C$2+1)/7,0))))</f>
        <v/>
      </c>
      <c r="C242" s="50" t="n"/>
      <c r="D242" s="47" t="n"/>
      <c r="E242" s="50" t="n"/>
      <c r="F242" s="50" t="n"/>
      <c r="G242" s="50" t="n"/>
      <c r="H242" s="50" t="n"/>
      <c r="I242" s="50" t="n"/>
      <c r="J242" s="48">
        <f>IF($A242="","",$A242+3)</f>
        <v/>
      </c>
      <c r="K242" s="47" t="n"/>
      <c r="L242" s="47" t="n"/>
    </row>
    <row r="243">
      <c r="A243" s="48" t="n"/>
      <c r="B243" s="47">
        <f>IF($A243="","",MIN(24,MAX(1,ROUNDUP(($A243-DayPlan!$C$2+1)/7,0))))</f>
        <v/>
      </c>
      <c r="C243" s="50" t="n"/>
      <c r="D243" s="47" t="n"/>
      <c r="E243" s="50" t="n"/>
      <c r="F243" s="50" t="n"/>
      <c r="G243" s="50" t="n"/>
      <c r="H243" s="50" t="n"/>
      <c r="I243" s="50" t="n"/>
      <c r="J243" s="48">
        <f>IF($A243="","",$A243+3)</f>
        <v/>
      </c>
      <c r="K243" s="47" t="n"/>
      <c r="L243" s="47" t="n"/>
    </row>
    <row r="244">
      <c r="A244" s="48" t="n"/>
      <c r="B244" s="47">
        <f>IF($A244="","",MIN(24,MAX(1,ROUNDUP(($A244-DayPlan!$C$2+1)/7,0))))</f>
        <v/>
      </c>
      <c r="C244" s="50" t="n"/>
      <c r="D244" s="47" t="n"/>
      <c r="E244" s="50" t="n"/>
      <c r="F244" s="50" t="n"/>
      <c r="G244" s="50" t="n"/>
      <c r="H244" s="50" t="n"/>
      <c r="I244" s="50" t="n"/>
      <c r="J244" s="48">
        <f>IF($A244="","",$A244+3)</f>
        <v/>
      </c>
      <c r="K244" s="47" t="n"/>
      <c r="L244" s="47" t="n"/>
    </row>
    <row r="245">
      <c r="A245" s="48" t="n"/>
      <c r="B245" s="47">
        <f>IF($A245="","",MIN(24,MAX(1,ROUNDUP(($A245-DayPlan!$C$2+1)/7,0))))</f>
        <v/>
      </c>
      <c r="C245" s="50" t="n"/>
      <c r="D245" s="47" t="n"/>
      <c r="E245" s="50" t="n"/>
      <c r="F245" s="50" t="n"/>
      <c r="G245" s="50" t="n"/>
      <c r="H245" s="50" t="n"/>
      <c r="I245" s="50" t="n"/>
      <c r="J245" s="48">
        <f>IF($A245="","",$A245+3)</f>
        <v/>
      </c>
      <c r="K245" s="47" t="n"/>
      <c r="L245" s="47" t="n"/>
    </row>
    <row r="246">
      <c r="A246" s="48" t="n"/>
      <c r="B246" s="47">
        <f>IF($A246="","",MIN(24,MAX(1,ROUNDUP(($A246-DayPlan!$C$2+1)/7,0))))</f>
        <v/>
      </c>
      <c r="C246" s="50" t="n"/>
      <c r="D246" s="47" t="n"/>
      <c r="E246" s="50" t="n"/>
      <c r="F246" s="50" t="n"/>
      <c r="G246" s="50" t="n"/>
      <c r="H246" s="50" t="n"/>
      <c r="I246" s="50" t="n"/>
      <c r="J246" s="48">
        <f>IF($A246="","",$A246+3)</f>
        <v/>
      </c>
      <c r="K246" s="47" t="n"/>
      <c r="L246" s="47" t="n"/>
    </row>
    <row r="247">
      <c r="A247" s="48" t="n"/>
      <c r="B247" s="47">
        <f>IF($A247="","",MIN(24,MAX(1,ROUNDUP(($A247-DayPlan!$C$2+1)/7,0))))</f>
        <v/>
      </c>
      <c r="C247" s="50" t="n"/>
      <c r="D247" s="47" t="n"/>
      <c r="E247" s="50" t="n"/>
      <c r="F247" s="50" t="n"/>
      <c r="G247" s="50" t="n"/>
      <c r="H247" s="50" t="n"/>
      <c r="I247" s="50" t="n"/>
      <c r="J247" s="48">
        <f>IF($A247="","",$A247+3)</f>
        <v/>
      </c>
      <c r="K247" s="47" t="n"/>
      <c r="L247" s="47" t="n"/>
    </row>
    <row r="248">
      <c r="A248" s="48" t="n"/>
      <c r="B248" s="47">
        <f>IF($A248="","",MIN(24,MAX(1,ROUNDUP(($A248-DayPlan!$C$2+1)/7,0))))</f>
        <v/>
      </c>
      <c r="C248" s="50" t="n"/>
      <c r="D248" s="47" t="n"/>
      <c r="E248" s="50" t="n"/>
      <c r="F248" s="50" t="n"/>
      <c r="G248" s="50" t="n"/>
      <c r="H248" s="50" t="n"/>
      <c r="I248" s="50" t="n"/>
      <c r="J248" s="48">
        <f>IF($A248="","",$A248+3)</f>
        <v/>
      </c>
      <c r="K248" s="47" t="n"/>
      <c r="L248" s="47" t="n"/>
    </row>
    <row r="249">
      <c r="A249" s="48" t="n"/>
      <c r="B249" s="47">
        <f>IF($A249="","",MIN(24,MAX(1,ROUNDUP(($A249-DayPlan!$C$2+1)/7,0))))</f>
        <v/>
      </c>
      <c r="C249" s="50" t="n"/>
      <c r="D249" s="47" t="n"/>
      <c r="E249" s="50" t="n"/>
      <c r="F249" s="50" t="n"/>
      <c r="G249" s="50" t="n"/>
      <c r="H249" s="50" t="n"/>
      <c r="I249" s="50" t="n"/>
      <c r="J249" s="48">
        <f>IF($A249="","",$A249+3)</f>
        <v/>
      </c>
      <c r="K249" s="47" t="n"/>
      <c r="L249" s="47" t="n"/>
    </row>
    <row r="250">
      <c r="A250" s="48" t="n"/>
      <c r="B250" s="47">
        <f>IF($A250="","",MIN(24,MAX(1,ROUNDUP(($A250-DayPlan!$C$2+1)/7,0))))</f>
        <v/>
      </c>
      <c r="C250" s="50" t="n"/>
      <c r="D250" s="47" t="n"/>
      <c r="E250" s="50" t="n"/>
      <c r="F250" s="50" t="n"/>
      <c r="G250" s="50" t="n"/>
      <c r="H250" s="50" t="n"/>
      <c r="I250" s="50" t="n"/>
      <c r="J250" s="48">
        <f>IF($A250="","",$A250+3)</f>
        <v/>
      </c>
      <c r="K250" s="47" t="n"/>
      <c r="L250" s="47" t="n"/>
    </row>
    <row r="251">
      <c r="A251" s="48" t="n"/>
      <c r="B251" s="47">
        <f>IF($A251="","",MIN(24,MAX(1,ROUNDUP(($A251-DayPlan!$C$2+1)/7,0))))</f>
        <v/>
      </c>
      <c r="C251" s="50" t="n"/>
      <c r="D251" s="47" t="n"/>
      <c r="E251" s="50" t="n"/>
      <c r="F251" s="50" t="n"/>
      <c r="G251" s="50" t="n"/>
      <c r="H251" s="50" t="n"/>
      <c r="I251" s="50" t="n"/>
      <c r="J251" s="48">
        <f>IF($A251="","",$A251+3)</f>
        <v/>
      </c>
      <c r="K251" s="47" t="n"/>
      <c r="L251" s="47" t="n"/>
    </row>
    <row r="252">
      <c r="A252" s="48" t="n"/>
      <c r="B252" s="47">
        <f>IF($A252="","",MIN(24,MAX(1,ROUNDUP(($A252-DayPlan!$C$2+1)/7,0))))</f>
        <v/>
      </c>
      <c r="C252" s="50" t="n"/>
      <c r="D252" s="47" t="n"/>
      <c r="E252" s="50" t="n"/>
      <c r="F252" s="50" t="n"/>
      <c r="G252" s="50" t="n"/>
      <c r="H252" s="50" t="n"/>
      <c r="I252" s="50" t="n"/>
      <c r="J252" s="48">
        <f>IF($A252="","",$A252+3)</f>
        <v/>
      </c>
      <c r="K252" s="47" t="n"/>
      <c r="L252" s="47" t="n"/>
    </row>
    <row r="253">
      <c r="A253" s="48" t="n"/>
      <c r="B253" s="47">
        <f>IF($A253="","",MIN(24,MAX(1,ROUNDUP(($A253-DayPlan!$C$2+1)/7,0))))</f>
        <v/>
      </c>
      <c r="C253" s="50" t="n"/>
      <c r="D253" s="47" t="n"/>
      <c r="E253" s="50" t="n"/>
      <c r="F253" s="50" t="n"/>
      <c r="G253" s="50" t="n"/>
      <c r="H253" s="50" t="n"/>
      <c r="I253" s="50" t="n"/>
      <c r="J253" s="48">
        <f>IF($A253="","",$A253+3)</f>
        <v/>
      </c>
      <c r="K253" s="47" t="n"/>
      <c r="L253" s="47" t="n"/>
    </row>
    <row r="254">
      <c r="A254" s="48" t="n"/>
      <c r="B254" s="47">
        <f>IF($A254="","",MIN(24,MAX(1,ROUNDUP(($A254-DayPlan!$C$2+1)/7,0))))</f>
        <v/>
      </c>
      <c r="C254" s="50" t="n"/>
      <c r="D254" s="47" t="n"/>
      <c r="E254" s="50" t="n"/>
      <c r="F254" s="50" t="n"/>
      <c r="G254" s="50" t="n"/>
      <c r="H254" s="50" t="n"/>
      <c r="I254" s="50" t="n"/>
      <c r="J254" s="48">
        <f>IF($A254="","",$A254+3)</f>
        <v/>
      </c>
      <c r="K254" s="47" t="n"/>
      <c r="L254" s="47" t="n"/>
    </row>
    <row r="255">
      <c r="A255" s="48" t="n"/>
      <c r="B255" s="47">
        <f>IF($A255="","",MIN(24,MAX(1,ROUNDUP(($A255-DayPlan!$C$2+1)/7,0))))</f>
        <v/>
      </c>
      <c r="C255" s="50" t="n"/>
      <c r="D255" s="47" t="n"/>
      <c r="E255" s="50" t="n"/>
      <c r="F255" s="50" t="n"/>
      <c r="G255" s="50" t="n"/>
      <c r="H255" s="50" t="n"/>
      <c r="I255" s="50" t="n"/>
      <c r="J255" s="48">
        <f>IF($A255="","",$A255+3)</f>
        <v/>
      </c>
      <c r="K255" s="47" t="n"/>
      <c r="L255" s="47" t="n"/>
    </row>
    <row r="256">
      <c r="A256" s="48" t="n"/>
      <c r="B256" s="47">
        <f>IF($A256="","",MIN(24,MAX(1,ROUNDUP(($A256-DayPlan!$C$2+1)/7,0))))</f>
        <v/>
      </c>
      <c r="C256" s="50" t="n"/>
      <c r="D256" s="47" t="n"/>
      <c r="E256" s="50" t="n"/>
      <c r="F256" s="50" t="n"/>
      <c r="G256" s="50" t="n"/>
      <c r="H256" s="50" t="n"/>
      <c r="I256" s="50" t="n"/>
      <c r="J256" s="48">
        <f>IF($A256="","",$A256+3)</f>
        <v/>
      </c>
      <c r="K256" s="47" t="n"/>
      <c r="L256" s="47" t="n"/>
    </row>
    <row r="257">
      <c r="A257" s="48" t="n"/>
      <c r="B257" s="47">
        <f>IF($A257="","",MIN(24,MAX(1,ROUNDUP(($A257-DayPlan!$C$2+1)/7,0))))</f>
        <v/>
      </c>
      <c r="C257" s="50" t="n"/>
      <c r="D257" s="47" t="n"/>
      <c r="E257" s="50" t="n"/>
      <c r="F257" s="50" t="n"/>
      <c r="G257" s="50" t="n"/>
      <c r="H257" s="50" t="n"/>
      <c r="I257" s="50" t="n"/>
      <c r="J257" s="48">
        <f>IF($A257="","",$A257+3)</f>
        <v/>
      </c>
      <c r="K257" s="47" t="n"/>
      <c r="L257" s="47" t="n"/>
    </row>
    <row r="258">
      <c r="A258" s="48" t="n"/>
      <c r="B258" s="47">
        <f>IF($A258="","",MIN(24,MAX(1,ROUNDUP(($A258-DayPlan!$C$2+1)/7,0))))</f>
        <v/>
      </c>
      <c r="C258" s="50" t="n"/>
      <c r="D258" s="47" t="n"/>
      <c r="E258" s="50" t="n"/>
      <c r="F258" s="50" t="n"/>
      <c r="G258" s="50" t="n"/>
      <c r="H258" s="50" t="n"/>
      <c r="I258" s="50" t="n"/>
      <c r="J258" s="48">
        <f>IF($A258="","",$A258+3)</f>
        <v/>
      </c>
      <c r="K258" s="47" t="n"/>
      <c r="L258" s="47" t="n"/>
    </row>
    <row r="259">
      <c r="A259" s="48" t="n"/>
      <c r="B259" s="47">
        <f>IF($A259="","",MIN(24,MAX(1,ROUNDUP(($A259-DayPlan!$C$2+1)/7,0))))</f>
        <v/>
      </c>
      <c r="C259" s="50" t="n"/>
      <c r="D259" s="47" t="n"/>
      <c r="E259" s="50" t="n"/>
      <c r="F259" s="50" t="n"/>
      <c r="G259" s="50" t="n"/>
      <c r="H259" s="50" t="n"/>
      <c r="I259" s="50" t="n"/>
      <c r="J259" s="48">
        <f>IF($A259="","",$A259+3)</f>
        <v/>
      </c>
      <c r="K259" s="47" t="n"/>
      <c r="L259" s="47" t="n"/>
    </row>
    <row r="260">
      <c r="A260" s="48" t="n"/>
      <c r="B260" s="47">
        <f>IF($A260="","",MIN(24,MAX(1,ROUNDUP(($A260-DayPlan!$C$2+1)/7,0))))</f>
        <v/>
      </c>
      <c r="C260" s="50" t="n"/>
      <c r="D260" s="47" t="n"/>
      <c r="E260" s="50" t="n"/>
      <c r="F260" s="50" t="n"/>
      <c r="G260" s="50" t="n"/>
      <c r="H260" s="50" t="n"/>
      <c r="I260" s="50" t="n"/>
      <c r="J260" s="48">
        <f>IF($A260="","",$A260+3)</f>
        <v/>
      </c>
      <c r="K260" s="47" t="n"/>
      <c r="L260" s="47" t="n"/>
    </row>
    <row r="261">
      <c r="A261" s="48" t="n"/>
      <c r="B261" s="47">
        <f>IF($A261="","",MIN(24,MAX(1,ROUNDUP(($A261-DayPlan!$C$2+1)/7,0))))</f>
        <v/>
      </c>
      <c r="C261" s="50" t="n"/>
      <c r="D261" s="47" t="n"/>
      <c r="E261" s="50" t="n"/>
      <c r="F261" s="50" t="n"/>
      <c r="G261" s="50" t="n"/>
      <c r="H261" s="50" t="n"/>
      <c r="I261" s="50" t="n"/>
      <c r="J261" s="48">
        <f>IF($A261="","",$A261+3)</f>
        <v/>
      </c>
      <c r="K261" s="47" t="n"/>
      <c r="L261" s="47" t="n"/>
    </row>
    <row r="262">
      <c r="A262" s="48" t="n"/>
      <c r="B262" s="47">
        <f>IF($A262="","",MIN(24,MAX(1,ROUNDUP(($A262-DayPlan!$C$2+1)/7,0))))</f>
        <v/>
      </c>
      <c r="C262" s="50" t="n"/>
      <c r="D262" s="47" t="n"/>
      <c r="E262" s="50" t="n"/>
      <c r="F262" s="50" t="n"/>
      <c r="G262" s="50" t="n"/>
      <c r="H262" s="50" t="n"/>
      <c r="I262" s="50" t="n"/>
      <c r="J262" s="48">
        <f>IF($A262="","",$A262+3)</f>
        <v/>
      </c>
      <c r="K262" s="47" t="n"/>
      <c r="L262" s="47" t="n"/>
    </row>
    <row r="263">
      <c r="A263" s="48" t="n"/>
      <c r="B263" s="47">
        <f>IF($A263="","",MIN(24,MAX(1,ROUNDUP(($A263-DayPlan!$C$2+1)/7,0))))</f>
        <v/>
      </c>
      <c r="C263" s="50" t="n"/>
      <c r="D263" s="47" t="n"/>
      <c r="E263" s="50" t="n"/>
      <c r="F263" s="50" t="n"/>
      <c r="G263" s="50" t="n"/>
      <c r="H263" s="50" t="n"/>
      <c r="I263" s="50" t="n"/>
      <c r="J263" s="48">
        <f>IF($A263="","",$A263+3)</f>
        <v/>
      </c>
      <c r="K263" s="47" t="n"/>
      <c r="L263" s="47" t="n"/>
    </row>
    <row r="264">
      <c r="A264" s="48" t="n"/>
      <c r="B264" s="47">
        <f>IF($A264="","",MIN(24,MAX(1,ROUNDUP(($A264-DayPlan!$C$2+1)/7,0))))</f>
        <v/>
      </c>
      <c r="C264" s="50" t="n"/>
      <c r="D264" s="47" t="n"/>
      <c r="E264" s="50" t="n"/>
      <c r="F264" s="50" t="n"/>
      <c r="G264" s="50" t="n"/>
      <c r="H264" s="50" t="n"/>
      <c r="I264" s="50" t="n"/>
      <c r="J264" s="48">
        <f>IF($A264="","",$A264+3)</f>
        <v/>
      </c>
      <c r="K264" s="47" t="n"/>
      <c r="L264" s="47" t="n"/>
    </row>
    <row r="265">
      <c r="A265" s="48" t="n"/>
      <c r="B265" s="47">
        <f>IF($A265="","",MIN(24,MAX(1,ROUNDUP(($A265-DayPlan!$C$2+1)/7,0))))</f>
        <v/>
      </c>
      <c r="C265" s="50" t="n"/>
      <c r="D265" s="47" t="n"/>
      <c r="E265" s="50" t="n"/>
      <c r="F265" s="50" t="n"/>
      <c r="G265" s="50" t="n"/>
      <c r="H265" s="50" t="n"/>
      <c r="I265" s="50" t="n"/>
      <c r="J265" s="48">
        <f>IF($A265="","",$A265+3)</f>
        <v/>
      </c>
      <c r="K265" s="47" t="n"/>
      <c r="L265" s="47" t="n"/>
    </row>
    <row r="266">
      <c r="A266" s="48" t="n"/>
      <c r="B266" s="47">
        <f>IF($A266="","",MIN(24,MAX(1,ROUNDUP(($A266-DayPlan!$C$2+1)/7,0))))</f>
        <v/>
      </c>
      <c r="C266" s="50" t="n"/>
      <c r="D266" s="47" t="n"/>
      <c r="E266" s="50" t="n"/>
      <c r="F266" s="50" t="n"/>
      <c r="G266" s="50" t="n"/>
      <c r="H266" s="50" t="n"/>
      <c r="I266" s="50" t="n"/>
      <c r="J266" s="48">
        <f>IF($A266="","",$A266+3)</f>
        <v/>
      </c>
      <c r="K266" s="47" t="n"/>
      <c r="L266" s="47" t="n"/>
    </row>
    <row r="267">
      <c r="A267" s="48" t="n"/>
      <c r="B267" s="47">
        <f>IF($A267="","",MIN(24,MAX(1,ROUNDUP(($A267-DayPlan!$C$2+1)/7,0))))</f>
        <v/>
      </c>
      <c r="C267" s="50" t="n"/>
      <c r="D267" s="47" t="n"/>
      <c r="E267" s="50" t="n"/>
      <c r="F267" s="50" t="n"/>
      <c r="G267" s="50" t="n"/>
      <c r="H267" s="50" t="n"/>
      <c r="I267" s="50" t="n"/>
      <c r="J267" s="48">
        <f>IF($A267="","",$A267+3)</f>
        <v/>
      </c>
      <c r="K267" s="47" t="n"/>
      <c r="L267" s="47" t="n"/>
    </row>
    <row r="268">
      <c r="A268" s="48" t="n"/>
      <c r="B268" s="47">
        <f>IF($A268="","",MIN(24,MAX(1,ROUNDUP(($A268-DayPlan!$C$2+1)/7,0))))</f>
        <v/>
      </c>
      <c r="C268" s="50" t="n"/>
      <c r="D268" s="47" t="n"/>
      <c r="E268" s="50" t="n"/>
      <c r="F268" s="50" t="n"/>
      <c r="G268" s="50" t="n"/>
      <c r="H268" s="50" t="n"/>
      <c r="I268" s="50" t="n"/>
      <c r="J268" s="48">
        <f>IF($A268="","",$A268+3)</f>
        <v/>
      </c>
      <c r="K268" s="47" t="n"/>
      <c r="L268" s="47" t="n"/>
    </row>
    <row r="269">
      <c r="A269" s="48" t="n"/>
      <c r="B269" s="47">
        <f>IF($A269="","",MIN(24,MAX(1,ROUNDUP(($A269-DayPlan!$C$2+1)/7,0))))</f>
        <v/>
      </c>
      <c r="C269" s="50" t="n"/>
      <c r="D269" s="47" t="n"/>
      <c r="E269" s="50" t="n"/>
      <c r="F269" s="50" t="n"/>
      <c r="G269" s="50" t="n"/>
      <c r="H269" s="50" t="n"/>
      <c r="I269" s="50" t="n"/>
      <c r="J269" s="48">
        <f>IF($A269="","",$A269+3)</f>
        <v/>
      </c>
      <c r="K269" s="47" t="n"/>
      <c r="L269" s="47" t="n"/>
    </row>
    <row r="270">
      <c r="A270" s="48" t="n"/>
      <c r="B270" s="47">
        <f>IF($A270="","",MIN(24,MAX(1,ROUNDUP(($A270-DayPlan!$C$2+1)/7,0))))</f>
        <v/>
      </c>
      <c r="C270" s="50" t="n"/>
      <c r="D270" s="47" t="n"/>
      <c r="E270" s="50" t="n"/>
      <c r="F270" s="50" t="n"/>
      <c r="G270" s="50" t="n"/>
      <c r="H270" s="50" t="n"/>
      <c r="I270" s="50" t="n"/>
      <c r="J270" s="48">
        <f>IF($A270="","",$A270+3)</f>
        <v/>
      </c>
      <c r="K270" s="47" t="n"/>
      <c r="L270" s="47" t="n"/>
    </row>
    <row r="271">
      <c r="A271" s="48" t="n"/>
      <c r="B271" s="47">
        <f>IF($A271="","",MIN(24,MAX(1,ROUNDUP(($A271-DayPlan!$C$2+1)/7,0))))</f>
        <v/>
      </c>
      <c r="C271" s="50" t="n"/>
      <c r="D271" s="47" t="n"/>
      <c r="E271" s="50" t="n"/>
      <c r="F271" s="50" t="n"/>
      <c r="G271" s="50" t="n"/>
      <c r="H271" s="50" t="n"/>
      <c r="I271" s="50" t="n"/>
      <c r="J271" s="48">
        <f>IF($A271="","",$A271+3)</f>
        <v/>
      </c>
      <c r="K271" s="47" t="n"/>
      <c r="L271" s="47" t="n"/>
    </row>
    <row r="272">
      <c r="A272" s="48" t="n"/>
      <c r="B272" s="47">
        <f>IF($A272="","",MIN(24,MAX(1,ROUNDUP(($A272-DayPlan!$C$2+1)/7,0))))</f>
        <v/>
      </c>
      <c r="C272" s="50" t="n"/>
      <c r="D272" s="47" t="n"/>
      <c r="E272" s="50" t="n"/>
      <c r="F272" s="50" t="n"/>
      <c r="G272" s="50" t="n"/>
      <c r="H272" s="50" t="n"/>
      <c r="I272" s="50" t="n"/>
      <c r="J272" s="48">
        <f>IF($A272="","",$A272+3)</f>
        <v/>
      </c>
      <c r="K272" s="47" t="n"/>
      <c r="L272" s="47" t="n"/>
    </row>
    <row r="273">
      <c r="A273" s="48" t="n"/>
      <c r="B273" s="47">
        <f>IF($A273="","",MIN(24,MAX(1,ROUNDUP(($A273-DayPlan!$C$2+1)/7,0))))</f>
        <v/>
      </c>
      <c r="C273" s="50" t="n"/>
      <c r="D273" s="47" t="n"/>
      <c r="E273" s="50" t="n"/>
      <c r="F273" s="50" t="n"/>
      <c r="G273" s="50" t="n"/>
      <c r="H273" s="50" t="n"/>
      <c r="I273" s="50" t="n"/>
      <c r="J273" s="48">
        <f>IF($A273="","",$A273+3)</f>
        <v/>
      </c>
      <c r="K273" s="47" t="n"/>
      <c r="L273" s="47" t="n"/>
    </row>
    <row r="274">
      <c r="A274" s="48" t="n"/>
      <c r="B274" s="47">
        <f>IF($A274="","",MIN(24,MAX(1,ROUNDUP(($A274-DayPlan!$C$2+1)/7,0))))</f>
        <v/>
      </c>
      <c r="C274" s="50" t="n"/>
      <c r="D274" s="47" t="n"/>
      <c r="E274" s="50" t="n"/>
      <c r="F274" s="50" t="n"/>
      <c r="G274" s="50" t="n"/>
      <c r="H274" s="50" t="n"/>
      <c r="I274" s="50" t="n"/>
      <c r="J274" s="48">
        <f>IF($A274="","",$A274+3)</f>
        <v/>
      </c>
      <c r="K274" s="47" t="n"/>
      <c r="L274" s="47" t="n"/>
    </row>
    <row r="275">
      <c r="A275" s="48" t="n"/>
      <c r="B275" s="47">
        <f>IF($A275="","",MIN(24,MAX(1,ROUNDUP(($A275-DayPlan!$C$2+1)/7,0))))</f>
        <v/>
      </c>
      <c r="C275" s="50" t="n"/>
      <c r="D275" s="47" t="n"/>
      <c r="E275" s="50" t="n"/>
      <c r="F275" s="50" t="n"/>
      <c r="G275" s="50" t="n"/>
      <c r="H275" s="50" t="n"/>
      <c r="I275" s="50" t="n"/>
      <c r="J275" s="48">
        <f>IF($A275="","",$A275+3)</f>
        <v/>
      </c>
      <c r="K275" s="47" t="n"/>
      <c r="L275" s="47" t="n"/>
    </row>
    <row r="276">
      <c r="A276" s="48" t="n"/>
      <c r="B276" s="47">
        <f>IF($A276="","",MIN(24,MAX(1,ROUNDUP(($A276-DayPlan!$C$2+1)/7,0))))</f>
        <v/>
      </c>
      <c r="C276" s="50" t="n"/>
      <c r="D276" s="47" t="n"/>
      <c r="E276" s="50" t="n"/>
      <c r="F276" s="50" t="n"/>
      <c r="G276" s="50" t="n"/>
      <c r="H276" s="50" t="n"/>
      <c r="I276" s="50" t="n"/>
      <c r="J276" s="48">
        <f>IF($A276="","",$A276+3)</f>
        <v/>
      </c>
      <c r="K276" s="47" t="n"/>
      <c r="L276" s="47" t="n"/>
    </row>
    <row r="277">
      <c r="A277" s="48" t="n"/>
      <c r="B277" s="47">
        <f>IF($A277="","",MIN(24,MAX(1,ROUNDUP(($A277-DayPlan!$C$2+1)/7,0))))</f>
        <v/>
      </c>
      <c r="C277" s="50" t="n"/>
      <c r="D277" s="47" t="n"/>
      <c r="E277" s="50" t="n"/>
      <c r="F277" s="50" t="n"/>
      <c r="G277" s="50" t="n"/>
      <c r="H277" s="50" t="n"/>
      <c r="I277" s="50" t="n"/>
      <c r="J277" s="48">
        <f>IF($A277="","",$A277+3)</f>
        <v/>
      </c>
      <c r="K277" s="47" t="n"/>
      <c r="L277" s="47" t="n"/>
    </row>
    <row r="278">
      <c r="A278" s="48" t="n"/>
      <c r="B278" s="47">
        <f>IF($A278="","",MIN(24,MAX(1,ROUNDUP(($A278-DayPlan!$C$2+1)/7,0))))</f>
        <v/>
      </c>
      <c r="C278" s="50" t="n"/>
      <c r="D278" s="47" t="n"/>
      <c r="E278" s="50" t="n"/>
      <c r="F278" s="50" t="n"/>
      <c r="G278" s="50" t="n"/>
      <c r="H278" s="50" t="n"/>
      <c r="I278" s="50" t="n"/>
      <c r="J278" s="48">
        <f>IF($A278="","",$A278+3)</f>
        <v/>
      </c>
      <c r="K278" s="47" t="n"/>
      <c r="L278" s="47" t="n"/>
    </row>
    <row r="279">
      <c r="A279" s="48" t="n"/>
      <c r="B279" s="47">
        <f>IF($A279="","",MIN(24,MAX(1,ROUNDUP(($A279-DayPlan!$C$2+1)/7,0))))</f>
        <v/>
      </c>
      <c r="C279" s="50" t="n"/>
      <c r="D279" s="47" t="n"/>
      <c r="E279" s="50" t="n"/>
      <c r="F279" s="50" t="n"/>
      <c r="G279" s="50" t="n"/>
      <c r="H279" s="50" t="n"/>
      <c r="I279" s="50" t="n"/>
      <c r="J279" s="48">
        <f>IF($A279="","",$A279+3)</f>
        <v/>
      </c>
      <c r="K279" s="47" t="n"/>
      <c r="L279" s="47" t="n"/>
    </row>
    <row r="280">
      <c r="A280" s="48" t="n"/>
      <c r="B280" s="47">
        <f>IF($A280="","",MIN(24,MAX(1,ROUNDUP(($A280-DayPlan!$C$2+1)/7,0))))</f>
        <v/>
      </c>
      <c r="C280" s="50" t="n"/>
      <c r="D280" s="47" t="n"/>
      <c r="E280" s="50" t="n"/>
      <c r="F280" s="50" t="n"/>
      <c r="G280" s="50" t="n"/>
      <c r="H280" s="50" t="n"/>
      <c r="I280" s="50" t="n"/>
      <c r="J280" s="48">
        <f>IF($A280="","",$A280+3)</f>
        <v/>
      </c>
      <c r="K280" s="47" t="n"/>
      <c r="L280" s="47" t="n"/>
    </row>
    <row r="281">
      <c r="A281" s="48" t="n"/>
      <c r="B281" s="47">
        <f>IF($A281="","",MIN(24,MAX(1,ROUNDUP(($A281-DayPlan!$C$2+1)/7,0))))</f>
        <v/>
      </c>
      <c r="C281" s="50" t="n"/>
      <c r="D281" s="47" t="n"/>
      <c r="E281" s="50" t="n"/>
      <c r="F281" s="50" t="n"/>
      <c r="G281" s="50" t="n"/>
      <c r="H281" s="50" t="n"/>
      <c r="I281" s="50" t="n"/>
      <c r="J281" s="48">
        <f>IF($A281="","",$A281+3)</f>
        <v/>
      </c>
      <c r="K281" s="47" t="n"/>
      <c r="L281" s="47" t="n"/>
    </row>
    <row r="282">
      <c r="A282" s="48" t="n"/>
      <c r="B282" s="47">
        <f>IF($A282="","",MIN(24,MAX(1,ROUNDUP(($A282-DayPlan!$C$2+1)/7,0))))</f>
        <v/>
      </c>
      <c r="C282" s="50" t="n"/>
      <c r="D282" s="47" t="n"/>
      <c r="E282" s="50" t="n"/>
      <c r="F282" s="50" t="n"/>
      <c r="G282" s="50" t="n"/>
      <c r="H282" s="50" t="n"/>
      <c r="I282" s="50" t="n"/>
      <c r="J282" s="48">
        <f>IF($A282="","",$A282+3)</f>
        <v/>
      </c>
      <c r="K282" s="47" t="n"/>
      <c r="L282" s="47" t="n"/>
    </row>
    <row r="283">
      <c r="A283" s="48" t="n"/>
      <c r="B283" s="47">
        <f>IF($A283="","",MIN(24,MAX(1,ROUNDUP(($A283-DayPlan!$C$2+1)/7,0))))</f>
        <v/>
      </c>
      <c r="C283" s="50" t="n"/>
      <c r="D283" s="47" t="n"/>
      <c r="E283" s="50" t="n"/>
      <c r="F283" s="50" t="n"/>
      <c r="G283" s="50" t="n"/>
      <c r="H283" s="50" t="n"/>
      <c r="I283" s="50" t="n"/>
      <c r="J283" s="48">
        <f>IF($A283="","",$A283+3)</f>
        <v/>
      </c>
      <c r="K283" s="47" t="n"/>
      <c r="L283" s="47" t="n"/>
    </row>
    <row r="284">
      <c r="A284" s="48" t="n"/>
      <c r="B284" s="47">
        <f>IF($A284="","",MIN(24,MAX(1,ROUNDUP(($A284-DayPlan!$C$2+1)/7,0))))</f>
        <v/>
      </c>
      <c r="C284" s="50" t="n"/>
      <c r="D284" s="47" t="n"/>
      <c r="E284" s="50" t="n"/>
      <c r="F284" s="50" t="n"/>
      <c r="G284" s="50" t="n"/>
      <c r="H284" s="50" t="n"/>
      <c r="I284" s="50" t="n"/>
      <c r="J284" s="48">
        <f>IF($A284="","",$A284+3)</f>
        <v/>
      </c>
      <c r="K284" s="47" t="n"/>
      <c r="L284" s="47" t="n"/>
    </row>
    <row r="285">
      <c r="A285" s="48" t="n"/>
      <c r="B285" s="47">
        <f>IF($A285="","",MIN(24,MAX(1,ROUNDUP(($A285-DayPlan!$C$2+1)/7,0))))</f>
        <v/>
      </c>
      <c r="C285" s="50" t="n"/>
      <c r="D285" s="47" t="n"/>
      <c r="E285" s="50" t="n"/>
      <c r="F285" s="50" t="n"/>
      <c r="G285" s="50" t="n"/>
      <c r="H285" s="50" t="n"/>
      <c r="I285" s="50" t="n"/>
      <c r="J285" s="48">
        <f>IF($A285="","",$A285+3)</f>
        <v/>
      </c>
      <c r="K285" s="47" t="n"/>
      <c r="L285" s="47" t="n"/>
    </row>
    <row r="286">
      <c r="A286" s="48" t="n"/>
      <c r="B286" s="47">
        <f>IF($A286="","",MIN(24,MAX(1,ROUNDUP(($A286-DayPlan!$C$2+1)/7,0))))</f>
        <v/>
      </c>
      <c r="C286" s="50" t="n"/>
      <c r="D286" s="47" t="n"/>
      <c r="E286" s="50" t="n"/>
      <c r="F286" s="50" t="n"/>
      <c r="G286" s="50" t="n"/>
      <c r="H286" s="50" t="n"/>
      <c r="I286" s="50" t="n"/>
      <c r="J286" s="48">
        <f>IF($A286="","",$A286+3)</f>
        <v/>
      </c>
      <c r="K286" s="47" t="n"/>
      <c r="L286" s="47" t="n"/>
    </row>
    <row r="287">
      <c r="A287" s="48" t="n"/>
      <c r="B287" s="47">
        <f>IF($A287="","",MIN(24,MAX(1,ROUNDUP(($A287-DayPlan!$C$2+1)/7,0))))</f>
        <v/>
      </c>
      <c r="C287" s="50" t="n"/>
      <c r="D287" s="47" t="n"/>
      <c r="E287" s="50" t="n"/>
      <c r="F287" s="50" t="n"/>
      <c r="G287" s="50" t="n"/>
      <c r="H287" s="50" t="n"/>
      <c r="I287" s="50" t="n"/>
      <c r="J287" s="48">
        <f>IF($A287="","",$A287+3)</f>
        <v/>
      </c>
      <c r="K287" s="47" t="n"/>
      <c r="L287" s="47" t="n"/>
    </row>
    <row r="288">
      <c r="A288" s="48" t="n"/>
      <c r="B288" s="47">
        <f>IF($A288="","",MIN(24,MAX(1,ROUNDUP(($A288-DayPlan!$C$2+1)/7,0))))</f>
        <v/>
      </c>
      <c r="C288" s="50" t="n"/>
      <c r="D288" s="47" t="n"/>
      <c r="E288" s="50" t="n"/>
      <c r="F288" s="50" t="n"/>
      <c r="G288" s="50" t="n"/>
      <c r="H288" s="50" t="n"/>
      <c r="I288" s="50" t="n"/>
      <c r="J288" s="48">
        <f>IF($A288="","",$A288+3)</f>
        <v/>
      </c>
      <c r="K288" s="47" t="n"/>
      <c r="L288" s="47" t="n"/>
    </row>
    <row r="289">
      <c r="A289" s="48" t="n"/>
      <c r="B289" s="47">
        <f>IF($A289="","",MIN(24,MAX(1,ROUNDUP(($A289-DayPlan!$C$2+1)/7,0))))</f>
        <v/>
      </c>
      <c r="C289" s="50" t="n"/>
      <c r="D289" s="47" t="n"/>
      <c r="E289" s="50" t="n"/>
      <c r="F289" s="50" t="n"/>
      <c r="G289" s="50" t="n"/>
      <c r="H289" s="50" t="n"/>
      <c r="I289" s="50" t="n"/>
      <c r="J289" s="48">
        <f>IF($A289="","",$A289+3)</f>
        <v/>
      </c>
      <c r="K289" s="47" t="n"/>
      <c r="L289" s="47" t="n"/>
    </row>
    <row r="290">
      <c r="A290" s="48" t="n"/>
      <c r="B290" s="47">
        <f>IF($A290="","",MIN(24,MAX(1,ROUNDUP(($A290-DayPlan!$C$2+1)/7,0))))</f>
        <v/>
      </c>
      <c r="C290" s="50" t="n"/>
      <c r="D290" s="47" t="n"/>
      <c r="E290" s="50" t="n"/>
      <c r="F290" s="50" t="n"/>
      <c r="G290" s="50" t="n"/>
      <c r="H290" s="50" t="n"/>
      <c r="I290" s="50" t="n"/>
      <c r="J290" s="48">
        <f>IF($A290="","",$A290+3)</f>
        <v/>
      </c>
      <c r="K290" s="47" t="n"/>
      <c r="L290" s="47" t="n"/>
    </row>
    <row r="291">
      <c r="A291" s="48" t="n"/>
      <c r="B291" s="47">
        <f>IF($A291="","",MIN(24,MAX(1,ROUNDUP(($A291-DayPlan!$C$2+1)/7,0))))</f>
        <v/>
      </c>
      <c r="C291" s="50" t="n"/>
      <c r="D291" s="47" t="n"/>
      <c r="E291" s="50" t="n"/>
      <c r="F291" s="50" t="n"/>
      <c r="G291" s="50" t="n"/>
      <c r="H291" s="50" t="n"/>
      <c r="I291" s="50" t="n"/>
      <c r="J291" s="48">
        <f>IF($A291="","",$A291+3)</f>
        <v/>
      </c>
      <c r="K291" s="47" t="n"/>
      <c r="L291" s="47" t="n"/>
    </row>
    <row r="292">
      <c r="A292" s="48" t="n"/>
      <c r="B292" s="47">
        <f>IF($A292="","",MIN(24,MAX(1,ROUNDUP(($A292-DayPlan!$C$2+1)/7,0))))</f>
        <v/>
      </c>
      <c r="C292" s="50" t="n"/>
      <c r="D292" s="47" t="n"/>
      <c r="E292" s="50" t="n"/>
      <c r="F292" s="50" t="n"/>
      <c r="G292" s="50" t="n"/>
      <c r="H292" s="50" t="n"/>
      <c r="I292" s="50" t="n"/>
      <c r="J292" s="48">
        <f>IF($A292="","",$A292+3)</f>
        <v/>
      </c>
      <c r="K292" s="47" t="n"/>
      <c r="L292" s="47" t="n"/>
    </row>
    <row r="293">
      <c r="A293" s="48" t="n"/>
      <c r="B293" s="47">
        <f>IF($A293="","",MIN(24,MAX(1,ROUNDUP(($A293-DayPlan!$C$2+1)/7,0))))</f>
        <v/>
      </c>
      <c r="C293" s="50" t="n"/>
      <c r="D293" s="47" t="n"/>
      <c r="E293" s="50" t="n"/>
      <c r="F293" s="50" t="n"/>
      <c r="G293" s="50" t="n"/>
      <c r="H293" s="50" t="n"/>
      <c r="I293" s="50" t="n"/>
      <c r="J293" s="48">
        <f>IF($A293="","",$A293+3)</f>
        <v/>
      </c>
      <c r="K293" s="47" t="n"/>
      <c r="L293" s="47" t="n"/>
    </row>
    <row r="294">
      <c r="A294" s="48" t="n"/>
      <c r="B294" s="47">
        <f>IF($A294="","",MIN(24,MAX(1,ROUNDUP(($A294-DayPlan!$C$2+1)/7,0))))</f>
        <v/>
      </c>
      <c r="C294" s="50" t="n"/>
      <c r="D294" s="47" t="n"/>
      <c r="E294" s="50" t="n"/>
      <c r="F294" s="50" t="n"/>
      <c r="G294" s="50" t="n"/>
      <c r="H294" s="50" t="n"/>
      <c r="I294" s="50" t="n"/>
      <c r="J294" s="48">
        <f>IF($A294="","",$A294+3)</f>
        <v/>
      </c>
      <c r="K294" s="47" t="n"/>
      <c r="L294" s="47" t="n"/>
    </row>
    <row r="295">
      <c r="A295" s="48" t="n"/>
      <c r="B295" s="47">
        <f>IF($A295="","",MIN(24,MAX(1,ROUNDUP(($A295-DayPlan!$C$2+1)/7,0))))</f>
        <v/>
      </c>
      <c r="C295" s="50" t="n"/>
      <c r="D295" s="47" t="n"/>
      <c r="E295" s="50" t="n"/>
      <c r="F295" s="50" t="n"/>
      <c r="G295" s="50" t="n"/>
      <c r="H295" s="50" t="n"/>
      <c r="I295" s="50" t="n"/>
      <c r="J295" s="48">
        <f>IF($A295="","",$A295+3)</f>
        <v/>
      </c>
      <c r="K295" s="47" t="n"/>
      <c r="L295" s="47" t="n"/>
    </row>
    <row r="296">
      <c r="A296" s="48" t="n"/>
      <c r="B296" s="47">
        <f>IF($A296="","",MIN(24,MAX(1,ROUNDUP(($A296-DayPlan!$C$2+1)/7,0))))</f>
        <v/>
      </c>
      <c r="C296" s="50" t="n"/>
      <c r="D296" s="47" t="n"/>
      <c r="E296" s="50" t="n"/>
      <c r="F296" s="50" t="n"/>
      <c r="G296" s="50" t="n"/>
      <c r="H296" s="50" t="n"/>
      <c r="I296" s="50" t="n"/>
      <c r="J296" s="48">
        <f>IF($A296="","",$A296+3)</f>
        <v/>
      </c>
      <c r="K296" s="47" t="n"/>
      <c r="L296" s="47" t="n"/>
    </row>
    <row r="297">
      <c r="A297" s="48" t="n"/>
      <c r="B297" s="47">
        <f>IF($A297="","",MIN(24,MAX(1,ROUNDUP(($A297-DayPlan!$C$2+1)/7,0))))</f>
        <v/>
      </c>
      <c r="C297" s="50" t="n"/>
      <c r="D297" s="47" t="n"/>
      <c r="E297" s="50" t="n"/>
      <c r="F297" s="50" t="n"/>
      <c r="G297" s="50" t="n"/>
      <c r="H297" s="50" t="n"/>
      <c r="I297" s="50" t="n"/>
      <c r="J297" s="48">
        <f>IF($A297="","",$A297+3)</f>
        <v/>
      </c>
      <c r="K297" s="47" t="n"/>
      <c r="L297" s="47" t="n"/>
    </row>
    <row r="298">
      <c r="A298" s="48" t="n"/>
      <c r="B298" s="47">
        <f>IF($A298="","",MIN(24,MAX(1,ROUNDUP(($A298-DayPlan!$C$2+1)/7,0))))</f>
        <v/>
      </c>
      <c r="C298" s="50" t="n"/>
      <c r="D298" s="47" t="n"/>
      <c r="E298" s="50" t="n"/>
      <c r="F298" s="50" t="n"/>
      <c r="G298" s="50" t="n"/>
      <c r="H298" s="50" t="n"/>
      <c r="I298" s="50" t="n"/>
      <c r="J298" s="48">
        <f>IF($A298="","",$A298+3)</f>
        <v/>
      </c>
      <c r="K298" s="47" t="n"/>
      <c r="L298" s="47" t="n"/>
    </row>
    <row r="299">
      <c r="A299" s="48" t="n"/>
      <c r="B299" s="47">
        <f>IF($A299="","",MIN(24,MAX(1,ROUNDUP(($A299-DayPlan!$C$2+1)/7,0))))</f>
        <v/>
      </c>
      <c r="C299" s="50" t="n"/>
      <c r="D299" s="47" t="n"/>
      <c r="E299" s="50" t="n"/>
      <c r="F299" s="50" t="n"/>
      <c r="G299" s="50" t="n"/>
      <c r="H299" s="50" t="n"/>
      <c r="I299" s="50" t="n"/>
      <c r="J299" s="48">
        <f>IF($A299="","",$A299+3)</f>
        <v/>
      </c>
      <c r="K299" s="47" t="n"/>
      <c r="L299" s="47" t="n"/>
    </row>
    <row r="300">
      <c r="A300" s="48" t="n"/>
      <c r="B300" s="47">
        <f>IF($A300="","",MIN(24,MAX(1,ROUNDUP(($A300-DayPlan!$C$2+1)/7,0))))</f>
        <v/>
      </c>
      <c r="C300" s="50" t="n"/>
      <c r="D300" s="47" t="n"/>
      <c r="E300" s="50" t="n"/>
      <c r="F300" s="50" t="n"/>
      <c r="G300" s="50" t="n"/>
      <c r="H300" s="50" t="n"/>
      <c r="I300" s="50" t="n"/>
      <c r="J300" s="48">
        <f>IF($A300="","",$A300+3)</f>
        <v/>
      </c>
      <c r="K300" s="47" t="n"/>
      <c r="L300" s="47" t="n"/>
    </row>
    <row r="301">
      <c r="A301" s="48" t="n"/>
      <c r="B301" s="47">
        <f>IF($A301="","",MIN(24,MAX(1,ROUNDUP(($A301-DayPlan!$C$2+1)/7,0))))</f>
        <v/>
      </c>
      <c r="C301" s="50" t="n"/>
      <c r="D301" s="47" t="n"/>
      <c r="E301" s="50" t="n"/>
      <c r="F301" s="50" t="n"/>
      <c r="G301" s="50" t="n"/>
      <c r="H301" s="50" t="n"/>
      <c r="I301" s="50" t="n"/>
      <c r="J301" s="48">
        <f>IF($A301="","",$A301+3)</f>
        <v/>
      </c>
      <c r="K301" s="47" t="n"/>
      <c r="L301" s="47" t="n"/>
    </row>
    <row r="302">
      <c r="A302" s="48" t="n"/>
      <c r="B302" s="47">
        <f>IF($A302="","",MIN(24,MAX(1,ROUNDUP(($A302-DayPlan!$C$2+1)/7,0))))</f>
        <v/>
      </c>
      <c r="C302" s="50" t="n"/>
      <c r="D302" s="47" t="n"/>
      <c r="E302" s="50" t="n"/>
      <c r="F302" s="50" t="n"/>
      <c r="G302" s="50" t="n"/>
      <c r="H302" s="50" t="n"/>
      <c r="I302" s="50" t="n"/>
      <c r="J302" s="48">
        <f>IF($A302="","",$A302+3)</f>
        <v/>
      </c>
      <c r="K302" s="47" t="n"/>
      <c r="L302" s="47" t="n"/>
    </row>
    <row r="303">
      <c r="A303" s="48" t="n"/>
      <c r="B303" s="47">
        <f>IF($A303="","",MIN(24,MAX(1,ROUNDUP(($A303-DayPlan!$C$2+1)/7,0))))</f>
        <v/>
      </c>
      <c r="C303" s="50" t="n"/>
      <c r="D303" s="47" t="n"/>
      <c r="E303" s="50" t="n"/>
      <c r="F303" s="50" t="n"/>
      <c r="G303" s="50" t="n"/>
      <c r="H303" s="50" t="n"/>
      <c r="I303" s="50" t="n"/>
      <c r="J303" s="48">
        <f>IF($A303="","",$A303+3)</f>
        <v/>
      </c>
      <c r="K303" s="47" t="n"/>
      <c r="L303" s="47" t="n"/>
    </row>
    <row r="304">
      <c r="A304" s="48" t="n"/>
      <c r="B304" s="47">
        <f>IF($A304="","",MIN(24,MAX(1,ROUNDUP(($A304-DayPlan!$C$2+1)/7,0))))</f>
        <v/>
      </c>
      <c r="C304" s="50" t="n"/>
      <c r="D304" s="47" t="n"/>
      <c r="E304" s="50" t="n"/>
      <c r="F304" s="50" t="n"/>
      <c r="G304" s="50" t="n"/>
      <c r="H304" s="50" t="n"/>
      <c r="I304" s="50" t="n"/>
      <c r="J304" s="48">
        <f>IF($A304="","",$A304+3)</f>
        <v/>
      </c>
      <c r="K304" s="47" t="n"/>
      <c r="L304" s="47" t="n"/>
    </row>
    <row r="305">
      <c r="A305" s="48" t="n"/>
      <c r="B305" s="47">
        <f>IF($A305="","",MIN(24,MAX(1,ROUNDUP(($A305-DayPlan!$C$2+1)/7,0))))</f>
        <v/>
      </c>
      <c r="C305" s="50" t="n"/>
      <c r="D305" s="47" t="n"/>
      <c r="E305" s="50" t="n"/>
      <c r="F305" s="50" t="n"/>
      <c r="G305" s="50" t="n"/>
      <c r="H305" s="50" t="n"/>
      <c r="I305" s="50" t="n"/>
      <c r="J305" s="48">
        <f>IF($A305="","",$A305+3)</f>
        <v/>
      </c>
      <c r="K305" s="47" t="n"/>
      <c r="L305" s="47" t="n"/>
    </row>
    <row r="306">
      <c r="A306" s="48" t="n"/>
      <c r="B306" s="47">
        <f>IF($A306="","",MIN(24,MAX(1,ROUNDUP(($A306-DayPlan!$C$2+1)/7,0))))</f>
        <v/>
      </c>
      <c r="C306" s="50" t="n"/>
      <c r="D306" s="47" t="n"/>
      <c r="E306" s="50" t="n"/>
      <c r="F306" s="50" t="n"/>
      <c r="G306" s="50" t="n"/>
      <c r="H306" s="50" t="n"/>
      <c r="I306" s="50" t="n"/>
      <c r="J306" s="48">
        <f>IF($A306="","",$A306+3)</f>
        <v/>
      </c>
      <c r="K306" s="47" t="n"/>
      <c r="L306" s="47" t="n"/>
    </row>
    <row r="307">
      <c r="A307" s="48" t="n"/>
      <c r="B307" s="47">
        <f>IF($A307="","",MIN(24,MAX(1,ROUNDUP(($A307-DayPlan!$C$2+1)/7,0))))</f>
        <v/>
      </c>
      <c r="C307" s="50" t="n"/>
      <c r="D307" s="47" t="n"/>
      <c r="E307" s="50" t="n"/>
      <c r="F307" s="50" t="n"/>
      <c r="G307" s="50" t="n"/>
      <c r="H307" s="50" t="n"/>
      <c r="I307" s="50" t="n"/>
      <c r="J307" s="48">
        <f>IF($A307="","",$A307+3)</f>
        <v/>
      </c>
      <c r="K307" s="47" t="n"/>
      <c r="L307" s="47" t="n"/>
    </row>
    <row r="308">
      <c r="A308" s="48" t="n"/>
      <c r="B308" s="47">
        <f>IF($A308="","",MIN(24,MAX(1,ROUNDUP(($A308-DayPlan!$C$2+1)/7,0))))</f>
        <v/>
      </c>
      <c r="C308" s="50" t="n"/>
      <c r="D308" s="47" t="n"/>
      <c r="E308" s="50" t="n"/>
      <c r="F308" s="50" t="n"/>
      <c r="G308" s="50" t="n"/>
      <c r="H308" s="50" t="n"/>
      <c r="I308" s="50" t="n"/>
      <c r="J308" s="48">
        <f>IF($A308="","",$A308+3)</f>
        <v/>
      </c>
      <c r="K308" s="47" t="n"/>
      <c r="L308" s="47" t="n"/>
    </row>
    <row r="309">
      <c r="A309" s="48" t="n"/>
      <c r="B309" s="47">
        <f>IF($A309="","",MIN(24,MAX(1,ROUNDUP(($A309-DayPlan!$C$2+1)/7,0))))</f>
        <v/>
      </c>
      <c r="C309" s="50" t="n"/>
      <c r="D309" s="47" t="n"/>
      <c r="E309" s="50" t="n"/>
      <c r="F309" s="50" t="n"/>
      <c r="G309" s="50" t="n"/>
      <c r="H309" s="50" t="n"/>
      <c r="I309" s="50" t="n"/>
      <c r="J309" s="48">
        <f>IF($A309="","",$A309+3)</f>
        <v/>
      </c>
      <c r="K309" s="47" t="n"/>
      <c r="L309" s="47" t="n"/>
    </row>
    <row r="310">
      <c r="A310" s="48" t="n"/>
      <c r="B310" s="47">
        <f>IF($A310="","",MIN(24,MAX(1,ROUNDUP(($A310-DayPlan!$C$2+1)/7,0))))</f>
        <v/>
      </c>
      <c r="C310" s="50" t="n"/>
      <c r="D310" s="47" t="n"/>
      <c r="E310" s="50" t="n"/>
      <c r="F310" s="50" t="n"/>
      <c r="G310" s="50" t="n"/>
      <c r="H310" s="50" t="n"/>
      <c r="I310" s="50" t="n"/>
      <c r="J310" s="48">
        <f>IF($A310="","",$A310+3)</f>
        <v/>
      </c>
      <c r="K310" s="47" t="n"/>
      <c r="L310" s="47" t="n"/>
    </row>
    <row r="311">
      <c r="A311" s="48" t="n"/>
      <c r="B311" s="47">
        <f>IF($A311="","",MIN(24,MAX(1,ROUNDUP(($A311-DayPlan!$C$2+1)/7,0))))</f>
        <v/>
      </c>
      <c r="C311" s="50" t="n"/>
      <c r="D311" s="47" t="n"/>
      <c r="E311" s="50" t="n"/>
      <c r="F311" s="50" t="n"/>
      <c r="G311" s="50" t="n"/>
      <c r="H311" s="50" t="n"/>
      <c r="I311" s="50" t="n"/>
      <c r="J311" s="48">
        <f>IF($A311="","",$A311+3)</f>
        <v/>
      </c>
      <c r="K311" s="47" t="n"/>
      <c r="L311" s="47" t="n"/>
    </row>
    <row r="312">
      <c r="A312" s="48" t="n"/>
      <c r="B312" s="47">
        <f>IF($A312="","",MIN(24,MAX(1,ROUNDUP(($A312-DayPlan!$C$2+1)/7,0))))</f>
        <v/>
      </c>
      <c r="C312" s="50" t="n"/>
      <c r="D312" s="47" t="n"/>
      <c r="E312" s="50" t="n"/>
      <c r="F312" s="50" t="n"/>
      <c r="G312" s="50" t="n"/>
      <c r="H312" s="50" t="n"/>
      <c r="I312" s="50" t="n"/>
      <c r="J312" s="48">
        <f>IF($A312="","",$A312+3)</f>
        <v/>
      </c>
      <c r="K312" s="47" t="n"/>
      <c r="L312" s="47" t="n"/>
    </row>
    <row r="313">
      <c r="A313" s="48" t="n"/>
      <c r="B313" s="47">
        <f>IF($A313="","",MIN(24,MAX(1,ROUNDUP(($A313-DayPlan!$C$2+1)/7,0))))</f>
        <v/>
      </c>
      <c r="C313" s="50" t="n"/>
      <c r="D313" s="47" t="n"/>
      <c r="E313" s="50" t="n"/>
      <c r="F313" s="50" t="n"/>
      <c r="G313" s="50" t="n"/>
      <c r="H313" s="50" t="n"/>
      <c r="I313" s="50" t="n"/>
      <c r="J313" s="48">
        <f>IF($A313="","",$A313+3)</f>
        <v/>
      </c>
      <c r="K313" s="47" t="n"/>
      <c r="L313" s="47" t="n"/>
    </row>
    <row r="314">
      <c r="A314" s="48" t="n"/>
      <c r="B314" s="47">
        <f>IF($A314="","",MIN(24,MAX(1,ROUNDUP(($A314-DayPlan!$C$2+1)/7,0))))</f>
        <v/>
      </c>
      <c r="C314" s="50" t="n"/>
      <c r="D314" s="47" t="n"/>
      <c r="E314" s="50" t="n"/>
      <c r="F314" s="50" t="n"/>
      <c r="G314" s="50" t="n"/>
      <c r="H314" s="50" t="n"/>
      <c r="I314" s="50" t="n"/>
      <c r="J314" s="48">
        <f>IF($A314="","",$A314+3)</f>
        <v/>
      </c>
      <c r="K314" s="47" t="n"/>
      <c r="L314" s="47" t="n"/>
    </row>
    <row r="315">
      <c r="A315" s="48" t="n"/>
      <c r="B315" s="47">
        <f>IF($A315="","",MIN(24,MAX(1,ROUNDUP(($A315-DayPlan!$C$2+1)/7,0))))</f>
        <v/>
      </c>
      <c r="C315" s="50" t="n"/>
      <c r="D315" s="47" t="n"/>
      <c r="E315" s="50" t="n"/>
      <c r="F315" s="50" t="n"/>
      <c r="G315" s="50" t="n"/>
      <c r="H315" s="50" t="n"/>
      <c r="I315" s="50" t="n"/>
      <c r="J315" s="48">
        <f>IF($A315="","",$A315+3)</f>
        <v/>
      </c>
      <c r="K315" s="47" t="n"/>
      <c r="L315" s="47" t="n"/>
    </row>
    <row r="316">
      <c r="A316" s="48" t="n"/>
      <c r="B316" s="47">
        <f>IF($A316="","",MIN(24,MAX(1,ROUNDUP(($A316-DayPlan!$C$2+1)/7,0))))</f>
        <v/>
      </c>
      <c r="C316" s="50" t="n"/>
      <c r="D316" s="47" t="n"/>
      <c r="E316" s="50" t="n"/>
      <c r="F316" s="50" t="n"/>
      <c r="G316" s="50" t="n"/>
      <c r="H316" s="50" t="n"/>
      <c r="I316" s="50" t="n"/>
      <c r="J316" s="48">
        <f>IF($A316="","",$A316+3)</f>
        <v/>
      </c>
      <c r="K316" s="47" t="n"/>
      <c r="L316" s="47" t="n"/>
    </row>
    <row r="317">
      <c r="A317" s="48" t="n"/>
      <c r="B317" s="47">
        <f>IF($A317="","",MIN(24,MAX(1,ROUNDUP(($A317-DayPlan!$C$2+1)/7,0))))</f>
        <v/>
      </c>
      <c r="C317" s="50" t="n"/>
      <c r="D317" s="47" t="n"/>
      <c r="E317" s="50" t="n"/>
      <c r="F317" s="50" t="n"/>
      <c r="G317" s="50" t="n"/>
      <c r="H317" s="50" t="n"/>
      <c r="I317" s="50" t="n"/>
      <c r="J317" s="48">
        <f>IF($A317="","",$A317+3)</f>
        <v/>
      </c>
      <c r="K317" s="47" t="n"/>
      <c r="L317" s="47" t="n"/>
    </row>
    <row r="318">
      <c r="A318" s="48" t="n"/>
      <c r="B318" s="47">
        <f>IF($A318="","",MIN(24,MAX(1,ROUNDUP(($A318-DayPlan!$C$2+1)/7,0))))</f>
        <v/>
      </c>
      <c r="C318" s="50" t="n"/>
      <c r="D318" s="47" t="n"/>
      <c r="E318" s="50" t="n"/>
      <c r="F318" s="50" t="n"/>
      <c r="G318" s="50" t="n"/>
      <c r="H318" s="50" t="n"/>
      <c r="I318" s="50" t="n"/>
      <c r="J318" s="48">
        <f>IF($A318="","",$A318+3)</f>
        <v/>
      </c>
      <c r="K318" s="47" t="n"/>
      <c r="L318" s="47" t="n"/>
    </row>
    <row r="319">
      <c r="A319" s="48" t="n"/>
      <c r="B319" s="47">
        <f>IF($A319="","",MIN(24,MAX(1,ROUNDUP(($A319-DayPlan!$C$2+1)/7,0))))</f>
        <v/>
      </c>
      <c r="C319" s="50" t="n"/>
      <c r="D319" s="47" t="n"/>
      <c r="E319" s="50" t="n"/>
      <c r="F319" s="50" t="n"/>
      <c r="G319" s="50" t="n"/>
      <c r="H319" s="50" t="n"/>
      <c r="I319" s="50" t="n"/>
      <c r="J319" s="48">
        <f>IF($A319="","",$A319+3)</f>
        <v/>
      </c>
      <c r="K319" s="47" t="n"/>
      <c r="L319" s="47" t="n"/>
    </row>
    <row r="320">
      <c r="A320" s="48" t="n"/>
      <c r="B320" s="47">
        <f>IF($A320="","",MIN(24,MAX(1,ROUNDUP(($A320-DayPlan!$C$2+1)/7,0))))</f>
        <v/>
      </c>
      <c r="C320" s="50" t="n"/>
      <c r="D320" s="47" t="n"/>
      <c r="E320" s="50" t="n"/>
      <c r="F320" s="50" t="n"/>
      <c r="G320" s="50" t="n"/>
      <c r="H320" s="50" t="n"/>
      <c r="I320" s="50" t="n"/>
      <c r="J320" s="48">
        <f>IF($A320="","",$A320+3)</f>
        <v/>
      </c>
      <c r="K320" s="47" t="n"/>
      <c r="L320" s="47" t="n"/>
    </row>
    <row r="321">
      <c r="A321" s="48" t="n"/>
      <c r="B321" s="47">
        <f>IF($A321="","",MIN(24,MAX(1,ROUNDUP(($A321-DayPlan!$C$2+1)/7,0))))</f>
        <v/>
      </c>
      <c r="C321" s="50" t="n"/>
      <c r="D321" s="47" t="n"/>
      <c r="E321" s="50" t="n"/>
      <c r="F321" s="50" t="n"/>
      <c r="G321" s="50" t="n"/>
      <c r="H321" s="50" t="n"/>
      <c r="I321" s="50" t="n"/>
      <c r="J321" s="48">
        <f>IF($A321="","",$A321+3)</f>
        <v/>
      </c>
      <c r="K321" s="47" t="n"/>
      <c r="L321" s="47" t="n"/>
    </row>
    <row r="322">
      <c r="A322" s="48" t="n"/>
      <c r="B322" s="47">
        <f>IF($A322="","",MIN(24,MAX(1,ROUNDUP(($A322-DayPlan!$C$2+1)/7,0))))</f>
        <v/>
      </c>
      <c r="C322" s="50" t="n"/>
      <c r="D322" s="47" t="n"/>
      <c r="E322" s="50" t="n"/>
      <c r="F322" s="50" t="n"/>
      <c r="G322" s="50" t="n"/>
      <c r="H322" s="50" t="n"/>
      <c r="I322" s="50" t="n"/>
      <c r="J322" s="48">
        <f>IF($A322="","",$A322+3)</f>
        <v/>
      </c>
      <c r="K322" s="47" t="n"/>
      <c r="L322" s="47" t="n"/>
    </row>
    <row r="323">
      <c r="A323" s="48" t="n"/>
      <c r="B323" s="47">
        <f>IF($A323="","",MIN(24,MAX(1,ROUNDUP(($A323-DayPlan!$C$2+1)/7,0))))</f>
        <v/>
      </c>
      <c r="C323" s="50" t="n"/>
      <c r="D323" s="47" t="n"/>
      <c r="E323" s="50" t="n"/>
      <c r="F323" s="50" t="n"/>
      <c r="G323" s="50" t="n"/>
      <c r="H323" s="50" t="n"/>
      <c r="I323" s="50" t="n"/>
      <c r="J323" s="48">
        <f>IF($A323="","",$A323+3)</f>
        <v/>
      </c>
      <c r="K323" s="47" t="n"/>
      <c r="L323" s="47" t="n"/>
    </row>
    <row r="324">
      <c r="A324" s="48" t="n"/>
      <c r="B324" s="47">
        <f>IF($A324="","",MIN(24,MAX(1,ROUNDUP(($A324-DayPlan!$C$2+1)/7,0))))</f>
        <v/>
      </c>
      <c r="C324" s="50" t="n"/>
      <c r="D324" s="47" t="n"/>
      <c r="E324" s="50" t="n"/>
      <c r="F324" s="50" t="n"/>
      <c r="G324" s="50" t="n"/>
      <c r="H324" s="50" t="n"/>
      <c r="I324" s="50" t="n"/>
      <c r="J324" s="48">
        <f>IF($A324="","",$A324+3)</f>
        <v/>
      </c>
      <c r="K324" s="47" t="n"/>
      <c r="L324" s="47" t="n"/>
    </row>
    <row r="325">
      <c r="A325" s="48" t="n"/>
      <c r="B325" s="47">
        <f>IF($A325="","",MIN(24,MAX(1,ROUNDUP(($A325-DayPlan!$C$2+1)/7,0))))</f>
        <v/>
      </c>
      <c r="C325" s="50" t="n"/>
      <c r="D325" s="47" t="n"/>
      <c r="E325" s="50" t="n"/>
      <c r="F325" s="50" t="n"/>
      <c r="G325" s="50" t="n"/>
      <c r="H325" s="50" t="n"/>
      <c r="I325" s="50" t="n"/>
      <c r="J325" s="48">
        <f>IF($A325="","",$A325+3)</f>
        <v/>
      </c>
      <c r="K325" s="47" t="n"/>
      <c r="L325" s="47" t="n"/>
    </row>
    <row r="326">
      <c r="A326" s="48" t="n"/>
      <c r="B326" s="47">
        <f>IF($A326="","",MIN(24,MAX(1,ROUNDUP(($A326-DayPlan!$C$2+1)/7,0))))</f>
        <v/>
      </c>
      <c r="C326" s="50" t="n"/>
      <c r="D326" s="47" t="n"/>
      <c r="E326" s="50" t="n"/>
      <c r="F326" s="50" t="n"/>
      <c r="G326" s="50" t="n"/>
      <c r="H326" s="50" t="n"/>
      <c r="I326" s="50" t="n"/>
      <c r="J326" s="48">
        <f>IF($A326="","",$A326+3)</f>
        <v/>
      </c>
      <c r="K326" s="47" t="n"/>
      <c r="L326" s="47" t="n"/>
    </row>
    <row r="327">
      <c r="A327" s="48" t="n"/>
      <c r="B327" s="47">
        <f>IF($A327="","",MIN(24,MAX(1,ROUNDUP(($A327-DayPlan!$C$2+1)/7,0))))</f>
        <v/>
      </c>
      <c r="C327" s="50" t="n"/>
      <c r="D327" s="47" t="n"/>
      <c r="E327" s="50" t="n"/>
      <c r="F327" s="50" t="n"/>
      <c r="G327" s="50" t="n"/>
      <c r="H327" s="50" t="n"/>
      <c r="I327" s="50" t="n"/>
      <c r="J327" s="48">
        <f>IF($A327="","",$A327+3)</f>
        <v/>
      </c>
      <c r="K327" s="47" t="n"/>
      <c r="L327" s="47" t="n"/>
    </row>
    <row r="328">
      <c r="A328" s="48" t="n"/>
      <c r="B328" s="47">
        <f>IF($A328="","",MIN(24,MAX(1,ROUNDUP(($A328-DayPlan!$C$2+1)/7,0))))</f>
        <v/>
      </c>
      <c r="C328" s="50" t="n"/>
      <c r="D328" s="47" t="n"/>
      <c r="E328" s="50" t="n"/>
      <c r="F328" s="50" t="n"/>
      <c r="G328" s="50" t="n"/>
      <c r="H328" s="50" t="n"/>
      <c r="I328" s="50" t="n"/>
      <c r="J328" s="48">
        <f>IF($A328="","",$A328+3)</f>
        <v/>
      </c>
      <c r="K328" s="47" t="n"/>
      <c r="L328" s="47" t="n"/>
    </row>
    <row r="329">
      <c r="A329" s="48" t="n"/>
      <c r="B329" s="47">
        <f>IF($A329="","",MIN(24,MAX(1,ROUNDUP(($A329-DayPlan!$C$2+1)/7,0))))</f>
        <v/>
      </c>
      <c r="C329" s="50" t="n"/>
      <c r="D329" s="47" t="n"/>
      <c r="E329" s="50" t="n"/>
      <c r="F329" s="50" t="n"/>
      <c r="G329" s="50" t="n"/>
      <c r="H329" s="50" t="n"/>
      <c r="I329" s="50" t="n"/>
      <c r="J329" s="48">
        <f>IF($A329="","",$A329+3)</f>
        <v/>
      </c>
      <c r="K329" s="47" t="n"/>
      <c r="L329" s="47" t="n"/>
    </row>
    <row r="330">
      <c r="A330" s="48" t="n"/>
      <c r="B330" s="47">
        <f>IF($A330="","",MIN(24,MAX(1,ROUNDUP(($A330-DayPlan!$C$2+1)/7,0))))</f>
        <v/>
      </c>
      <c r="C330" s="50" t="n"/>
      <c r="D330" s="47" t="n"/>
      <c r="E330" s="50" t="n"/>
      <c r="F330" s="50" t="n"/>
      <c r="G330" s="50" t="n"/>
      <c r="H330" s="50" t="n"/>
      <c r="I330" s="50" t="n"/>
      <c r="J330" s="48">
        <f>IF($A330="","",$A330+3)</f>
        <v/>
      </c>
      <c r="K330" s="47" t="n"/>
      <c r="L330" s="47" t="n"/>
    </row>
    <row r="331">
      <c r="A331" s="48" t="n"/>
      <c r="B331" s="47">
        <f>IF($A331="","",MIN(24,MAX(1,ROUNDUP(($A331-DayPlan!$C$2+1)/7,0))))</f>
        <v/>
      </c>
      <c r="C331" s="50" t="n"/>
      <c r="D331" s="47" t="n"/>
      <c r="E331" s="50" t="n"/>
      <c r="F331" s="50" t="n"/>
      <c r="G331" s="50" t="n"/>
      <c r="H331" s="50" t="n"/>
      <c r="I331" s="50" t="n"/>
      <c r="J331" s="48">
        <f>IF($A331="","",$A331+3)</f>
        <v/>
      </c>
      <c r="K331" s="47" t="n"/>
      <c r="L331" s="47" t="n"/>
    </row>
    <row r="332">
      <c r="A332" s="48" t="n"/>
      <c r="B332" s="47">
        <f>IF($A332="","",MIN(24,MAX(1,ROUNDUP(($A332-DayPlan!$C$2+1)/7,0))))</f>
        <v/>
      </c>
      <c r="C332" s="50" t="n"/>
      <c r="D332" s="47" t="n"/>
      <c r="E332" s="50" t="n"/>
      <c r="F332" s="50" t="n"/>
      <c r="G332" s="50" t="n"/>
      <c r="H332" s="50" t="n"/>
      <c r="I332" s="50" t="n"/>
      <c r="J332" s="48">
        <f>IF($A332="","",$A332+3)</f>
        <v/>
      </c>
      <c r="K332" s="47" t="n"/>
      <c r="L332" s="47" t="n"/>
    </row>
    <row r="333">
      <c r="A333" s="48" t="n"/>
      <c r="B333" s="47">
        <f>IF($A333="","",MIN(24,MAX(1,ROUNDUP(($A333-DayPlan!$C$2+1)/7,0))))</f>
        <v/>
      </c>
      <c r="C333" s="50" t="n"/>
      <c r="D333" s="47" t="n"/>
      <c r="E333" s="50" t="n"/>
      <c r="F333" s="50" t="n"/>
      <c r="G333" s="50" t="n"/>
      <c r="H333" s="50" t="n"/>
      <c r="I333" s="50" t="n"/>
      <c r="J333" s="48">
        <f>IF($A333="","",$A333+3)</f>
        <v/>
      </c>
      <c r="K333" s="47" t="n"/>
      <c r="L333" s="47" t="n"/>
    </row>
    <row r="334">
      <c r="A334" s="48" t="n"/>
      <c r="B334" s="47">
        <f>IF($A334="","",MIN(24,MAX(1,ROUNDUP(($A334-DayPlan!$C$2+1)/7,0))))</f>
        <v/>
      </c>
      <c r="C334" s="50" t="n"/>
      <c r="D334" s="47" t="n"/>
      <c r="E334" s="50" t="n"/>
      <c r="F334" s="50" t="n"/>
      <c r="G334" s="50" t="n"/>
      <c r="H334" s="50" t="n"/>
      <c r="I334" s="50" t="n"/>
      <c r="J334" s="48">
        <f>IF($A334="","",$A334+3)</f>
        <v/>
      </c>
      <c r="K334" s="47" t="n"/>
      <c r="L334" s="47" t="n"/>
    </row>
    <row r="335">
      <c r="A335" s="48" t="n"/>
      <c r="B335" s="47">
        <f>IF($A335="","",MIN(24,MAX(1,ROUNDUP(($A335-DayPlan!$C$2+1)/7,0))))</f>
        <v/>
      </c>
      <c r="C335" s="50" t="n"/>
      <c r="D335" s="47" t="n"/>
      <c r="E335" s="50" t="n"/>
      <c r="F335" s="50" t="n"/>
      <c r="G335" s="50" t="n"/>
      <c r="H335" s="50" t="n"/>
      <c r="I335" s="50" t="n"/>
      <c r="J335" s="48">
        <f>IF($A335="","",$A335+3)</f>
        <v/>
      </c>
      <c r="K335" s="47" t="n"/>
      <c r="L335" s="47" t="n"/>
    </row>
    <row r="336">
      <c r="A336" s="48" t="n"/>
      <c r="B336" s="47">
        <f>IF($A336="","",MIN(24,MAX(1,ROUNDUP(($A336-DayPlan!$C$2+1)/7,0))))</f>
        <v/>
      </c>
      <c r="C336" s="50" t="n"/>
      <c r="D336" s="47" t="n"/>
      <c r="E336" s="50" t="n"/>
      <c r="F336" s="50" t="n"/>
      <c r="G336" s="50" t="n"/>
      <c r="H336" s="50" t="n"/>
      <c r="I336" s="50" t="n"/>
      <c r="J336" s="48">
        <f>IF($A336="","",$A336+3)</f>
        <v/>
      </c>
      <c r="K336" s="47" t="n"/>
      <c r="L336" s="47" t="n"/>
    </row>
    <row r="337">
      <c r="A337" s="48" t="n"/>
      <c r="B337" s="47">
        <f>IF($A337="","",MIN(24,MAX(1,ROUNDUP(($A337-DayPlan!$C$2+1)/7,0))))</f>
        <v/>
      </c>
      <c r="C337" s="50" t="n"/>
      <c r="D337" s="47" t="n"/>
      <c r="E337" s="50" t="n"/>
      <c r="F337" s="50" t="n"/>
      <c r="G337" s="50" t="n"/>
      <c r="H337" s="50" t="n"/>
      <c r="I337" s="50" t="n"/>
      <c r="J337" s="48">
        <f>IF($A337="","",$A337+3)</f>
        <v/>
      </c>
      <c r="K337" s="47" t="n"/>
      <c r="L337" s="47" t="n"/>
    </row>
    <row r="338">
      <c r="A338" s="48" t="n"/>
      <c r="B338" s="47">
        <f>IF($A338="","",MIN(24,MAX(1,ROUNDUP(($A338-DayPlan!$C$2+1)/7,0))))</f>
        <v/>
      </c>
      <c r="C338" s="50" t="n"/>
      <c r="D338" s="47" t="n"/>
      <c r="E338" s="50" t="n"/>
      <c r="F338" s="50" t="n"/>
      <c r="G338" s="50" t="n"/>
      <c r="H338" s="50" t="n"/>
      <c r="I338" s="50" t="n"/>
      <c r="J338" s="48">
        <f>IF($A338="","",$A338+3)</f>
        <v/>
      </c>
      <c r="K338" s="47" t="n"/>
      <c r="L338" s="47" t="n"/>
    </row>
    <row r="339">
      <c r="A339" s="48" t="n"/>
      <c r="B339" s="47">
        <f>IF($A339="","",MIN(24,MAX(1,ROUNDUP(($A339-DayPlan!$C$2+1)/7,0))))</f>
        <v/>
      </c>
      <c r="C339" s="50" t="n"/>
      <c r="D339" s="47" t="n"/>
      <c r="E339" s="50" t="n"/>
      <c r="F339" s="50" t="n"/>
      <c r="G339" s="50" t="n"/>
      <c r="H339" s="50" t="n"/>
      <c r="I339" s="50" t="n"/>
      <c r="J339" s="48">
        <f>IF($A339="","",$A339+3)</f>
        <v/>
      </c>
      <c r="K339" s="47" t="n"/>
      <c r="L339" s="47" t="n"/>
    </row>
    <row r="340">
      <c r="A340" s="48" t="n"/>
      <c r="B340" s="47">
        <f>IF($A340="","",MIN(24,MAX(1,ROUNDUP(($A340-DayPlan!$C$2+1)/7,0))))</f>
        <v/>
      </c>
      <c r="C340" s="50" t="n"/>
      <c r="D340" s="47" t="n"/>
      <c r="E340" s="50" t="n"/>
      <c r="F340" s="50" t="n"/>
      <c r="G340" s="50" t="n"/>
      <c r="H340" s="50" t="n"/>
      <c r="I340" s="50" t="n"/>
      <c r="J340" s="48">
        <f>IF($A340="","",$A340+3)</f>
        <v/>
      </c>
      <c r="K340" s="47" t="n"/>
      <c r="L340" s="47" t="n"/>
    </row>
    <row r="341">
      <c r="A341" s="48" t="n"/>
      <c r="B341" s="47">
        <f>IF($A341="","",MIN(24,MAX(1,ROUNDUP(($A341-DayPlan!$C$2+1)/7,0))))</f>
        <v/>
      </c>
      <c r="C341" s="50" t="n"/>
      <c r="D341" s="47" t="n"/>
      <c r="E341" s="50" t="n"/>
      <c r="F341" s="50" t="n"/>
      <c r="G341" s="50" t="n"/>
      <c r="H341" s="50" t="n"/>
      <c r="I341" s="50" t="n"/>
      <c r="J341" s="48">
        <f>IF($A341="","",$A341+3)</f>
        <v/>
      </c>
      <c r="K341" s="47" t="n"/>
      <c r="L341" s="47" t="n"/>
    </row>
    <row r="342">
      <c r="A342" s="48" t="n"/>
      <c r="B342" s="47">
        <f>IF($A342="","",MIN(24,MAX(1,ROUNDUP(($A342-DayPlan!$C$2+1)/7,0))))</f>
        <v/>
      </c>
      <c r="C342" s="50" t="n"/>
      <c r="D342" s="47" t="n"/>
      <c r="E342" s="50" t="n"/>
      <c r="F342" s="50" t="n"/>
      <c r="G342" s="50" t="n"/>
      <c r="H342" s="50" t="n"/>
      <c r="I342" s="50" t="n"/>
      <c r="J342" s="48">
        <f>IF($A342="","",$A342+3)</f>
        <v/>
      </c>
      <c r="K342" s="47" t="n"/>
      <c r="L342" s="47" t="n"/>
    </row>
    <row r="343">
      <c r="A343" s="48" t="n"/>
      <c r="B343" s="47">
        <f>IF($A343="","",MIN(24,MAX(1,ROUNDUP(($A343-DayPlan!$C$2+1)/7,0))))</f>
        <v/>
      </c>
      <c r="C343" s="50" t="n"/>
      <c r="D343" s="47" t="n"/>
      <c r="E343" s="50" t="n"/>
      <c r="F343" s="50" t="n"/>
      <c r="G343" s="50" t="n"/>
      <c r="H343" s="50" t="n"/>
      <c r="I343" s="50" t="n"/>
      <c r="J343" s="48">
        <f>IF($A343="","",$A343+3)</f>
        <v/>
      </c>
      <c r="K343" s="47" t="n"/>
      <c r="L343" s="47" t="n"/>
    </row>
    <row r="344">
      <c r="A344" s="48" t="n"/>
      <c r="B344" s="47">
        <f>IF($A344="","",MIN(24,MAX(1,ROUNDUP(($A344-DayPlan!$C$2+1)/7,0))))</f>
        <v/>
      </c>
      <c r="C344" s="50" t="n"/>
      <c r="D344" s="47" t="n"/>
      <c r="E344" s="50" t="n"/>
      <c r="F344" s="50" t="n"/>
      <c r="G344" s="50" t="n"/>
      <c r="H344" s="50" t="n"/>
      <c r="I344" s="50" t="n"/>
      <c r="J344" s="48">
        <f>IF($A344="","",$A344+3)</f>
        <v/>
      </c>
      <c r="K344" s="47" t="n"/>
      <c r="L344" s="47" t="n"/>
    </row>
    <row r="345">
      <c r="A345" s="48" t="n"/>
      <c r="B345" s="47">
        <f>IF($A345="","",MIN(24,MAX(1,ROUNDUP(($A345-DayPlan!$C$2+1)/7,0))))</f>
        <v/>
      </c>
      <c r="C345" s="50" t="n"/>
      <c r="D345" s="47" t="n"/>
      <c r="E345" s="50" t="n"/>
      <c r="F345" s="50" t="n"/>
      <c r="G345" s="50" t="n"/>
      <c r="H345" s="50" t="n"/>
      <c r="I345" s="50" t="n"/>
      <c r="J345" s="48">
        <f>IF($A345="","",$A345+3)</f>
        <v/>
      </c>
      <c r="K345" s="47" t="n"/>
      <c r="L345" s="47" t="n"/>
    </row>
    <row r="346">
      <c r="A346" s="48" t="n"/>
      <c r="B346" s="47">
        <f>IF($A346="","",MIN(24,MAX(1,ROUNDUP(($A346-DayPlan!$C$2+1)/7,0))))</f>
        <v/>
      </c>
      <c r="C346" s="50" t="n"/>
      <c r="D346" s="47" t="n"/>
      <c r="E346" s="50" t="n"/>
      <c r="F346" s="50" t="n"/>
      <c r="G346" s="50" t="n"/>
      <c r="H346" s="50" t="n"/>
      <c r="I346" s="50" t="n"/>
      <c r="J346" s="48">
        <f>IF($A346="","",$A346+3)</f>
        <v/>
      </c>
      <c r="K346" s="47" t="n"/>
      <c r="L346" s="47" t="n"/>
    </row>
    <row r="347">
      <c r="A347" s="48" t="n"/>
      <c r="B347" s="47">
        <f>IF($A347="","",MIN(24,MAX(1,ROUNDUP(($A347-DayPlan!$C$2+1)/7,0))))</f>
        <v/>
      </c>
      <c r="C347" s="50" t="n"/>
      <c r="D347" s="47" t="n"/>
      <c r="E347" s="50" t="n"/>
      <c r="F347" s="50" t="n"/>
      <c r="G347" s="50" t="n"/>
      <c r="H347" s="50" t="n"/>
      <c r="I347" s="50" t="n"/>
      <c r="J347" s="48">
        <f>IF($A347="","",$A347+3)</f>
        <v/>
      </c>
      <c r="K347" s="47" t="n"/>
      <c r="L347" s="47" t="n"/>
    </row>
    <row r="348">
      <c r="A348" s="48" t="n"/>
      <c r="B348" s="47">
        <f>IF($A348="","",MIN(24,MAX(1,ROUNDUP(($A348-DayPlan!$C$2+1)/7,0))))</f>
        <v/>
      </c>
      <c r="C348" s="50" t="n"/>
      <c r="D348" s="47" t="n"/>
      <c r="E348" s="50" t="n"/>
      <c r="F348" s="50" t="n"/>
      <c r="G348" s="50" t="n"/>
      <c r="H348" s="50" t="n"/>
      <c r="I348" s="50" t="n"/>
      <c r="J348" s="48">
        <f>IF($A348="","",$A348+3)</f>
        <v/>
      </c>
      <c r="K348" s="47" t="n"/>
      <c r="L348" s="47" t="n"/>
    </row>
    <row r="349">
      <c r="A349" s="48" t="n"/>
      <c r="B349" s="47">
        <f>IF($A349="","",MIN(24,MAX(1,ROUNDUP(($A349-DayPlan!$C$2+1)/7,0))))</f>
        <v/>
      </c>
      <c r="C349" s="50" t="n"/>
      <c r="D349" s="47" t="n"/>
      <c r="E349" s="50" t="n"/>
      <c r="F349" s="50" t="n"/>
      <c r="G349" s="50" t="n"/>
      <c r="H349" s="50" t="n"/>
      <c r="I349" s="50" t="n"/>
      <c r="J349" s="48">
        <f>IF($A349="","",$A349+3)</f>
        <v/>
      </c>
      <c r="K349" s="47" t="n"/>
      <c r="L349" s="47" t="n"/>
    </row>
    <row r="350">
      <c r="A350" s="48" t="n"/>
      <c r="B350" s="47">
        <f>IF($A350="","",MIN(24,MAX(1,ROUNDUP(($A350-DayPlan!$C$2+1)/7,0))))</f>
        <v/>
      </c>
      <c r="C350" s="50" t="n"/>
      <c r="D350" s="47" t="n"/>
      <c r="E350" s="50" t="n"/>
      <c r="F350" s="50" t="n"/>
      <c r="G350" s="50" t="n"/>
      <c r="H350" s="50" t="n"/>
      <c r="I350" s="50" t="n"/>
      <c r="J350" s="48">
        <f>IF($A350="","",$A350+3)</f>
        <v/>
      </c>
      <c r="K350" s="47" t="n"/>
      <c r="L350" s="47" t="n"/>
    </row>
    <row r="351">
      <c r="A351" s="48" t="n"/>
      <c r="B351" s="47">
        <f>IF($A351="","",MIN(24,MAX(1,ROUNDUP(($A351-DayPlan!$C$2+1)/7,0))))</f>
        <v/>
      </c>
      <c r="C351" s="50" t="n"/>
      <c r="D351" s="47" t="n"/>
      <c r="E351" s="50" t="n"/>
      <c r="F351" s="50" t="n"/>
      <c r="G351" s="50" t="n"/>
      <c r="H351" s="50" t="n"/>
      <c r="I351" s="50" t="n"/>
      <c r="J351" s="48">
        <f>IF($A351="","",$A351+3)</f>
        <v/>
      </c>
      <c r="K351" s="47" t="n"/>
      <c r="L351" s="47" t="n"/>
    </row>
    <row r="352">
      <c r="A352" s="48" t="n"/>
      <c r="B352" s="47">
        <f>IF($A352="","",MIN(24,MAX(1,ROUNDUP(($A352-DayPlan!$C$2+1)/7,0))))</f>
        <v/>
      </c>
      <c r="C352" s="50" t="n"/>
      <c r="D352" s="47" t="n"/>
      <c r="E352" s="50" t="n"/>
      <c r="F352" s="50" t="n"/>
      <c r="G352" s="50" t="n"/>
      <c r="H352" s="50" t="n"/>
      <c r="I352" s="50" t="n"/>
      <c r="J352" s="48">
        <f>IF($A352="","",$A352+3)</f>
        <v/>
      </c>
      <c r="K352" s="47" t="n"/>
      <c r="L352" s="47" t="n"/>
    </row>
    <row r="353">
      <c r="A353" s="48" t="n"/>
      <c r="B353" s="47">
        <f>IF($A353="","",MIN(24,MAX(1,ROUNDUP(($A353-DayPlan!$C$2+1)/7,0))))</f>
        <v/>
      </c>
      <c r="C353" s="50" t="n"/>
      <c r="D353" s="47" t="n"/>
      <c r="E353" s="50" t="n"/>
      <c r="F353" s="50" t="n"/>
      <c r="G353" s="50" t="n"/>
      <c r="H353" s="50" t="n"/>
      <c r="I353" s="50" t="n"/>
      <c r="J353" s="48">
        <f>IF($A353="","",$A353+3)</f>
        <v/>
      </c>
      <c r="K353" s="47" t="n"/>
      <c r="L353" s="47" t="n"/>
    </row>
    <row r="354">
      <c r="A354" s="48" t="n"/>
      <c r="B354" s="47">
        <f>IF($A354="","",MIN(24,MAX(1,ROUNDUP(($A354-DayPlan!$C$2+1)/7,0))))</f>
        <v/>
      </c>
      <c r="C354" s="50" t="n"/>
      <c r="D354" s="47" t="n"/>
      <c r="E354" s="50" t="n"/>
      <c r="F354" s="50" t="n"/>
      <c r="G354" s="50" t="n"/>
      <c r="H354" s="50" t="n"/>
      <c r="I354" s="50" t="n"/>
      <c r="J354" s="48">
        <f>IF($A354="","",$A354+3)</f>
        <v/>
      </c>
      <c r="K354" s="47" t="n"/>
      <c r="L354" s="47" t="n"/>
    </row>
    <row r="355">
      <c r="A355" s="48" t="n"/>
      <c r="B355" s="47">
        <f>IF($A355="","",MIN(24,MAX(1,ROUNDUP(($A355-DayPlan!$C$2+1)/7,0))))</f>
        <v/>
      </c>
      <c r="C355" s="50" t="n"/>
      <c r="D355" s="47" t="n"/>
      <c r="E355" s="50" t="n"/>
      <c r="F355" s="50" t="n"/>
      <c r="G355" s="50" t="n"/>
      <c r="H355" s="50" t="n"/>
      <c r="I355" s="50" t="n"/>
      <c r="J355" s="48">
        <f>IF($A355="","",$A355+3)</f>
        <v/>
      </c>
      <c r="K355" s="47" t="n"/>
      <c r="L355" s="47" t="n"/>
    </row>
    <row r="356">
      <c r="A356" s="48" t="n"/>
      <c r="B356" s="47">
        <f>IF($A356="","",MIN(24,MAX(1,ROUNDUP(($A356-DayPlan!$C$2+1)/7,0))))</f>
        <v/>
      </c>
      <c r="C356" s="50" t="n"/>
      <c r="D356" s="47" t="n"/>
      <c r="E356" s="50" t="n"/>
      <c r="F356" s="50" t="n"/>
      <c r="G356" s="50" t="n"/>
      <c r="H356" s="50" t="n"/>
      <c r="I356" s="50" t="n"/>
      <c r="J356" s="48">
        <f>IF($A356="","",$A356+3)</f>
        <v/>
      </c>
      <c r="K356" s="47" t="n"/>
      <c r="L356" s="47" t="n"/>
    </row>
    <row r="357">
      <c r="A357" s="48" t="n"/>
      <c r="B357" s="47">
        <f>IF($A357="","",MIN(24,MAX(1,ROUNDUP(($A357-DayPlan!$C$2+1)/7,0))))</f>
        <v/>
      </c>
      <c r="C357" s="50" t="n"/>
      <c r="D357" s="47" t="n"/>
      <c r="E357" s="50" t="n"/>
      <c r="F357" s="50" t="n"/>
      <c r="G357" s="50" t="n"/>
      <c r="H357" s="50" t="n"/>
      <c r="I357" s="50" t="n"/>
      <c r="J357" s="48">
        <f>IF($A357="","",$A357+3)</f>
        <v/>
      </c>
      <c r="K357" s="47" t="n"/>
      <c r="L357" s="47" t="n"/>
    </row>
    <row r="358">
      <c r="A358" s="48" t="n"/>
      <c r="B358" s="47">
        <f>IF($A358="","",MIN(24,MAX(1,ROUNDUP(($A358-DayPlan!$C$2+1)/7,0))))</f>
        <v/>
      </c>
      <c r="C358" s="50" t="n"/>
      <c r="D358" s="47" t="n"/>
      <c r="E358" s="50" t="n"/>
      <c r="F358" s="50" t="n"/>
      <c r="G358" s="50" t="n"/>
      <c r="H358" s="50" t="n"/>
      <c r="I358" s="50" t="n"/>
      <c r="J358" s="48">
        <f>IF($A358="","",$A358+3)</f>
        <v/>
      </c>
      <c r="K358" s="47" t="n"/>
      <c r="L358" s="47" t="n"/>
    </row>
    <row r="359">
      <c r="A359" s="48" t="n"/>
      <c r="B359" s="47">
        <f>IF($A359="","",MIN(24,MAX(1,ROUNDUP(($A359-DayPlan!$C$2+1)/7,0))))</f>
        <v/>
      </c>
      <c r="C359" s="50" t="n"/>
      <c r="D359" s="47" t="n"/>
      <c r="E359" s="50" t="n"/>
      <c r="F359" s="50" t="n"/>
      <c r="G359" s="50" t="n"/>
      <c r="H359" s="50" t="n"/>
      <c r="I359" s="50" t="n"/>
      <c r="J359" s="48">
        <f>IF($A359="","",$A359+3)</f>
        <v/>
      </c>
      <c r="K359" s="47" t="n"/>
      <c r="L359" s="47" t="n"/>
    </row>
    <row r="360">
      <c r="A360" s="48" t="n"/>
      <c r="B360" s="47">
        <f>IF($A360="","",MIN(24,MAX(1,ROUNDUP(($A360-DayPlan!$C$2+1)/7,0))))</f>
        <v/>
      </c>
      <c r="C360" s="50" t="n"/>
      <c r="D360" s="47" t="n"/>
      <c r="E360" s="50" t="n"/>
      <c r="F360" s="50" t="n"/>
      <c r="G360" s="50" t="n"/>
      <c r="H360" s="50" t="n"/>
      <c r="I360" s="50" t="n"/>
      <c r="J360" s="48">
        <f>IF($A360="","",$A360+3)</f>
        <v/>
      </c>
      <c r="K360" s="47" t="n"/>
      <c r="L360" s="47" t="n"/>
    </row>
    <row r="361">
      <c r="A361" s="48" t="n"/>
      <c r="B361" s="47">
        <f>IF($A361="","",MIN(24,MAX(1,ROUNDUP(($A361-DayPlan!$C$2+1)/7,0))))</f>
        <v/>
      </c>
      <c r="C361" s="50" t="n"/>
      <c r="D361" s="47" t="n"/>
      <c r="E361" s="50" t="n"/>
      <c r="F361" s="50" t="n"/>
      <c r="G361" s="50" t="n"/>
      <c r="H361" s="50" t="n"/>
      <c r="I361" s="50" t="n"/>
      <c r="J361" s="48">
        <f>IF($A361="","",$A361+3)</f>
        <v/>
      </c>
      <c r="K361" s="47" t="n"/>
      <c r="L361" s="47" t="n"/>
    </row>
    <row r="362">
      <c r="A362" s="48" t="n"/>
      <c r="B362" s="47">
        <f>IF($A362="","",MIN(24,MAX(1,ROUNDUP(($A362-DayPlan!$C$2+1)/7,0))))</f>
        <v/>
      </c>
      <c r="C362" s="50" t="n"/>
      <c r="D362" s="47" t="n"/>
      <c r="E362" s="50" t="n"/>
      <c r="F362" s="50" t="n"/>
      <c r="G362" s="50" t="n"/>
      <c r="H362" s="50" t="n"/>
      <c r="I362" s="50" t="n"/>
      <c r="J362" s="48">
        <f>IF($A362="","",$A362+3)</f>
        <v/>
      </c>
      <c r="K362" s="47" t="n"/>
      <c r="L362" s="47" t="n"/>
    </row>
    <row r="363">
      <c r="A363" s="48" t="n"/>
      <c r="B363" s="47">
        <f>IF($A363="","",MIN(24,MAX(1,ROUNDUP(($A363-DayPlan!$C$2+1)/7,0))))</f>
        <v/>
      </c>
      <c r="C363" s="50" t="n"/>
      <c r="D363" s="47" t="n"/>
      <c r="E363" s="50" t="n"/>
      <c r="F363" s="50" t="n"/>
      <c r="G363" s="50" t="n"/>
      <c r="H363" s="50" t="n"/>
      <c r="I363" s="50" t="n"/>
      <c r="J363" s="48">
        <f>IF($A363="","",$A363+3)</f>
        <v/>
      </c>
      <c r="K363" s="47" t="n"/>
      <c r="L363" s="47" t="n"/>
    </row>
    <row r="364">
      <c r="A364" s="48" t="n"/>
      <c r="B364" s="47">
        <f>IF($A364="","",MIN(24,MAX(1,ROUNDUP(($A364-DayPlan!$C$2+1)/7,0))))</f>
        <v/>
      </c>
      <c r="C364" s="50" t="n"/>
      <c r="D364" s="47" t="n"/>
      <c r="E364" s="50" t="n"/>
      <c r="F364" s="50" t="n"/>
      <c r="G364" s="50" t="n"/>
      <c r="H364" s="50" t="n"/>
      <c r="I364" s="50" t="n"/>
      <c r="J364" s="48">
        <f>IF($A364="","",$A364+3)</f>
        <v/>
      </c>
      <c r="K364" s="47" t="n"/>
      <c r="L364" s="47" t="n"/>
    </row>
    <row r="365">
      <c r="A365" s="48" t="n"/>
      <c r="B365" s="47">
        <f>IF($A365="","",MIN(24,MAX(1,ROUNDUP(($A365-DayPlan!$C$2+1)/7,0))))</f>
        <v/>
      </c>
      <c r="C365" s="50" t="n"/>
      <c r="D365" s="47" t="n"/>
      <c r="E365" s="50" t="n"/>
      <c r="F365" s="50" t="n"/>
      <c r="G365" s="50" t="n"/>
      <c r="H365" s="50" t="n"/>
      <c r="I365" s="50" t="n"/>
      <c r="J365" s="48">
        <f>IF($A365="","",$A365+3)</f>
        <v/>
      </c>
      <c r="K365" s="47" t="n"/>
      <c r="L365" s="47" t="n"/>
    </row>
    <row r="366">
      <c r="A366" s="48" t="n"/>
      <c r="B366" s="47">
        <f>IF($A366="","",MIN(24,MAX(1,ROUNDUP(($A366-DayPlan!$C$2+1)/7,0))))</f>
        <v/>
      </c>
      <c r="C366" s="50" t="n"/>
      <c r="D366" s="47" t="n"/>
      <c r="E366" s="50" t="n"/>
      <c r="F366" s="50" t="n"/>
      <c r="G366" s="50" t="n"/>
      <c r="H366" s="50" t="n"/>
      <c r="I366" s="50" t="n"/>
      <c r="J366" s="48">
        <f>IF($A366="","",$A366+3)</f>
        <v/>
      </c>
      <c r="K366" s="47" t="n"/>
      <c r="L366" s="47" t="n"/>
    </row>
    <row r="367">
      <c r="A367" s="48" t="n"/>
      <c r="B367" s="47">
        <f>IF($A367="","",MIN(24,MAX(1,ROUNDUP(($A367-DayPlan!$C$2+1)/7,0))))</f>
        <v/>
      </c>
      <c r="C367" s="50" t="n"/>
      <c r="D367" s="47" t="n"/>
      <c r="E367" s="50" t="n"/>
      <c r="F367" s="50" t="n"/>
      <c r="G367" s="50" t="n"/>
      <c r="H367" s="50" t="n"/>
      <c r="I367" s="50" t="n"/>
      <c r="J367" s="48">
        <f>IF($A367="","",$A367+3)</f>
        <v/>
      </c>
      <c r="K367" s="47" t="n"/>
      <c r="L367" s="47" t="n"/>
    </row>
    <row r="368">
      <c r="A368" s="48" t="n"/>
      <c r="B368" s="47">
        <f>IF($A368="","",MIN(24,MAX(1,ROUNDUP(($A368-DayPlan!$C$2+1)/7,0))))</f>
        <v/>
      </c>
      <c r="C368" s="50" t="n"/>
      <c r="D368" s="47" t="n"/>
      <c r="E368" s="50" t="n"/>
      <c r="F368" s="50" t="n"/>
      <c r="G368" s="50" t="n"/>
      <c r="H368" s="50" t="n"/>
      <c r="I368" s="50" t="n"/>
      <c r="J368" s="48">
        <f>IF($A368="","",$A368+3)</f>
        <v/>
      </c>
      <c r="K368" s="47" t="n"/>
      <c r="L368" s="47" t="n"/>
    </row>
    <row r="369">
      <c r="A369" s="48" t="n"/>
      <c r="B369" s="47">
        <f>IF($A369="","",MIN(24,MAX(1,ROUNDUP(($A369-DayPlan!$C$2+1)/7,0))))</f>
        <v/>
      </c>
      <c r="C369" s="50" t="n"/>
      <c r="D369" s="47" t="n"/>
      <c r="E369" s="50" t="n"/>
      <c r="F369" s="50" t="n"/>
      <c r="G369" s="50" t="n"/>
      <c r="H369" s="50" t="n"/>
      <c r="I369" s="50" t="n"/>
      <c r="J369" s="48">
        <f>IF($A369="","",$A369+3)</f>
        <v/>
      </c>
      <c r="K369" s="47" t="n"/>
      <c r="L369" s="47" t="n"/>
    </row>
    <row r="370">
      <c r="A370" s="48" t="n"/>
      <c r="B370" s="47">
        <f>IF($A370="","",MIN(24,MAX(1,ROUNDUP(($A370-DayPlan!$C$2+1)/7,0))))</f>
        <v/>
      </c>
      <c r="C370" s="50" t="n"/>
      <c r="D370" s="47" t="n"/>
      <c r="E370" s="50" t="n"/>
      <c r="F370" s="50" t="n"/>
      <c r="G370" s="50" t="n"/>
      <c r="H370" s="50" t="n"/>
      <c r="I370" s="50" t="n"/>
      <c r="J370" s="48">
        <f>IF($A370="","",$A370+3)</f>
        <v/>
      </c>
      <c r="K370" s="47" t="n"/>
      <c r="L370" s="47" t="n"/>
    </row>
    <row r="371">
      <c r="A371" s="48" t="n"/>
      <c r="B371" s="47">
        <f>IF($A371="","",MIN(24,MAX(1,ROUNDUP(($A371-DayPlan!$C$2+1)/7,0))))</f>
        <v/>
      </c>
      <c r="C371" s="50" t="n"/>
      <c r="D371" s="47" t="n"/>
      <c r="E371" s="50" t="n"/>
      <c r="F371" s="50" t="n"/>
      <c r="G371" s="50" t="n"/>
      <c r="H371" s="50" t="n"/>
      <c r="I371" s="50" t="n"/>
      <c r="J371" s="48">
        <f>IF($A371="","",$A371+3)</f>
        <v/>
      </c>
      <c r="K371" s="47" t="n"/>
      <c r="L371" s="47" t="n"/>
    </row>
    <row r="372">
      <c r="A372" s="48" t="n"/>
      <c r="B372" s="47">
        <f>IF($A372="","",MIN(24,MAX(1,ROUNDUP(($A372-DayPlan!$C$2+1)/7,0))))</f>
        <v/>
      </c>
      <c r="C372" s="50" t="n"/>
      <c r="D372" s="47" t="n"/>
      <c r="E372" s="50" t="n"/>
      <c r="F372" s="50" t="n"/>
      <c r="G372" s="50" t="n"/>
      <c r="H372" s="50" t="n"/>
      <c r="I372" s="50" t="n"/>
      <c r="J372" s="48">
        <f>IF($A372="","",$A372+3)</f>
        <v/>
      </c>
      <c r="K372" s="47" t="n"/>
      <c r="L372" s="47" t="n"/>
    </row>
    <row r="373">
      <c r="A373" s="48" t="n"/>
      <c r="B373" s="47">
        <f>IF($A373="","",MIN(24,MAX(1,ROUNDUP(($A373-DayPlan!$C$2+1)/7,0))))</f>
        <v/>
      </c>
      <c r="C373" s="50" t="n"/>
      <c r="D373" s="47" t="n"/>
      <c r="E373" s="50" t="n"/>
      <c r="F373" s="50" t="n"/>
      <c r="G373" s="50" t="n"/>
      <c r="H373" s="50" t="n"/>
      <c r="I373" s="50" t="n"/>
      <c r="J373" s="48">
        <f>IF($A373="","",$A373+3)</f>
        <v/>
      </c>
      <c r="K373" s="47" t="n"/>
      <c r="L373" s="47" t="n"/>
    </row>
    <row r="374">
      <c r="A374" s="48" t="n"/>
      <c r="B374" s="47">
        <f>IF($A374="","",MIN(24,MAX(1,ROUNDUP(($A374-DayPlan!$C$2+1)/7,0))))</f>
        <v/>
      </c>
      <c r="C374" s="50" t="n"/>
      <c r="D374" s="47" t="n"/>
      <c r="E374" s="50" t="n"/>
      <c r="F374" s="50" t="n"/>
      <c r="G374" s="50" t="n"/>
      <c r="H374" s="50" t="n"/>
      <c r="I374" s="50" t="n"/>
      <c r="J374" s="48">
        <f>IF($A374="","",$A374+3)</f>
        <v/>
      </c>
      <c r="K374" s="47" t="n"/>
      <c r="L374" s="47" t="n"/>
    </row>
    <row r="375">
      <c r="A375" s="48" t="n"/>
      <c r="B375" s="47">
        <f>IF($A375="","",MIN(24,MAX(1,ROUNDUP(($A375-DayPlan!$C$2+1)/7,0))))</f>
        <v/>
      </c>
      <c r="C375" s="50" t="n"/>
      <c r="D375" s="47" t="n"/>
      <c r="E375" s="50" t="n"/>
      <c r="F375" s="50" t="n"/>
      <c r="G375" s="50" t="n"/>
      <c r="H375" s="50" t="n"/>
      <c r="I375" s="50" t="n"/>
      <c r="J375" s="48">
        <f>IF($A375="","",$A375+3)</f>
        <v/>
      </c>
      <c r="K375" s="47" t="n"/>
      <c r="L375" s="47" t="n"/>
    </row>
    <row r="376">
      <c r="A376" s="48" t="n"/>
      <c r="B376" s="47">
        <f>IF($A376="","",MIN(24,MAX(1,ROUNDUP(($A376-DayPlan!$C$2+1)/7,0))))</f>
        <v/>
      </c>
      <c r="C376" s="50" t="n"/>
      <c r="D376" s="47" t="n"/>
      <c r="E376" s="50" t="n"/>
      <c r="F376" s="50" t="n"/>
      <c r="G376" s="50" t="n"/>
      <c r="H376" s="50" t="n"/>
      <c r="I376" s="50" t="n"/>
      <c r="J376" s="48">
        <f>IF($A376="","",$A376+3)</f>
        <v/>
      </c>
      <c r="K376" s="47" t="n"/>
      <c r="L376" s="47" t="n"/>
    </row>
    <row r="377">
      <c r="A377" s="48" t="n"/>
      <c r="B377" s="47">
        <f>IF($A377="","",MIN(24,MAX(1,ROUNDUP(($A377-DayPlan!$C$2+1)/7,0))))</f>
        <v/>
      </c>
      <c r="C377" s="50" t="n"/>
      <c r="D377" s="47" t="n"/>
      <c r="E377" s="50" t="n"/>
      <c r="F377" s="50" t="n"/>
      <c r="G377" s="50" t="n"/>
      <c r="H377" s="50" t="n"/>
      <c r="I377" s="50" t="n"/>
      <c r="J377" s="48">
        <f>IF($A377="","",$A377+3)</f>
        <v/>
      </c>
      <c r="K377" s="47" t="n"/>
      <c r="L377" s="47" t="n"/>
    </row>
    <row r="378">
      <c r="A378" s="48" t="n"/>
      <c r="B378" s="47">
        <f>IF($A378="","",MIN(24,MAX(1,ROUNDUP(($A378-DayPlan!$C$2+1)/7,0))))</f>
        <v/>
      </c>
      <c r="C378" s="50" t="n"/>
      <c r="D378" s="47" t="n"/>
      <c r="E378" s="50" t="n"/>
      <c r="F378" s="50" t="n"/>
      <c r="G378" s="50" t="n"/>
      <c r="H378" s="50" t="n"/>
      <c r="I378" s="50" t="n"/>
      <c r="J378" s="48">
        <f>IF($A378="","",$A378+3)</f>
        <v/>
      </c>
      <c r="K378" s="47" t="n"/>
      <c r="L378" s="47" t="n"/>
    </row>
    <row r="379">
      <c r="A379" s="48" t="n"/>
      <c r="B379" s="47">
        <f>IF($A379="","",MIN(24,MAX(1,ROUNDUP(($A379-DayPlan!$C$2+1)/7,0))))</f>
        <v/>
      </c>
      <c r="C379" s="50" t="n"/>
      <c r="D379" s="47" t="n"/>
      <c r="E379" s="50" t="n"/>
      <c r="F379" s="50" t="n"/>
      <c r="G379" s="50" t="n"/>
      <c r="H379" s="50" t="n"/>
      <c r="I379" s="50" t="n"/>
      <c r="J379" s="48">
        <f>IF($A379="","",$A379+3)</f>
        <v/>
      </c>
      <c r="K379" s="47" t="n"/>
      <c r="L379" s="47" t="n"/>
    </row>
    <row r="380">
      <c r="A380" s="48" t="n"/>
      <c r="B380" s="47">
        <f>IF($A380="","",MIN(24,MAX(1,ROUNDUP(($A380-DayPlan!$C$2+1)/7,0))))</f>
        <v/>
      </c>
      <c r="C380" s="50" t="n"/>
      <c r="D380" s="47" t="n"/>
      <c r="E380" s="50" t="n"/>
      <c r="F380" s="50" t="n"/>
      <c r="G380" s="50" t="n"/>
      <c r="H380" s="50" t="n"/>
      <c r="I380" s="50" t="n"/>
      <c r="J380" s="48">
        <f>IF($A380="","",$A380+3)</f>
        <v/>
      </c>
      <c r="K380" s="47" t="n"/>
      <c r="L380" s="47" t="n"/>
    </row>
    <row r="381">
      <c r="A381" s="48" t="n"/>
      <c r="B381" s="47">
        <f>IF($A381="","",MIN(24,MAX(1,ROUNDUP(($A381-DayPlan!$C$2+1)/7,0))))</f>
        <v/>
      </c>
      <c r="C381" s="50" t="n"/>
      <c r="D381" s="47" t="n"/>
      <c r="E381" s="50" t="n"/>
      <c r="F381" s="50" t="n"/>
      <c r="G381" s="50" t="n"/>
      <c r="H381" s="50" t="n"/>
      <c r="I381" s="50" t="n"/>
      <c r="J381" s="48">
        <f>IF($A381="","",$A381+3)</f>
        <v/>
      </c>
      <c r="K381" s="47" t="n"/>
      <c r="L381" s="47" t="n"/>
    </row>
    <row r="382">
      <c r="A382" s="48" t="n"/>
      <c r="B382" s="47">
        <f>IF($A382="","",MIN(24,MAX(1,ROUNDUP(($A382-DayPlan!$C$2+1)/7,0))))</f>
        <v/>
      </c>
      <c r="C382" s="50" t="n"/>
      <c r="D382" s="47" t="n"/>
      <c r="E382" s="50" t="n"/>
      <c r="F382" s="50" t="n"/>
      <c r="G382" s="50" t="n"/>
      <c r="H382" s="50" t="n"/>
      <c r="I382" s="50" t="n"/>
      <c r="J382" s="48">
        <f>IF($A382="","",$A382+3)</f>
        <v/>
      </c>
      <c r="K382" s="47" t="n"/>
      <c r="L382" s="47" t="n"/>
    </row>
    <row r="383">
      <c r="A383" s="48" t="n"/>
      <c r="B383" s="47">
        <f>IF($A383="","",MIN(24,MAX(1,ROUNDUP(($A383-DayPlan!$C$2+1)/7,0))))</f>
        <v/>
      </c>
      <c r="C383" s="50" t="n"/>
      <c r="D383" s="47" t="n"/>
      <c r="E383" s="50" t="n"/>
      <c r="F383" s="50" t="n"/>
      <c r="G383" s="50" t="n"/>
      <c r="H383" s="50" t="n"/>
      <c r="I383" s="50" t="n"/>
      <c r="J383" s="48">
        <f>IF($A383="","",$A383+3)</f>
        <v/>
      </c>
      <c r="K383" s="47" t="n"/>
      <c r="L383" s="47" t="n"/>
    </row>
    <row r="384">
      <c r="A384" s="48" t="n"/>
      <c r="B384" s="47">
        <f>IF($A384="","",MIN(24,MAX(1,ROUNDUP(($A384-DayPlan!$C$2+1)/7,0))))</f>
        <v/>
      </c>
      <c r="C384" s="50" t="n"/>
      <c r="D384" s="47" t="n"/>
      <c r="E384" s="50" t="n"/>
      <c r="F384" s="50" t="n"/>
      <c r="G384" s="50" t="n"/>
      <c r="H384" s="50" t="n"/>
      <c r="I384" s="50" t="n"/>
      <c r="J384" s="48">
        <f>IF($A384="","",$A384+3)</f>
        <v/>
      </c>
      <c r="K384" s="47" t="n"/>
      <c r="L384" s="47" t="n"/>
    </row>
    <row r="385">
      <c r="A385" s="48" t="n"/>
      <c r="B385" s="47">
        <f>IF($A385="","",MIN(24,MAX(1,ROUNDUP(($A385-DayPlan!$C$2+1)/7,0))))</f>
        <v/>
      </c>
      <c r="C385" s="50" t="n"/>
      <c r="D385" s="47" t="n"/>
      <c r="E385" s="50" t="n"/>
      <c r="F385" s="50" t="n"/>
      <c r="G385" s="50" t="n"/>
      <c r="H385" s="50" t="n"/>
      <c r="I385" s="50" t="n"/>
      <c r="J385" s="48">
        <f>IF($A385="","",$A385+3)</f>
        <v/>
      </c>
      <c r="K385" s="47" t="n"/>
      <c r="L385" s="47" t="n"/>
    </row>
    <row r="386">
      <c r="A386" s="48" t="n"/>
      <c r="B386" s="47">
        <f>IF($A386="","",MIN(24,MAX(1,ROUNDUP(($A386-DayPlan!$C$2+1)/7,0))))</f>
        <v/>
      </c>
      <c r="C386" s="50" t="n"/>
      <c r="D386" s="47" t="n"/>
      <c r="E386" s="50" t="n"/>
      <c r="F386" s="50" t="n"/>
      <c r="G386" s="50" t="n"/>
      <c r="H386" s="50" t="n"/>
      <c r="I386" s="50" t="n"/>
      <c r="J386" s="48">
        <f>IF($A386="","",$A386+3)</f>
        <v/>
      </c>
      <c r="K386" s="47" t="n"/>
      <c r="L386" s="47" t="n"/>
    </row>
    <row r="387">
      <c r="A387" s="48" t="n"/>
      <c r="B387" s="47">
        <f>IF($A387="","",MIN(24,MAX(1,ROUNDUP(($A387-DayPlan!$C$2+1)/7,0))))</f>
        <v/>
      </c>
      <c r="C387" s="50" t="n"/>
      <c r="D387" s="47" t="n"/>
      <c r="E387" s="50" t="n"/>
      <c r="F387" s="50" t="n"/>
      <c r="G387" s="50" t="n"/>
      <c r="H387" s="50" t="n"/>
      <c r="I387" s="50" t="n"/>
      <c r="J387" s="48">
        <f>IF($A387="","",$A387+3)</f>
        <v/>
      </c>
      <c r="K387" s="47" t="n"/>
      <c r="L387" s="47" t="n"/>
    </row>
    <row r="388">
      <c r="A388" s="48" t="n"/>
      <c r="B388" s="47">
        <f>IF($A388="","",MIN(24,MAX(1,ROUNDUP(($A388-DayPlan!$C$2+1)/7,0))))</f>
        <v/>
      </c>
      <c r="C388" s="50" t="n"/>
      <c r="D388" s="47" t="n"/>
      <c r="E388" s="50" t="n"/>
      <c r="F388" s="50" t="n"/>
      <c r="G388" s="50" t="n"/>
      <c r="H388" s="50" t="n"/>
      <c r="I388" s="50" t="n"/>
      <c r="J388" s="48">
        <f>IF($A388="","",$A388+3)</f>
        <v/>
      </c>
      <c r="K388" s="47" t="n"/>
      <c r="L388" s="47" t="n"/>
    </row>
    <row r="389">
      <c r="A389" s="48" t="n"/>
      <c r="B389" s="47">
        <f>IF($A389="","",MIN(24,MAX(1,ROUNDUP(($A389-DayPlan!$C$2+1)/7,0))))</f>
        <v/>
      </c>
      <c r="C389" s="50" t="n"/>
      <c r="D389" s="47" t="n"/>
      <c r="E389" s="50" t="n"/>
      <c r="F389" s="50" t="n"/>
      <c r="G389" s="50" t="n"/>
      <c r="H389" s="50" t="n"/>
      <c r="I389" s="50" t="n"/>
      <c r="J389" s="48">
        <f>IF($A389="","",$A389+3)</f>
        <v/>
      </c>
      <c r="K389" s="47" t="n"/>
      <c r="L389" s="47" t="n"/>
    </row>
    <row r="390">
      <c r="A390" s="48" t="n"/>
      <c r="B390" s="47">
        <f>IF($A390="","",MIN(24,MAX(1,ROUNDUP(($A390-DayPlan!$C$2+1)/7,0))))</f>
        <v/>
      </c>
      <c r="C390" s="50" t="n"/>
      <c r="D390" s="47" t="n"/>
      <c r="E390" s="50" t="n"/>
      <c r="F390" s="50" t="n"/>
      <c r="G390" s="50" t="n"/>
      <c r="H390" s="50" t="n"/>
      <c r="I390" s="50" t="n"/>
      <c r="J390" s="48">
        <f>IF($A390="","",$A390+3)</f>
        <v/>
      </c>
      <c r="K390" s="47" t="n"/>
      <c r="L390" s="47" t="n"/>
    </row>
    <row r="391">
      <c r="A391" s="48" t="n"/>
      <c r="B391" s="47">
        <f>IF($A391="","",MIN(24,MAX(1,ROUNDUP(($A391-DayPlan!$C$2+1)/7,0))))</f>
        <v/>
      </c>
      <c r="C391" s="50" t="n"/>
      <c r="D391" s="47" t="n"/>
      <c r="E391" s="50" t="n"/>
      <c r="F391" s="50" t="n"/>
      <c r="G391" s="50" t="n"/>
      <c r="H391" s="50" t="n"/>
      <c r="I391" s="50" t="n"/>
      <c r="J391" s="48">
        <f>IF($A391="","",$A391+3)</f>
        <v/>
      </c>
      <c r="K391" s="47" t="n"/>
      <c r="L391" s="47" t="n"/>
    </row>
    <row r="392">
      <c r="A392" s="48" t="n"/>
      <c r="B392" s="47">
        <f>IF($A392="","",MIN(24,MAX(1,ROUNDUP(($A392-DayPlan!$C$2+1)/7,0))))</f>
        <v/>
      </c>
      <c r="C392" s="50" t="n"/>
      <c r="D392" s="47" t="n"/>
      <c r="E392" s="50" t="n"/>
      <c r="F392" s="50" t="n"/>
      <c r="G392" s="50" t="n"/>
      <c r="H392" s="50" t="n"/>
      <c r="I392" s="50" t="n"/>
      <c r="J392" s="48">
        <f>IF($A392="","",$A392+3)</f>
        <v/>
      </c>
      <c r="K392" s="47" t="n"/>
      <c r="L392" s="47" t="n"/>
    </row>
    <row r="393">
      <c r="A393" s="48" t="n"/>
      <c r="B393" s="47">
        <f>IF($A393="","",MIN(24,MAX(1,ROUNDUP(($A393-DayPlan!$C$2+1)/7,0))))</f>
        <v/>
      </c>
      <c r="C393" s="50" t="n"/>
      <c r="D393" s="47" t="n"/>
      <c r="E393" s="50" t="n"/>
      <c r="F393" s="50" t="n"/>
      <c r="G393" s="50" t="n"/>
      <c r="H393" s="50" t="n"/>
      <c r="I393" s="50" t="n"/>
      <c r="J393" s="48">
        <f>IF($A393="","",$A393+3)</f>
        <v/>
      </c>
      <c r="K393" s="47" t="n"/>
      <c r="L393" s="47" t="n"/>
    </row>
    <row r="394">
      <c r="A394" s="48" t="n"/>
      <c r="B394" s="47">
        <f>IF($A394="","",MIN(24,MAX(1,ROUNDUP(($A394-DayPlan!$C$2+1)/7,0))))</f>
        <v/>
      </c>
      <c r="C394" s="50" t="n"/>
      <c r="D394" s="47" t="n"/>
      <c r="E394" s="50" t="n"/>
      <c r="F394" s="50" t="n"/>
      <c r="G394" s="50" t="n"/>
      <c r="H394" s="50" t="n"/>
      <c r="I394" s="50" t="n"/>
      <c r="J394" s="48">
        <f>IF($A394="","",$A394+3)</f>
        <v/>
      </c>
      <c r="K394" s="47" t="n"/>
      <c r="L394" s="47" t="n"/>
    </row>
    <row r="395">
      <c r="A395" s="48" t="n"/>
      <c r="B395" s="47">
        <f>IF($A395="","",MIN(24,MAX(1,ROUNDUP(($A395-DayPlan!$C$2+1)/7,0))))</f>
        <v/>
      </c>
      <c r="C395" s="50" t="n"/>
      <c r="D395" s="47" t="n"/>
      <c r="E395" s="50" t="n"/>
      <c r="F395" s="50" t="n"/>
      <c r="G395" s="50" t="n"/>
      <c r="H395" s="50" t="n"/>
      <c r="I395" s="50" t="n"/>
      <c r="J395" s="48">
        <f>IF($A395="","",$A395+3)</f>
        <v/>
      </c>
      <c r="K395" s="47" t="n"/>
      <c r="L395" s="47" t="n"/>
    </row>
    <row r="396">
      <c r="A396" s="48" t="n"/>
      <c r="B396" s="47">
        <f>IF($A396="","",MIN(24,MAX(1,ROUNDUP(($A396-DayPlan!$C$2+1)/7,0))))</f>
        <v/>
      </c>
      <c r="C396" s="50" t="n"/>
      <c r="D396" s="47" t="n"/>
      <c r="E396" s="50" t="n"/>
      <c r="F396" s="50" t="n"/>
      <c r="G396" s="50" t="n"/>
      <c r="H396" s="50" t="n"/>
      <c r="I396" s="50" t="n"/>
      <c r="J396" s="48">
        <f>IF($A396="","",$A396+3)</f>
        <v/>
      </c>
      <c r="K396" s="47" t="n"/>
      <c r="L396" s="47" t="n"/>
    </row>
    <row r="397">
      <c r="A397" s="48" t="n"/>
      <c r="B397" s="47">
        <f>IF($A397="","",MIN(24,MAX(1,ROUNDUP(($A397-DayPlan!$C$2+1)/7,0))))</f>
        <v/>
      </c>
      <c r="C397" s="50" t="n"/>
      <c r="D397" s="47" t="n"/>
      <c r="E397" s="50" t="n"/>
      <c r="F397" s="50" t="n"/>
      <c r="G397" s="50" t="n"/>
      <c r="H397" s="50" t="n"/>
      <c r="I397" s="50" t="n"/>
      <c r="J397" s="48">
        <f>IF($A397="","",$A397+3)</f>
        <v/>
      </c>
      <c r="K397" s="47" t="n"/>
      <c r="L397" s="47" t="n"/>
    </row>
    <row r="398">
      <c r="A398" s="48" t="n"/>
      <c r="B398" s="47">
        <f>IF($A398="","",MIN(24,MAX(1,ROUNDUP(($A398-DayPlan!$C$2+1)/7,0))))</f>
        <v/>
      </c>
      <c r="C398" s="50" t="n"/>
      <c r="D398" s="47" t="n"/>
      <c r="E398" s="50" t="n"/>
      <c r="F398" s="50" t="n"/>
      <c r="G398" s="50" t="n"/>
      <c r="H398" s="50" t="n"/>
      <c r="I398" s="50" t="n"/>
      <c r="J398" s="48">
        <f>IF($A398="","",$A398+3)</f>
        <v/>
      </c>
      <c r="K398" s="47" t="n"/>
      <c r="L398" s="47" t="n"/>
    </row>
    <row r="399">
      <c r="A399" s="48" t="n"/>
      <c r="B399" s="47">
        <f>IF($A399="","",MIN(24,MAX(1,ROUNDUP(($A399-DayPlan!$C$2+1)/7,0))))</f>
        <v/>
      </c>
      <c r="C399" s="50" t="n"/>
      <c r="D399" s="47" t="n"/>
      <c r="E399" s="50" t="n"/>
      <c r="F399" s="50" t="n"/>
      <c r="G399" s="50" t="n"/>
      <c r="H399" s="50" t="n"/>
      <c r="I399" s="50" t="n"/>
      <c r="J399" s="48">
        <f>IF($A399="","",$A399+3)</f>
        <v/>
      </c>
      <c r="K399" s="47" t="n"/>
      <c r="L399" s="47" t="n"/>
    </row>
    <row r="400">
      <c r="A400" s="48" t="n"/>
      <c r="B400" s="47">
        <f>IF($A400="","",MIN(24,MAX(1,ROUNDUP(($A400-DayPlan!$C$2+1)/7,0))))</f>
        <v/>
      </c>
      <c r="C400" s="50" t="n"/>
      <c r="D400" s="47" t="n"/>
      <c r="E400" s="50" t="n"/>
      <c r="F400" s="50" t="n"/>
      <c r="G400" s="50" t="n"/>
      <c r="H400" s="50" t="n"/>
      <c r="I400" s="50" t="n"/>
      <c r="J400" s="48">
        <f>IF($A400="","",$A400+3)</f>
        <v/>
      </c>
      <c r="K400" s="47" t="n"/>
      <c r="L400" s="47" t="n"/>
    </row>
    <row r="401">
      <c r="A401" s="48" t="n"/>
      <c r="B401" s="47">
        <f>IF($A401="","",MIN(24,MAX(1,ROUNDUP(($A401-DayPlan!$C$2+1)/7,0))))</f>
        <v/>
      </c>
      <c r="C401" s="50" t="n"/>
      <c r="D401" s="47" t="n"/>
      <c r="E401" s="50" t="n"/>
      <c r="F401" s="50" t="n"/>
      <c r="G401" s="50" t="n"/>
      <c r="H401" s="50" t="n"/>
      <c r="I401" s="50" t="n"/>
      <c r="J401" s="48">
        <f>IF($A401="","",$A401+3)</f>
        <v/>
      </c>
      <c r="K401" s="47" t="n"/>
      <c r="L401" s="47" t="n"/>
    </row>
    <row r="402">
      <c r="A402" s="48" t="n"/>
      <c r="B402" s="47">
        <f>IF($A402="","",MIN(24,MAX(1,ROUNDUP(($A402-DayPlan!$C$2+1)/7,0))))</f>
        <v/>
      </c>
      <c r="C402" s="50" t="n"/>
      <c r="D402" s="47" t="n"/>
      <c r="E402" s="50" t="n"/>
      <c r="F402" s="50" t="n"/>
      <c r="G402" s="50" t="n"/>
      <c r="H402" s="50" t="n"/>
      <c r="I402" s="50" t="n"/>
      <c r="J402" s="48">
        <f>IF($A402="","",$A402+3)</f>
        <v/>
      </c>
      <c r="K402" s="47" t="n"/>
      <c r="L402" s="47" t="n"/>
    </row>
    <row r="403">
      <c r="A403" s="48" t="n"/>
      <c r="B403" s="47">
        <f>IF($A403="","",MIN(24,MAX(1,ROUNDUP(($A403-DayPlan!$C$2+1)/7,0))))</f>
        <v/>
      </c>
      <c r="C403" s="50" t="n"/>
      <c r="D403" s="47" t="n"/>
      <c r="E403" s="50" t="n"/>
      <c r="F403" s="50" t="n"/>
      <c r="G403" s="50" t="n"/>
      <c r="H403" s="50" t="n"/>
      <c r="I403" s="50" t="n"/>
      <c r="J403" s="48">
        <f>IF($A403="","",$A403+3)</f>
        <v/>
      </c>
      <c r="K403" s="47" t="n"/>
      <c r="L403" s="47" t="n"/>
    </row>
    <row r="404">
      <c r="A404" s="48" t="n"/>
      <c r="B404" s="47">
        <f>IF($A404="","",MIN(24,MAX(1,ROUNDUP(($A404-DayPlan!$C$2+1)/7,0))))</f>
        <v/>
      </c>
      <c r="C404" s="50" t="n"/>
      <c r="D404" s="47" t="n"/>
      <c r="E404" s="50" t="n"/>
      <c r="F404" s="50" t="n"/>
      <c r="G404" s="50" t="n"/>
      <c r="H404" s="50" t="n"/>
      <c r="I404" s="50" t="n"/>
      <c r="J404" s="48">
        <f>IF($A404="","",$A404+3)</f>
        <v/>
      </c>
      <c r="K404" s="47" t="n"/>
      <c r="L404" s="47" t="n"/>
    </row>
    <row r="405">
      <c r="A405" s="48" t="n"/>
      <c r="B405" s="47">
        <f>IF($A405="","",MIN(24,MAX(1,ROUNDUP(($A405-DayPlan!$C$2+1)/7,0))))</f>
        <v/>
      </c>
      <c r="C405" s="50" t="n"/>
      <c r="D405" s="47" t="n"/>
      <c r="E405" s="50" t="n"/>
      <c r="F405" s="50" t="n"/>
      <c r="G405" s="50" t="n"/>
      <c r="H405" s="50" t="n"/>
      <c r="I405" s="50" t="n"/>
      <c r="J405" s="48">
        <f>IF($A405="","",$A405+3)</f>
        <v/>
      </c>
      <c r="K405" s="47" t="n"/>
      <c r="L405" s="47" t="n"/>
    </row>
    <row r="406">
      <c r="A406" s="48" t="n"/>
      <c r="B406" s="47">
        <f>IF($A406="","",MIN(24,MAX(1,ROUNDUP(($A406-DayPlan!$C$2+1)/7,0))))</f>
        <v/>
      </c>
      <c r="C406" s="50" t="n"/>
      <c r="D406" s="47" t="n"/>
      <c r="E406" s="50" t="n"/>
      <c r="F406" s="50" t="n"/>
      <c r="G406" s="50" t="n"/>
      <c r="H406" s="50" t="n"/>
      <c r="I406" s="50" t="n"/>
      <c r="J406" s="48">
        <f>IF($A406="","",$A406+3)</f>
        <v/>
      </c>
      <c r="K406" s="47" t="n"/>
      <c r="L406" s="47" t="n"/>
    </row>
    <row r="407">
      <c r="A407" s="48" t="n"/>
      <c r="B407" s="47">
        <f>IF($A407="","",MIN(24,MAX(1,ROUNDUP(($A407-DayPlan!$C$2+1)/7,0))))</f>
        <v/>
      </c>
      <c r="C407" s="50" t="n"/>
      <c r="D407" s="47" t="n"/>
      <c r="E407" s="50" t="n"/>
      <c r="F407" s="50" t="n"/>
      <c r="G407" s="50" t="n"/>
      <c r="H407" s="50" t="n"/>
      <c r="I407" s="50" t="n"/>
      <c r="J407" s="48">
        <f>IF($A407="","",$A407+3)</f>
        <v/>
      </c>
      <c r="K407" s="47" t="n"/>
      <c r="L407" s="47" t="n"/>
    </row>
    <row r="408">
      <c r="A408" s="48" t="n"/>
      <c r="B408" s="47">
        <f>IF($A408="","",MIN(24,MAX(1,ROUNDUP(($A408-DayPlan!$C$2+1)/7,0))))</f>
        <v/>
      </c>
      <c r="C408" s="50" t="n"/>
      <c r="D408" s="47" t="n"/>
      <c r="E408" s="50" t="n"/>
      <c r="F408" s="50" t="n"/>
      <c r="G408" s="50" t="n"/>
      <c r="H408" s="50" t="n"/>
      <c r="I408" s="50" t="n"/>
      <c r="J408" s="48">
        <f>IF($A408="","",$A408+3)</f>
        <v/>
      </c>
      <c r="K408" s="47" t="n"/>
      <c r="L408" s="47" t="n"/>
    </row>
    <row r="409">
      <c r="A409" s="48" t="n"/>
      <c r="B409" s="47">
        <f>IF($A409="","",MIN(24,MAX(1,ROUNDUP(($A409-DayPlan!$C$2+1)/7,0))))</f>
        <v/>
      </c>
      <c r="C409" s="50" t="n"/>
      <c r="D409" s="47" t="n"/>
      <c r="E409" s="50" t="n"/>
      <c r="F409" s="50" t="n"/>
      <c r="G409" s="50" t="n"/>
      <c r="H409" s="50" t="n"/>
      <c r="I409" s="50" t="n"/>
      <c r="J409" s="48">
        <f>IF($A409="","",$A409+3)</f>
        <v/>
      </c>
      <c r="K409" s="47" t="n"/>
      <c r="L409" s="47" t="n"/>
    </row>
    <row r="410">
      <c r="A410" s="48" t="n"/>
      <c r="B410" s="47">
        <f>IF($A410="","",MIN(24,MAX(1,ROUNDUP(($A410-DayPlan!$C$2+1)/7,0))))</f>
        <v/>
      </c>
      <c r="C410" s="50" t="n"/>
      <c r="D410" s="47" t="n"/>
      <c r="E410" s="50" t="n"/>
      <c r="F410" s="50" t="n"/>
      <c r="G410" s="50" t="n"/>
      <c r="H410" s="50" t="n"/>
      <c r="I410" s="50" t="n"/>
      <c r="J410" s="48">
        <f>IF($A410="","",$A410+3)</f>
        <v/>
      </c>
      <c r="K410" s="47" t="n"/>
      <c r="L410" s="47" t="n"/>
    </row>
    <row r="411">
      <c r="A411" s="48" t="n"/>
      <c r="B411" s="47">
        <f>IF($A411="","",MIN(24,MAX(1,ROUNDUP(($A411-DayPlan!$C$2+1)/7,0))))</f>
        <v/>
      </c>
      <c r="C411" s="50" t="n"/>
      <c r="D411" s="47" t="n"/>
      <c r="E411" s="50" t="n"/>
      <c r="F411" s="50" t="n"/>
      <c r="G411" s="50" t="n"/>
      <c r="H411" s="50" t="n"/>
      <c r="I411" s="50" t="n"/>
      <c r="J411" s="48">
        <f>IF($A411="","",$A411+3)</f>
        <v/>
      </c>
      <c r="K411" s="47" t="n"/>
      <c r="L411" s="47" t="n"/>
    </row>
    <row r="412">
      <c r="A412" s="48" t="n"/>
      <c r="B412" s="47">
        <f>IF($A412="","",MIN(24,MAX(1,ROUNDUP(($A412-DayPlan!$C$2+1)/7,0))))</f>
        <v/>
      </c>
      <c r="C412" s="50" t="n"/>
      <c r="D412" s="47" t="n"/>
      <c r="E412" s="50" t="n"/>
      <c r="F412" s="50" t="n"/>
      <c r="G412" s="50" t="n"/>
      <c r="H412" s="50" t="n"/>
      <c r="I412" s="50" t="n"/>
      <c r="J412" s="48">
        <f>IF($A412="","",$A412+3)</f>
        <v/>
      </c>
      <c r="K412" s="47" t="n"/>
      <c r="L412" s="47" t="n"/>
    </row>
    <row r="413">
      <c r="A413" s="48" t="n"/>
      <c r="B413" s="47">
        <f>IF($A413="","",MIN(24,MAX(1,ROUNDUP(($A413-DayPlan!$C$2+1)/7,0))))</f>
        <v/>
      </c>
      <c r="C413" s="50" t="n"/>
      <c r="D413" s="47" t="n"/>
      <c r="E413" s="50" t="n"/>
      <c r="F413" s="50" t="n"/>
      <c r="G413" s="50" t="n"/>
      <c r="H413" s="50" t="n"/>
      <c r="I413" s="50" t="n"/>
      <c r="J413" s="48">
        <f>IF($A413="","",$A413+3)</f>
        <v/>
      </c>
      <c r="K413" s="47" t="n"/>
      <c r="L413" s="47" t="n"/>
    </row>
    <row r="414">
      <c r="A414" s="48" t="n"/>
      <c r="B414" s="47">
        <f>IF($A414="","",MIN(24,MAX(1,ROUNDUP(($A414-DayPlan!$C$2+1)/7,0))))</f>
        <v/>
      </c>
      <c r="C414" s="50" t="n"/>
      <c r="D414" s="47" t="n"/>
      <c r="E414" s="50" t="n"/>
      <c r="F414" s="50" t="n"/>
      <c r="G414" s="50" t="n"/>
      <c r="H414" s="50" t="n"/>
      <c r="I414" s="50" t="n"/>
      <c r="J414" s="48">
        <f>IF($A414="","",$A414+3)</f>
        <v/>
      </c>
      <c r="K414" s="47" t="n"/>
      <c r="L414" s="47" t="n"/>
    </row>
    <row r="415">
      <c r="A415" s="48" t="n"/>
      <c r="B415" s="47">
        <f>IF($A415="","",MIN(24,MAX(1,ROUNDUP(($A415-DayPlan!$C$2+1)/7,0))))</f>
        <v/>
      </c>
      <c r="C415" s="50" t="n"/>
      <c r="D415" s="47" t="n"/>
      <c r="E415" s="50" t="n"/>
      <c r="F415" s="50" t="n"/>
      <c r="G415" s="50" t="n"/>
      <c r="H415" s="50" t="n"/>
      <c r="I415" s="50" t="n"/>
      <c r="J415" s="48">
        <f>IF($A415="","",$A415+3)</f>
        <v/>
      </c>
      <c r="K415" s="47" t="n"/>
      <c r="L415" s="47" t="n"/>
    </row>
    <row r="416">
      <c r="A416" s="48" t="n"/>
      <c r="B416" s="47">
        <f>IF($A416="","",MIN(24,MAX(1,ROUNDUP(($A416-DayPlan!$C$2+1)/7,0))))</f>
        <v/>
      </c>
      <c r="C416" s="50" t="n"/>
      <c r="D416" s="47" t="n"/>
      <c r="E416" s="50" t="n"/>
      <c r="F416" s="50" t="n"/>
      <c r="G416" s="50" t="n"/>
      <c r="H416" s="50" t="n"/>
      <c r="I416" s="50" t="n"/>
      <c r="J416" s="48">
        <f>IF($A416="","",$A416+3)</f>
        <v/>
      </c>
      <c r="K416" s="47" t="n"/>
      <c r="L416" s="47" t="n"/>
    </row>
    <row r="417">
      <c r="A417" s="48" t="n"/>
      <c r="B417" s="47">
        <f>IF($A417="","",MIN(24,MAX(1,ROUNDUP(($A417-DayPlan!$C$2+1)/7,0))))</f>
        <v/>
      </c>
      <c r="C417" s="50" t="n"/>
      <c r="D417" s="47" t="n"/>
      <c r="E417" s="50" t="n"/>
      <c r="F417" s="50" t="n"/>
      <c r="G417" s="50" t="n"/>
      <c r="H417" s="50" t="n"/>
      <c r="I417" s="50" t="n"/>
      <c r="J417" s="48">
        <f>IF($A417="","",$A417+3)</f>
        <v/>
      </c>
      <c r="K417" s="47" t="n"/>
      <c r="L417" s="47" t="n"/>
    </row>
    <row r="418">
      <c r="A418" s="48" t="n"/>
      <c r="B418" s="47">
        <f>IF($A418="","",MIN(24,MAX(1,ROUNDUP(($A418-DayPlan!$C$2+1)/7,0))))</f>
        <v/>
      </c>
      <c r="C418" s="50" t="n"/>
      <c r="D418" s="47" t="n"/>
      <c r="E418" s="50" t="n"/>
      <c r="F418" s="50" t="n"/>
      <c r="G418" s="50" t="n"/>
      <c r="H418" s="50" t="n"/>
      <c r="I418" s="50" t="n"/>
      <c r="J418" s="48">
        <f>IF($A418="","",$A418+3)</f>
        <v/>
      </c>
      <c r="K418" s="47" t="n"/>
      <c r="L418" s="47" t="n"/>
    </row>
    <row r="419">
      <c r="A419" s="48" t="n"/>
      <c r="B419" s="47">
        <f>IF($A419="","",MIN(24,MAX(1,ROUNDUP(($A419-DayPlan!$C$2+1)/7,0))))</f>
        <v/>
      </c>
      <c r="C419" s="50" t="n"/>
      <c r="D419" s="47" t="n"/>
      <c r="E419" s="50" t="n"/>
      <c r="F419" s="50" t="n"/>
      <c r="G419" s="50" t="n"/>
      <c r="H419" s="50" t="n"/>
      <c r="I419" s="50" t="n"/>
      <c r="J419" s="48">
        <f>IF($A419="","",$A419+3)</f>
        <v/>
      </c>
      <c r="K419" s="47" t="n"/>
      <c r="L419" s="47" t="n"/>
    </row>
    <row r="420">
      <c r="A420" s="48" t="n"/>
      <c r="B420" s="47">
        <f>IF($A420="","",MIN(24,MAX(1,ROUNDUP(($A420-DayPlan!$C$2+1)/7,0))))</f>
        <v/>
      </c>
      <c r="C420" s="50" t="n"/>
      <c r="D420" s="47" t="n"/>
      <c r="E420" s="50" t="n"/>
      <c r="F420" s="50" t="n"/>
      <c r="G420" s="50" t="n"/>
      <c r="H420" s="50" t="n"/>
      <c r="I420" s="50" t="n"/>
      <c r="J420" s="48">
        <f>IF($A420="","",$A420+3)</f>
        <v/>
      </c>
      <c r="K420" s="47" t="n"/>
      <c r="L420" s="47" t="n"/>
    </row>
    <row r="421">
      <c r="A421" s="48" t="n"/>
      <c r="B421" s="47">
        <f>IF($A421="","",MIN(24,MAX(1,ROUNDUP(($A421-DayPlan!$C$2+1)/7,0))))</f>
        <v/>
      </c>
      <c r="C421" s="50" t="n"/>
      <c r="D421" s="47" t="n"/>
      <c r="E421" s="50" t="n"/>
      <c r="F421" s="50" t="n"/>
      <c r="G421" s="50" t="n"/>
      <c r="H421" s="50" t="n"/>
      <c r="I421" s="50" t="n"/>
      <c r="J421" s="48">
        <f>IF($A421="","",$A421+3)</f>
        <v/>
      </c>
      <c r="K421" s="47" t="n"/>
      <c r="L421" s="47" t="n"/>
    </row>
    <row r="422">
      <c r="A422" s="48" t="n"/>
      <c r="B422" s="47">
        <f>IF($A422="","",MIN(24,MAX(1,ROUNDUP(($A422-DayPlan!$C$2+1)/7,0))))</f>
        <v/>
      </c>
      <c r="C422" s="50" t="n"/>
      <c r="D422" s="47" t="n"/>
      <c r="E422" s="50" t="n"/>
      <c r="F422" s="50" t="n"/>
      <c r="G422" s="50" t="n"/>
      <c r="H422" s="50" t="n"/>
      <c r="I422" s="50" t="n"/>
      <c r="J422" s="48">
        <f>IF($A422="","",$A422+3)</f>
        <v/>
      </c>
      <c r="K422" s="47" t="n"/>
      <c r="L422" s="47" t="n"/>
    </row>
    <row r="423">
      <c r="A423" s="48" t="n"/>
      <c r="B423" s="47">
        <f>IF($A423="","",MIN(24,MAX(1,ROUNDUP(($A423-DayPlan!$C$2+1)/7,0))))</f>
        <v/>
      </c>
      <c r="C423" s="50" t="n"/>
      <c r="D423" s="47" t="n"/>
      <c r="E423" s="50" t="n"/>
      <c r="F423" s="50" t="n"/>
      <c r="G423" s="50" t="n"/>
      <c r="H423" s="50" t="n"/>
      <c r="I423" s="50" t="n"/>
      <c r="J423" s="48">
        <f>IF($A423="","",$A423+3)</f>
        <v/>
      </c>
      <c r="K423" s="47" t="n"/>
      <c r="L423" s="47" t="n"/>
    </row>
    <row r="424">
      <c r="A424" s="48" t="n"/>
      <c r="B424" s="47">
        <f>IF($A424="","",MIN(24,MAX(1,ROUNDUP(($A424-DayPlan!$C$2+1)/7,0))))</f>
        <v/>
      </c>
      <c r="C424" s="50" t="n"/>
      <c r="D424" s="47" t="n"/>
      <c r="E424" s="50" t="n"/>
      <c r="F424" s="50" t="n"/>
      <c r="G424" s="50" t="n"/>
      <c r="H424" s="50" t="n"/>
      <c r="I424" s="50" t="n"/>
      <c r="J424" s="48">
        <f>IF($A424="","",$A424+3)</f>
        <v/>
      </c>
      <c r="K424" s="47" t="n"/>
      <c r="L424" s="47" t="n"/>
    </row>
    <row r="425">
      <c r="A425" s="48" t="n"/>
      <c r="B425" s="47">
        <f>IF($A425="","",MIN(24,MAX(1,ROUNDUP(($A425-DayPlan!$C$2+1)/7,0))))</f>
        <v/>
      </c>
      <c r="C425" s="50" t="n"/>
      <c r="D425" s="47" t="n"/>
      <c r="E425" s="50" t="n"/>
      <c r="F425" s="50" t="n"/>
      <c r="G425" s="50" t="n"/>
      <c r="H425" s="50" t="n"/>
      <c r="I425" s="50" t="n"/>
      <c r="J425" s="48">
        <f>IF($A425="","",$A425+3)</f>
        <v/>
      </c>
      <c r="K425" s="47" t="n"/>
      <c r="L425" s="47" t="n"/>
    </row>
    <row r="426">
      <c r="A426" s="48" t="n"/>
      <c r="B426" s="47">
        <f>IF($A426="","",MIN(24,MAX(1,ROUNDUP(($A426-DayPlan!$C$2+1)/7,0))))</f>
        <v/>
      </c>
      <c r="C426" s="50" t="n"/>
      <c r="D426" s="47" t="n"/>
      <c r="E426" s="50" t="n"/>
      <c r="F426" s="50" t="n"/>
      <c r="G426" s="50" t="n"/>
      <c r="H426" s="50" t="n"/>
      <c r="I426" s="50" t="n"/>
      <c r="J426" s="48">
        <f>IF($A426="","",$A426+3)</f>
        <v/>
      </c>
      <c r="K426" s="47" t="n"/>
      <c r="L426" s="47" t="n"/>
    </row>
    <row r="427">
      <c r="A427" s="48" t="n"/>
      <c r="B427" s="47">
        <f>IF($A427="","",MIN(24,MAX(1,ROUNDUP(($A427-DayPlan!$C$2+1)/7,0))))</f>
        <v/>
      </c>
      <c r="C427" s="50" t="n"/>
      <c r="D427" s="47" t="n"/>
      <c r="E427" s="50" t="n"/>
      <c r="F427" s="50" t="n"/>
      <c r="G427" s="50" t="n"/>
      <c r="H427" s="50" t="n"/>
      <c r="I427" s="50" t="n"/>
      <c r="J427" s="48">
        <f>IF($A427="","",$A427+3)</f>
        <v/>
      </c>
      <c r="K427" s="47" t="n"/>
      <c r="L427" s="47" t="n"/>
    </row>
    <row r="428">
      <c r="A428" s="48" t="n"/>
      <c r="B428" s="47">
        <f>IF($A428="","",MIN(24,MAX(1,ROUNDUP(($A428-DayPlan!$C$2+1)/7,0))))</f>
        <v/>
      </c>
      <c r="C428" s="50" t="n"/>
      <c r="D428" s="47" t="n"/>
      <c r="E428" s="50" t="n"/>
      <c r="F428" s="50" t="n"/>
      <c r="G428" s="50" t="n"/>
      <c r="H428" s="50" t="n"/>
      <c r="I428" s="50" t="n"/>
      <c r="J428" s="48">
        <f>IF($A428="","",$A428+3)</f>
        <v/>
      </c>
      <c r="K428" s="47" t="n"/>
      <c r="L428" s="47" t="n"/>
    </row>
    <row r="429">
      <c r="A429" s="48" t="n"/>
      <c r="B429" s="47">
        <f>IF($A429="","",MIN(24,MAX(1,ROUNDUP(($A429-DayPlan!$C$2+1)/7,0))))</f>
        <v/>
      </c>
      <c r="C429" s="50" t="n"/>
      <c r="D429" s="47" t="n"/>
      <c r="E429" s="50" t="n"/>
      <c r="F429" s="50" t="n"/>
      <c r="G429" s="50" t="n"/>
      <c r="H429" s="50" t="n"/>
      <c r="I429" s="50" t="n"/>
      <c r="J429" s="48">
        <f>IF($A429="","",$A429+3)</f>
        <v/>
      </c>
      <c r="K429" s="47" t="n"/>
      <c r="L429" s="47" t="n"/>
    </row>
    <row r="430">
      <c r="A430" s="48" t="n"/>
      <c r="B430" s="47">
        <f>IF($A430="","",MIN(24,MAX(1,ROUNDUP(($A430-DayPlan!$C$2+1)/7,0))))</f>
        <v/>
      </c>
      <c r="C430" s="50" t="n"/>
      <c r="D430" s="47" t="n"/>
      <c r="E430" s="50" t="n"/>
      <c r="F430" s="50" t="n"/>
      <c r="G430" s="50" t="n"/>
      <c r="H430" s="50" t="n"/>
      <c r="I430" s="50" t="n"/>
      <c r="J430" s="48">
        <f>IF($A430="","",$A430+3)</f>
        <v/>
      </c>
      <c r="K430" s="47" t="n"/>
      <c r="L430" s="47" t="n"/>
    </row>
    <row r="431">
      <c r="A431" s="48" t="n"/>
      <c r="B431" s="47">
        <f>IF($A431="","",MIN(24,MAX(1,ROUNDUP(($A431-DayPlan!$C$2+1)/7,0))))</f>
        <v/>
      </c>
      <c r="C431" s="50" t="n"/>
      <c r="D431" s="47" t="n"/>
      <c r="E431" s="50" t="n"/>
      <c r="F431" s="50" t="n"/>
      <c r="G431" s="50" t="n"/>
      <c r="H431" s="50" t="n"/>
      <c r="I431" s="50" t="n"/>
      <c r="J431" s="48">
        <f>IF($A431="","",$A431+3)</f>
        <v/>
      </c>
      <c r="K431" s="47" t="n"/>
      <c r="L431" s="47" t="n"/>
    </row>
    <row r="432">
      <c r="A432" s="48" t="n"/>
      <c r="B432" s="47">
        <f>IF($A432="","",MIN(24,MAX(1,ROUNDUP(($A432-DayPlan!$C$2+1)/7,0))))</f>
        <v/>
      </c>
      <c r="C432" s="50" t="n"/>
      <c r="D432" s="47" t="n"/>
      <c r="E432" s="50" t="n"/>
      <c r="F432" s="50" t="n"/>
      <c r="G432" s="50" t="n"/>
      <c r="H432" s="50" t="n"/>
      <c r="I432" s="50" t="n"/>
      <c r="J432" s="48">
        <f>IF($A432="","",$A432+3)</f>
        <v/>
      </c>
      <c r="K432" s="47" t="n"/>
      <c r="L432" s="47" t="n"/>
    </row>
    <row r="433">
      <c r="A433" s="48" t="n"/>
      <c r="B433" s="47">
        <f>IF($A433="","",MIN(24,MAX(1,ROUNDUP(($A433-DayPlan!$C$2+1)/7,0))))</f>
        <v/>
      </c>
      <c r="C433" s="50" t="n"/>
      <c r="D433" s="47" t="n"/>
      <c r="E433" s="50" t="n"/>
      <c r="F433" s="50" t="n"/>
      <c r="G433" s="50" t="n"/>
      <c r="H433" s="50" t="n"/>
      <c r="I433" s="50" t="n"/>
      <c r="J433" s="48">
        <f>IF($A433="","",$A433+3)</f>
        <v/>
      </c>
      <c r="K433" s="47" t="n"/>
      <c r="L433" s="47" t="n"/>
    </row>
    <row r="434">
      <c r="A434" s="48" t="n"/>
      <c r="B434" s="47">
        <f>IF($A434="","",MIN(24,MAX(1,ROUNDUP(($A434-DayPlan!$C$2+1)/7,0))))</f>
        <v/>
      </c>
      <c r="C434" s="50" t="n"/>
      <c r="D434" s="47" t="n"/>
      <c r="E434" s="50" t="n"/>
      <c r="F434" s="50" t="n"/>
      <c r="G434" s="50" t="n"/>
      <c r="H434" s="50" t="n"/>
      <c r="I434" s="50" t="n"/>
      <c r="J434" s="48">
        <f>IF($A434="","",$A434+3)</f>
        <v/>
      </c>
      <c r="K434" s="47" t="n"/>
      <c r="L434" s="47" t="n"/>
    </row>
    <row r="435">
      <c r="A435" s="48" t="n"/>
      <c r="B435" s="47">
        <f>IF($A435="","",MIN(24,MAX(1,ROUNDUP(($A435-DayPlan!$C$2+1)/7,0))))</f>
        <v/>
      </c>
      <c r="C435" s="50" t="n"/>
      <c r="D435" s="47" t="n"/>
      <c r="E435" s="50" t="n"/>
      <c r="F435" s="50" t="n"/>
      <c r="G435" s="50" t="n"/>
      <c r="H435" s="50" t="n"/>
      <c r="I435" s="50" t="n"/>
      <c r="J435" s="48">
        <f>IF($A435="","",$A435+3)</f>
        <v/>
      </c>
      <c r="K435" s="47" t="n"/>
      <c r="L435" s="47" t="n"/>
    </row>
    <row r="436">
      <c r="A436" s="48" t="n"/>
      <c r="B436" s="47">
        <f>IF($A436="","",MIN(24,MAX(1,ROUNDUP(($A436-DayPlan!$C$2+1)/7,0))))</f>
        <v/>
      </c>
      <c r="C436" s="50" t="n"/>
      <c r="D436" s="47" t="n"/>
      <c r="E436" s="50" t="n"/>
      <c r="F436" s="50" t="n"/>
      <c r="G436" s="50" t="n"/>
      <c r="H436" s="50" t="n"/>
      <c r="I436" s="50" t="n"/>
      <c r="J436" s="48">
        <f>IF($A436="","",$A436+3)</f>
        <v/>
      </c>
      <c r="K436" s="47" t="n"/>
      <c r="L436" s="47" t="n"/>
    </row>
    <row r="437">
      <c r="A437" s="48" t="n"/>
      <c r="B437" s="47">
        <f>IF($A437="","",MIN(24,MAX(1,ROUNDUP(($A437-DayPlan!$C$2+1)/7,0))))</f>
        <v/>
      </c>
      <c r="C437" s="50" t="n"/>
      <c r="D437" s="47" t="n"/>
      <c r="E437" s="50" t="n"/>
      <c r="F437" s="50" t="n"/>
      <c r="G437" s="50" t="n"/>
      <c r="H437" s="50" t="n"/>
      <c r="I437" s="50" t="n"/>
      <c r="J437" s="48">
        <f>IF($A437="","",$A437+3)</f>
        <v/>
      </c>
      <c r="K437" s="47" t="n"/>
      <c r="L437" s="47" t="n"/>
    </row>
    <row r="438">
      <c r="A438" s="48" t="n"/>
      <c r="B438" s="47">
        <f>IF($A438="","",MIN(24,MAX(1,ROUNDUP(($A438-DayPlan!$C$2+1)/7,0))))</f>
        <v/>
      </c>
      <c r="C438" s="50" t="n"/>
      <c r="D438" s="47" t="n"/>
      <c r="E438" s="50" t="n"/>
      <c r="F438" s="50" t="n"/>
      <c r="G438" s="50" t="n"/>
      <c r="H438" s="50" t="n"/>
      <c r="I438" s="50" t="n"/>
      <c r="J438" s="48">
        <f>IF($A438="","",$A438+3)</f>
        <v/>
      </c>
      <c r="K438" s="47" t="n"/>
      <c r="L438" s="47" t="n"/>
    </row>
    <row r="439">
      <c r="A439" s="48" t="n"/>
      <c r="B439" s="47">
        <f>IF($A439="","",MIN(24,MAX(1,ROUNDUP(($A439-DayPlan!$C$2+1)/7,0))))</f>
        <v/>
      </c>
      <c r="C439" s="50" t="n"/>
      <c r="D439" s="47" t="n"/>
      <c r="E439" s="50" t="n"/>
      <c r="F439" s="50" t="n"/>
      <c r="G439" s="50" t="n"/>
      <c r="H439" s="50" t="n"/>
      <c r="I439" s="50" t="n"/>
      <c r="J439" s="48">
        <f>IF($A439="","",$A439+3)</f>
        <v/>
      </c>
      <c r="K439" s="47" t="n"/>
      <c r="L439" s="47" t="n"/>
    </row>
    <row r="440">
      <c r="A440" s="48" t="n"/>
      <c r="B440" s="47">
        <f>IF($A440="","",MIN(24,MAX(1,ROUNDUP(($A440-DayPlan!$C$2+1)/7,0))))</f>
        <v/>
      </c>
      <c r="C440" s="50" t="n"/>
      <c r="D440" s="47" t="n"/>
      <c r="E440" s="50" t="n"/>
      <c r="F440" s="50" t="n"/>
      <c r="G440" s="50" t="n"/>
      <c r="H440" s="50" t="n"/>
      <c r="I440" s="50" t="n"/>
      <c r="J440" s="48">
        <f>IF($A440="","",$A440+3)</f>
        <v/>
      </c>
      <c r="K440" s="47" t="n"/>
      <c r="L440" s="47" t="n"/>
    </row>
    <row r="441">
      <c r="A441" s="48" t="n"/>
      <c r="B441" s="47">
        <f>IF($A441="","",MIN(24,MAX(1,ROUNDUP(($A441-DayPlan!$C$2+1)/7,0))))</f>
        <v/>
      </c>
      <c r="C441" s="50" t="n"/>
      <c r="D441" s="47" t="n"/>
      <c r="E441" s="50" t="n"/>
      <c r="F441" s="50" t="n"/>
      <c r="G441" s="50" t="n"/>
      <c r="H441" s="50" t="n"/>
      <c r="I441" s="50" t="n"/>
      <c r="J441" s="48">
        <f>IF($A441="","",$A441+3)</f>
        <v/>
      </c>
      <c r="K441" s="47" t="n"/>
      <c r="L441" s="47" t="n"/>
    </row>
    <row r="442">
      <c r="A442" s="48" t="n"/>
      <c r="B442" s="47">
        <f>IF($A442="","",MIN(24,MAX(1,ROUNDUP(($A442-DayPlan!$C$2+1)/7,0))))</f>
        <v/>
      </c>
      <c r="C442" s="50" t="n"/>
      <c r="D442" s="47" t="n"/>
      <c r="E442" s="50" t="n"/>
      <c r="F442" s="50" t="n"/>
      <c r="G442" s="50" t="n"/>
      <c r="H442" s="50" t="n"/>
      <c r="I442" s="50" t="n"/>
      <c r="J442" s="48">
        <f>IF($A442="","",$A442+3)</f>
        <v/>
      </c>
      <c r="K442" s="47" t="n"/>
      <c r="L442" s="47" t="n"/>
    </row>
    <row r="443">
      <c r="A443" s="48" t="n"/>
      <c r="B443" s="47">
        <f>IF($A443="","",MIN(24,MAX(1,ROUNDUP(($A443-DayPlan!$C$2+1)/7,0))))</f>
        <v/>
      </c>
      <c r="C443" s="50" t="n"/>
      <c r="D443" s="47" t="n"/>
      <c r="E443" s="50" t="n"/>
      <c r="F443" s="50" t="n"/>
      <c r="G443" s="50" t="n"/>
      <c r="H443" s="50" t="n"/>
      <c r="I443" s="50" t="n"/>
      <c r="J443" s="48">
        <f>IF($A443="","",$A443+3)</f>
        <v/>
      </c>
      <c r="K443" s="47" t="n"/>
      <c r="L443" s="47" t="n"/>
    </row>
    <row r="444">
      <c r="A444" s="48" t="n"/>
      <c r="B444" s="47">
        <f>IF($A444="","",MIN(24,MAX(1,ROUNDUP(($A444-DayPlan!$C$2+1)/7,0))))</f>
        <v/>
      </c>
      <c r="C444" s="50" t="n"/>
      <c r="D444" s="47" t="n"/>
      <c r="E444" s="50" t="n"/>
      <c r="F444" s="50" t="n"/>
      <c r="G444" s="50" t="n"/>
      <c r="H444" s="50" t="n"/>
      <c r="I444" s="50" t="n"/>
      <c r="J444" s="48">
        <f>IF($A444="","",$A444+3)</f>
        <v/>
      </c>
      <c r="K444" s="47" t="n"/>
      <c r="L444" s="47" t="n"/>
    </row>
    <row r="445">
      <c r="A445" s="48" t="n"/>
      <c r="B445" s="47">
        <f>IF($A445="","",MIN(24,MAX(1,ROUNDUP(($A445-DayPlan!$C$2+1)/7,0))))</f>
        <v/>
      </c>
      <c r="C445" s="50" t="n"/>
      <c r="D445" s="47" t="n"/>
      <c r="E445" s="50" t="n"/>
      <c r="F445" s="50" t="n"/>
      <c r="G445" s="50" t="n"/>
      <c r="H445" s="50" t="n"/>
      <c r="I445" s="50" t="n"/>
      <c r="J445" s="48">
        <f>IF($A445="","",$A445+3)</f>
        <v/>
      </c>
      <c r="K445" s="47" t="n"/>
      <c r="L445" s="47" t="n"/>
    </row>
    <row r="446">
      <c r="A446" s="48" t="n"/>
      <c r="B446" s="47">
        <f>IF($A446="","",MIN(24,MAX(1,ROUNDUP(($A446-DayPlan!$C$2+1)/7,0))))</f>
        <v/>
      </c>
      <c r="C446" s="50" t="n"/>
      <c r="D446" s="47" t="n"/>
      <c r="E446" s="50" t="n"/>
      <c r="F446" s="50" t="n"/>
      <c r="G446" s="50" t="n"/>
      <c r="H446" s="50" t="n"/>
      <c r="I446" s="50" t="n"/>
      <c r="J446" s="48">
        <f>IF($A446="","",$A446+3)</f>
        <v/>
      </c>
      <c r="K446" s="47" t="n"/>
      <c r="L446" s="47" t="n"/>
    </row>
    <row r="447">
      <c r="A447" s="48" t="n"/>
      <c r="B447" s="47">
        <f>IF($A447="","",MIN(24,MAX(1,ROUNDUP(($A447-DayPlan!$C$2+1)/7,0))))</f>
        <v/>
      </c>
      <c r="C447" s="50" t="n"/>
      <c r="D447" s="47" t="n"/>
      <c r="E447" s="50" t="n"/>
      <c r="F447" s="50" t="n"/>
      <c r="G447" s="50" t="n"/>
      <c r="H447" s="50" t="n"/>
      <c r="I447" s="50" t="n"/>
      <c r="J447" s="48">
        <f>IF($A447="","",$A447+3)</f>
        <v/>
      </c>
      <c r="K447" s="47" t="n"/>
      <c r="L447" s="47" t="n"/>
    </row>
    <row r="448">
      <c r="A448" s="48" t="n"/>
      <c r="B448" s="47">
        <f>IF($A448="","",MIN(24,MAX(1,ROUNDUP(($A448-DayPlan!$C$2+1)/7,0))))</f>
        <v/>
      </c>
      <c r="C448" s="50" t="n"/>
      <c r="D448" s="47" t="n"/>
      <c r="E448" s="50" t="n"/>
      <c r="F448" s="50" t="n"/>
      <c r="G448" s="50" t="n"/>
      <c r="H448" s="50" t="n"/>
      <c r="I448" s="50" t="n"/>
      <c r="J448" s="48">
        <f>IF($A448="","",$A448+3)</f>
        <v/>
      </c>
      <c r="K448" s="47" t="n"/>
      <c r="L448" s="47" t="n"/>
    </row>
    <row r="449">
      <c r="A449" s="48" t="n"/>
      <c r="B449" s="47">
        <f>IF($A449="","",MIN(24,MAX(1,ROUNDUP(($A449-DayPlan!$C$2+1)/7,0))))</f>
        <v/>
      </c>
      <c r="C449" s="50" t="n"/>
      <c r="D449" s="47" t="n"/>
      <c r="E449" s="50" t="n"/>
      <c r="F449" s="50" t="n"/>
      <c r="G449" s="50" t="n"/>
      <c r="H449" s="50" t="n"/>
      <c r="I449" s="50" t="n"/>
      <c r="J449" s="48">
        <f>IF($A449="","",$A449+3)</f>
        <v/>
      </c>
      <c r="K449" s="47" t="n"/>
      <c r="L449" s="47" t="n"/>
    </row>
    <row r="450">
      <c r="A450" s="48" t="n"/>
      <c r="B450" s="47">
        <f>IF($A450="","",MIN(24,MAX(1,ROUNDUP(($A450-DayPlan!$C$2+1)/7,0))))</f>
        <v/>
      </c>
      <c r="C450" s="50" t="n"/>
      <c r="D450" s="47" t="n"/>
      <c r="E450" s="50" t="n"/>
      <c r="F450" s="50" t="n"/>
      <c r="G450" s="50" t="n"/>
      <c r="H450" s="50" t="n"/>
      <c r="I450" s="50" t="n"/>
      <c r="J450" s="48">
        <f>IF($A450="","",$A450+3)</f>
        <v/>
      </c>
      <c r="K450" s="47" t="n"/>
      <c r="L450" s="47" t="n"/>
    </row>
    <row r="451">
      <c r="A451" s="48" t="n"/>
      <c r="B451" s="47">
        <f>IF($A451="","",MIN(24,MAX(1,ROUNDUP(($A451-DayPlan!$C$2+1)/7,0))))</f>
        <v/>
      </c>
      <c r="C451" s="50" t="n"/>
      <c r="D451" s="47" t="n"/>
      <c r="E451" s="50" t="n"/>
      <c r="F451" s="50" t="n"/>
      <c r="G451" s="50" t="n"/>
      <c r="H451" s="50" t="n"/>
      <c r="I451" s="50" t="n"/>
      <c r="J451" s="48">
        <f>IF($A451="","",$A451+3)</f>
        <v/>
      </c>
      <c r="K451" s="47" t="n"/>
      <c r="L451" s="47" t="n"/>
    </row>
    <row r="452">
      <c r="A452" s="48" t="n"/>
      <c r="B452" s="47">
        <f>IF($A452="","",MIN(24,MAX(1,ROUNDUP(($A452-DayPlan!$C$2+1)/7,0))))</f>
        <v/>
      </c>
      <c r="C452" s="50" t="n"/>
      <c r="D452" s="47" t="n"/>
      <c r="E452" s="50" t="n"/>
      <c r="F452" s="50" t="n"/>
      <c r="G452" s="50" t="n"/>
      <c r="H452" s="50" t="n"/>
      <c r="I452" s="50" t="n"/>
      <c r="J452" s="48">
        <f>IF($A452="","",$A452+3)</f>
        <v/>
      </c>
      <c r="K452" s="47" t="n"/>
      <c r="L452" s="47" t="n"/>
    </row>
    <row r="453">
      <c r="A453" s="48" t="n"/>
      <c r="B453" s="47">
        <f>IF($A453="","",MIN(24,MAX(1,ROUNDUP(($A453-DayPlan!$C$2+1)/7,0))))</f>
        <v/>
      </c>
      <c r="C453" s="50" t="n"/>
      <c r="D453" s="47" t="n"/>
      <c r="E453" s="50" t="n"/>
      <c r="F453" s="50" t="n"/>
      <c r="G453" s="50" t="n"/>
      <c r="H453" s="50" t="n"/>
      <c r="I453" s="50" t="n"/>
      <c r="J453" s="48">
        <f>IF($A453="","",$A453+3)</f>
        <v/>
      </c>
      <c r="K453" s="47" t="n"/>
      <c r="L453" s="47" t="n"/>
    </row>
    <row r="454">
      <c r="A454" s="48" t="n"/>
      <c r="B454" s="47">
        <f>IF($A454="","",MIN(24,MAX(1,ROUNDUP(($A454-DayPlan!$C$2+1)/7,0))))</f>
        <v/>
      </c>
      <c r="C454" s="50" t="n"/>
      <c r="D454" s="47" t="n"/>
      <c r="E454" s="50" t="n"/>
      <c r="F454" s="50" t="n"/>
      <c r="G454" s="50" t="n"/>
      <c r="H454" s="50" t="n"/>
      <c r="I454" s="50" t="n"/>
      <c r="J454" s="48">
        <f>IF($A454="","",$A454+3)</f>
        <v/>
      </c>
      <c r="K454" s="47" t="n"/>
      <c r="L454" s="47" t="n"/>
    </row>
    <row r="455">
      <c r="A455" s="48" t="n"/>
      <c r="B455" s="47">
        <f>IF($A455="","",MIN(24,MAX(1,ROUNDUP(($A455-DayPlan!$C$2+1)/7,0))))</f>
        <v/>
      </c>
      <c r="C455" s="50" t="n"/>
      <c r="D455" s="47" t="n"/>
      <c r="E455" s="50" t="n"/>
      <c r="F455" s="50" t="n"/>
      <c r="G455" s="50" t="n"/>
      <c r="H455" s="50" t="n"/>
      <c r="I455" s="50" t="n"/>
      <c r="J455" s="48">
        <f>IF($A455="","",$A455+3)</f>
        <v/>
      </c>
      <c r="K455" s="47" t="n"/>
      <c r="L455" s="47" t="n"/>
    </row>
    <row r="456">
      <c r="A456" s="48" t="n"/>
      <c r="B456" s="47">
        <f>IF($A456="","",MIN(24,MAX(1,ROUNDUP(($A456-DayPlan!$C$2+1)/7,0))))</f>
        <v/>
      </c>
      <c r="C456" s="50" t="n"/>
      <c r="D456" s="47" t="n"/>
      <c r="E456" s="50" t="n"/>
      <c r="F456" s="50" t="n"/>
      <c r="G456" s="50" t="n"/>
      <c r="H456" s="50" t="n"/>
      <c r="I456" s="50" t="n"/>
      <c r="J456" s="48">
        <f>IF($A456="","",$A456+3)</f>
        <v/>
      </c>
      <c r="K456" s="47" t="n"/>
      <c r="L456" s="47" t="n"/>
    </row>
    <row r="457">
      <c r="A457" s="48" t="n"/>
      <c r="B457" s="47">
        <f>IF($A457="","",MIN(24,MAX(1,ROUNDUP(($A457-DayPlan!$C$2+1)/7,0))))</f>
        <v/>
      </c>
      <c r="C457" s="50" t="n"/>
      <c r="D457" s="47" t="n"/>
      <c r="E457" s="50" t="n"/>
      <c r="F457" s="50" t="n"/>
      <c r="G457" s="50" t="n"/>
      <c r="H457" s="50" t="n"/>
      <c r="I457" s="50" t="n"/>
      <c r="J457" s="48">
        <f>IF($A457="","",$A457+3)</f>
        <v/>
      </c>
      <c r="K457" s="47" t="n"/>
      <c r="L457" s="47" t="n"/>
    </row>
    <row r="458">
      <c r="A458" s="48" t="n"/>
      <c r="B458" s="47">
        <f>IF($A458="","",MIN(24,MAX(1,ROUNDUP(($A458-DayPlan!$C$2+1)/7,0))))</f>
        <v/>
      </c>
      <c r="C458" s="50" t="n"/>
      <c r="D458" s="47" t="n"/>
      <c r="E458" s="50" t="n"/>
      <c r="F458" s="50" t="n"/>
      <c r="G458" s="50" t="n"/>
      <c r="H458" s="50" t="n"/>
      <c r="I458" s="50" t="n"/>
      <c r="J458" s="48">
        <f>IF($A458="","",$A458+3)</f>
        <v/>
      </c>
      <c r="K458" s="47" t="n"/>
      <c r="L458" s="47" t="n"/>
    </row>
    <row r="459">
      <c r="A459" s="48" t="n"/>
      <c r="B459" s="47">
        <f>IF($A459="","",MIN(24,MAX(1,ROUNDUP(($A459-DayPlan!$C$2+1)/7,0))))</f>
        <v/>
      </c>
      <c r="C459" s="50" t="n"/>
      <c r="D459" s="47" t="n"/>
      <c r="E459" s="50" t="n"/>
      <c r="F459" s="50" t="n"/>
      <c r="G459" s="50" t="n"/>
      <c r="H459" s="50" t="n"/>
      <c r="I459" s="50" t="n"/>
      <c r="J459" s="48">
        <f>IF($A459="","",$A459+3)</f>
        <v/>
      </c>
      <c r="K459" s="47" t="n"/>
      <c r="L459" s="47" t="n"/>
    </row>
    <row r="460">
      <c r="A460" s="48" t="n"/>
      <c r="B460" s="47">
        <f>IF($A460="","",MIN(24,MAX(1,ROUNDUP(($A460-DayPlan!$C$2+1)/7,0))))</f>
        <v/>
      </c>
      <c r="C460" s="50" t="n"/>
      <c r="D460" s="47" t="n"/>
      <c r="E460" s="50" t="n"/>
      <c r="F460" s="50" t="n"/>
      <c r="G460" s="50" t="n"/>
      <c r="H460" s="50" t="n"/>
      <c r="I460" s="50" t="n"/>
      <c r="J460" s="48">
        <f>IF($A460="","",$A460+3)</f>
        <v/>
      </c>
      <c r="K460" s="47" t="n"/>
      <c r="L460" s="47" t="n"/>
    </row>
    <row r="461">
      <c r="A461" s="48" t="n"/>
      <c r="B461" s="47">
        <f>IF($A461="","",MIN(24,MAX(1,ROUNDUP(($A461-DayPlan!$C$2+1)/7,0))))</f>
        <v/>
      </c>
      <c r="C461" s="50" t="n"/>
      <c r="D461" s="47" t="n"/>
      <c r="E461" s="50" t="n"/>
      <c r="F461" s="50" t="n"/>
      <c r="G461" s="50" t="n"/>
      <c r="H461" s="50" t="n"/>
      <c r="I461" s="50" t="n"/>
      <c r="J461" s="48">
        <f>IF($A461="","",$A461+3)</f>
        <v/>
      </c>
      <c r="K461" s="47" t="n"/>
      <c r="L461" s="47" t="n"/>
    </row>
    <row r="462">
      <c r="A462" s="48" t="n"/>
      <c r="B462" s="47">
        <f>IF($A462="","",MIN(24,MAX(1,ROUNDUP(($A462-DayPlan!$C$2+1)/7,0))))</f>
        <v/>
      </c>
      <c r="C462" s="50" t="n"/>
      <c r="D462" s="47" t="n"/>
      <c r="E462" s="50" t="n"/>
      <c r="F462" s="50" t="n"/>
      <c r="G462" s="50" t="n"/>
      <c r="H462" s="50" t="n"/>
      <c r="I462" s="50" t="n"/>
      <c r="J462" s="48">
        <f>IF($A462="","",$A462+3)</f>
        <v/>
      </c>
      <c r="K462" s="47" t="n"/>
      <c r="L462" s="47" t="n"/>
    </row>
    <row r="463">
      <c r="A463" s="48" t="n"/>
      <c r="B463" s="47">
        <f>IF($A463="","",MIN(24,MAX(1,ROUNDUP(($A463-DayPlan!$C$2+1)/7,0))))</f>
        <v/>
      </c>
      <c r="C463" s="50" t="n"/>
      <c r="D463" s="47" t="n"/>
      <c r="E463" s="50" t="n"/>
      <c r="F463" s="50" t="n"/>
      <c r="G463" s="50" t="n"/>
      <c r="H463" s="50" t="n"/>
      <c r="I463" s="50" t="n"/>
      <c r="J463" s="48">
        <f>IF($A463="","",$A463+3)</f>
        <v/>
      </c>
      <c r="K463" s="47" t="n"/>
      <c r="L463" s="47" t="n"/>
    </row>
    <row r="464">
      <c r="A464" s="48" t="n"/>
      <c r="B464" s="47">
        <f>IF($A464="","",MIN(24,MAX(1,ROUNDUP(($A464-DayPlan!$C$2+1)/7,0))))</f>
        <v/>
      </c>
      <c r="C464" s="50" t="n"/>
      <c r="D464" s="47" t="n"/>
      <c r="E464" s="50" t="n"/>
      <c r="F464" s="50" t="n"/>
      <c r="G464" s="50" t="n"/>
      <c r="H464" s="50" t="n"/>
      <c r="I464" s="50" t="n"/>
      <c r="J464" s="48">
        <f>IF($A464="","",$A464+3)</f>
        <v/>
      </c>
      <c r="K464" s="47" t="n"/>
      <c r="L464" s="47" t="n"/>
    </row>
    <row r="465">
      <c r="A465" s="48" t="n"/>
      <c r="B465" s="47">
        <f>IF($A465="","",MIN(24,MAX(1,ROUNDUP(($A465-DayPlan!$C$2+1)/7,0))))</f>
        <v/>
      </c>
      <c r="C465" s="50" t="n"/>
      <c r="D465" s="47" t="n"/>
      <c r="E465" s="50" t="n"/>
      <c r="F465" s="50" t="n"/>
      <c r="G465" s="50" t="n"/>
      <c r="H465" s="50" t="n"/>
      <c r="I465" s="50" t="n"/>
      <c r="J465" s="48">
        <f>IF($A465="","",$A465+3)</f>
        <v/>
      </c>
      <c r="K465" s="47" t="n"/>
      <c r="L465" s="47" t="n"/>
    </row>
    <row r="466">
      <c r="A466" s="48" t="n"/>
      <c r="B466" s="47">
        <f>IF($A466="","",MIN(24,MAX(1,ROUNDUP(($A466-DayPlan!$C$2+1)/7,0))))</f>
        <v/>
      </c>
      <c r="C466" s="50" t="n"/>
      <c r="D466" s="47" t="n"/>
      <c r="E466" s="50" t="n"/>
      <c r="F466" s="50" t="n"/>
      <c r="G466" s="50" t="n"/>
      <c r="H466" s="50" t="n"/>
      <c r="I466" s="50" t="n"/>
      <c r="J466" s="48">
        <f>IF($A466="","",$A466+3)</f>
        <v/>
      </c>
      <c r="K466" s="47" t="n"/>
      <c r="L466" s="47" t="n"/>
    </row>
    <row r="467">
      <c r="A467" s="48" t="n"/>
      <c r="B467" s="47">
        <f>IF($A467="","",MIN(24,MAX(1,ROUNDUP(($A467-DayPlan!$C$2+1)/7,0))))</f>
        <v/>
      </c>
      <c r="C467" s="50" t="n"/>
      <c r="D467" s="47" t="n"/>
      <c r="E467" s="50" t="n"/>
      <c r="F467" s="50" t="n"/>
      <c r="G467" s="50" t="n"/>
      <c r="H467" s="50" t="n"/>
      <c r="I467" s="50" t="n"/>
      <c r="J467" s="48">
        <f>IF($A467="","",$A467+3)</f>
        <v/>
      </c>
      <c r="K467" s="47" t="n"/>
      <c r="L467" s="47" t="n"/>
    </row>
    <row r="468">
      <c r="A468" s="48" t="n"/>
      <c r="B468" s="47">
        <f>IF($A468="","",MIN(24,MAX(1,ROUNDUP(($A468-DayPlan!$C$2+1)/7,0))))</f>
        <v/>
      </c>
      <c r="C468" s="50" t="n"/>
      <c r="D468" s="47" t="n"/>
      <c r="E468" s="50" t="n"/>
      <c r="F468" s="50" t="n"/>
      <c r="G468" s="50" t="n"/>
      <c r="H468" s="50" t="n"/>
      <c r="I468" s="50" t="n"/>
      <c r="J468" s="48">
        <f>IF($A468="","",$A468+3)</f>
        <v/>
      </c>
      <c r="K468" s="47" t="n"/>
      <c r="L468" s="47" t="n"/>
    </row>
    <row r="469">
      <c r="A469" s="48" t="n"/>
      <c r="B469" s="47">
        <f>IF($A469="","",MIN(24,MAX(1,ROUNDUP(($A469-DayPlan!$C$2+1)/7,0))))</f>
        <v/>
      </c>
      <c r="C469" s="50" t="n"/>
      <c r="D469" s="47" t="n"/>
      <c r="E469" s="50" t="n"/>
      <c r="F469" s="50" t="n"/>
      <c r="G469" s="50" t="n"/>
      <c r="H469" s="50" t="n"/>
      <c r="I469" s="50" t="n"/>
      <c r="J469" s="48">
        <f>IF($A469="","",$A469+3)</f>
        <v/>
      </c>
      <c r="K469" s="47" t="n"/>
      <c r="L469" s="47" t="n"/>
    </row>
    <row r="470">
      <c r="A470" s="48" t="n"/>
      <c r="B470" s="47">
        <f>IF($A470="","",MIN(24,MAX(1,ROUNDUP(($A470-DayPlan!$C$2+1)/7,0))))</f>
        <v/>
      </c>
      <c r="C470" s="50" t="n"/>
      <c r="D470" s="47" t="n"/>
      <c r="E470" s="50" t="n"/>
      <c r="F470" s="50" t="n"/>
      <c r="G470" s="50" t="n"/>
      <c r="H470" s="50" t="n"/>
      <c r="I470" s="50" t="n"/>
      <c r="J470" s="48">
        <f>IF($A470="","",$A470+3)</f>
        <v/>
      </c>
      <c r="K470" s="47" t="n"/>
      <c r="L470" s="47" t="n"/>
    </row>
    <row r="471">
      <c r="A471" s="48" t="n"/>
      <c r="B471" s="47">
        <f>IF($A471="","",MIN(24,MAX(1,ROUNDUP(($A471-DayPlan!$C$2+1)/7,0))))</f>
        <v/>
      </c>
      <c r="C471" s="50" t="n"/>
      <c r="D471" s="47" t="n"/>
      <c r="E471" s="50" t="n"/>
      <c r="F471" s="50" t="n"/>
      <c r="G471" s="50" t="n"/>
      <c r="H471" s="50" t="n"/>
      <c r="I471" s="50" t="n"/>
      <c r="J471" s="48">
        <f>IF($A471="","",$A471+3)</f>
        <v/>
      </c>
      <c r="K471" s="47" t="n"/>
      <c r="L471" s="47" t="n"/>
    </row>
    <row r="472">
      <c r="A472" s="48" t="n"/>
      <c r="B472" s="47">
        <f>IF($A472="","",MIN(24,MAX(1,ROUNDUP(($A472-DayPlan!$C$2+1)/7,0))))</f>
        <v/>
      </c>
      <c r="C472" s="50" t="n"/>
      <c r="D472" s="47" t="n"/>
      <c r="E472" s="50" t="n"/>
      <c r="F472" s="50" t="n"/>
      <c r="G472" s="50" t="n"/>
      <c r="H472" s="50" t="n"/>
      <c r="I472" s="50" t="n"/>
      <c r="J472" s="48">
        <f>IF($A472="","",$A472+3)</f>
        <v/>
      </c>
      <c r="K472" s="47" t="n"/>
      <c r="L472" s="47" t="n"/>
    </row>
    <row r="473">
      <c r="A473" s="48" t="n"/>
      <c r="B473" s="47">
        <f>IF($A473="","",MIN(24,MAX(1,ROUNDUP(($A473-DayPlan!$C$2+1)/7,0))))</f>
        <v/>
      </c>
      <c r="C473" s="50" t="n"/>
      <c r="D473" s="47" t="n"/>
      <c r="E473" s="50" t="n"/>
      <c r="F473" s="50" t="n"/>
      <c r="G473" s="50" t="n"/>
      <c r="H473" s="50" t="n"/>
      <c r="I473" s="50" t="n"/>
      <c r="J473" s="48">
        <f>IF($A473="","",$A473+3)</f>
        <v/>
      </c>
      <c r="K473" s="47" t="n"/>
      <c r="L473" s="47" t="n"/>
    </row>
    <row r="474">
      <c r="A474" s="48" t="n"/>
      <c r="B474" s="47">
        <f>IF($A474="","",MIN(24,MAX(1,ROUNDUP(($A474-DayPlan!$C$2+1)/7,0))))</f>
        <v/>
      </c>
      <c r="C474" s="50" t="n"/>
      <c r="D474" s="47" t="n"/>
      <c r="E474" s="50" t="n"/>
      <c r="F474" s="50" t="n"/>
      <c r="G474" s="50" t="n"/>
      <c r="H474" s="50" t="n"/>
      <c r="I474" s="50" t="n"/>
      <c r="J474" s="48">
        <f>IF($A474="","",$A474+3)</f>
        <v/>
      </c>
      <c r="K474" s="47" t="n"/>
      <c r="L474" s="47" t="n"/>
    </row>
    <row r="475">
      <c r="A475" s="48" t="n"/>
      <c r="B475" s="47">
        <f>IF($A475="","",MIN(24,MAX(1,ROUNDUP(($A475-DayPlan!$C$2+1)/7,0))))</f>
        <v/>
      </c>
      <c r="C475" s="50" t="n"/>
      <c r="D475" s="47" t="n"/>
      <c r="E475" s="50" t="n"/>
      <c r="F475" s="50" t="n"/>
      <c r="G475" s="50" t="n"/>
      <c r="H475" s="50" t="n"/>
      <c r="I475" s="50" t="n"/>
      <c r="J475" s="48">
        <f>IF($A475="","",$A475+3)</f>
        <v/>
      </c>
      <c r="K475" s="47" t="n"/>
      <c r="L475" s="47" t="n"/>
    </row>
    <row r="476">
      <c r="A476" s="48" t="n"/>
      <c r="B476" s="47">
        <f>IF($A476="","",MIN(24,MAX(1,ROUNDUP(($A476-DayPlan!$C$2+1)/7,0))))</f>
        <v/>
      </c>
      <c r="C476" s="50" t="n"/>
      <c r="D476" s="47" t="n"/>
      <c r="E476" s="50" t="n"/>
      <c r="F476" s="50" t="n"/>
      <c r="G476" s="50" t="n"/>
      <c r="H476" s="50" t="n"/>
      <c r="I476" s="50" t="n"/>
      <c r="J476" s="48">
        <f>IF($A476="","",$A476+3)</f>
        <v/>
      </c>
      <c r="K476" s="47" t="n"/>
      <c r="L476" s="47" t="n"/>
    </row>
    <row r="477">
      <c r="A477" s="48" t="n"/>
      <c r="B477" s="47">
        <f>IF($A477="","",MIN(24,MAX(1,ROUNDUP(($A477-DayPlan!$C$2+1)/7,0))))</f>
        <v/>
      </c>
      <c r="C477" s="50" t="n"/>
      <c r="D477" s="47" t="n"/>
      <c r="E477" s="50" t="n"/>
      <c r="F477" s="50" t="n"/>
      <c r="G477" s="50" t="n"/>
      <c r="H477" s="50" t="n"/>
      <c r="I477" s="50" t="n"/>
      <c r="J477" s="48">
        <f>IF($A477="","",$A477+3)</f>
        <v/>
      </c>
      <c r="K477" s="47" t="n"/>
      <c r="L477" s="47" t="n"/>
    </row>
    <row r="478">
      <c r="A478" s="48" t="n"/>
      <c r="B478" s="47">
        <f>IF($A478="","",MIN(24,MAX(1,ROUNDUP(($A478-DayPlan!$C$2+1)/7,0))))</f>
        <v/>
      </c>
      <c r="C478" s="50" t="n"/>
      <c r="D478" s="47" t="n"/>
      <c r="E478" s="50" t="n"/>
      <c r="F478" s="50" t="n"/>
      <c r="G478" s="50" t="n"/>
      <c r="H478" s="50" t="n"/>
      <c r="I478" s="50" t="n"/>
      <c r="J478" s="48">
        <f>IF($A478="","",$A478+3)</f>
        <v/>
      </c>
      <c r="K478" s="47" t="n"/>
      <c r="L478" s="47" t="n"/>
    </row>
    <row r="479">
      <c r="A479" s="48" t="n"/>
      <c r="B479" s="47">
        <f>IF($A479="","",MIN(24,MAX(1,ROUNDUP(($A479-DayPlan!$C$2+1)/7,0))))</f>
        <v/>
      </c>
      <c r="C479" s="50" t="n"/>
      <c r="D479" s="47" t="n"/>
      <c r="E479" s="50" t="n"/>
      <c r="F479" s="50" t="n"/>
      <c r="G479" s="50" t="n"/>
      <c r="H479" s="50" t="n"/>
      <c r="I479" s="50" t="n"/>
      <c r="J479" s="48">
        <f>IF($A479="","",$A479+3)</f>
        <v/>
      </c>
      <c r="K479" s="47" t="n"/>
      <c r="L479" s="47" t="n"/>
    </row>
    <row r="480">
      <c r="A480" s="48" t="n"/>
      <c r="B480" s="47">
        <f>IF($A480="","",MIN(24,MAX(1,ROUNDUP(($A480-DayPlan!$C$2+1)/7,0))))</f>
        <v/>
      </c>
      <c r="C480" s="50" t="n"/>
      <c r="D480" s="47" t="n"/>
      <c r="E480" s="50" t="n"/>
      <c r="F480" s="50" t="n"/>
      <c r="G480" s="50" t="n"/>
      <c r="H480" s="50" t="n"/>
      <c r="I480" s="50" t="n"/>
      <c r="J480" s="48">
        <f>IF($A480="","",$A480+3)</f>
        <v/>
      </c>
      <c r="K480" s="47" t="n"/>
      <c r="L480" s="47" t="n"/>
    </row>
    <row r="481">
      <c r="A481" s="48" t="n"/>
      <c r="B481" s="47">
        <f>IF($A481="","",MIN(24,MAX(1,ROUNDUP(($A481-DayPlan!$C$2+1)/7,0))))</f>
        <v/>
      </c>
      <c r="C481" s="50" t="n"/>
      <c r="D481" s="47" t="n"/>
      <c r="E481" s="50" t="n"/>
      <c r="F481" s="50" t="n"/>
      <c r="G481" s="50" t="n"/>
      <c r="H481" s="50" t="n"/>
      <c r="I481" s="50" t="n"/>
      <c r="J481" s="48">
        <f>IF($A481="","",$A481+3)</f>
        <v/>
      </c>
      <c r="K481" s="47" t="n"/>
      <c r="L481" s="47" t="n"/>
    </row>
    <row r="482">
      <c r="A482" s="48" t="n"/>
      <c r="B482" s="47">
        <f>IF($A482="","",MIN(24,MAX(1,ROUNDUP(($A482-DayPlan!$C$2+1)/7,0))))</f>
        <v/>
      </c>
      <c r="C482" s="50" t="n"/>
      <c r="D482" s="47" t="n"/>
      <c r="E482" s="50" t="n"/>
      <c r="F482" s="50" t="n"/>
      <c r="G482" s="50" t="n"/>
      <c r="H482" s="50" t="n"/>
      <c r="I482" s="50" t="n"/>
      <c r="J482" s="48">
        <f>IF($A482="","",$A482+3)</f>
        <v/>
      </c>
      <c r="K482" s="47" t="n"/>
      <c r="L482" s="47" t="n"/>
    </row>
    <row r="483">
      <c r="A483" s="48" t="n"/>
      <c r="B483" s="47">
        <f>IF($A483="","",MIN(24,MAX(1,ROUNDUP(($A483-DayPlan!$C$2+1)/7,0))))</f>
        <v/>
      </c>
      <c r="C483" s="50" t="n"/>
      <c r="D483" s="47" t="n"/>
      <c r="E483" s="50" t="n"/>
      <c r="F483" s="50" t="n"/>
      <c r="G483" s="50" t="n"/>
      <c r="H483" s="50" t="n"/>
      <c r="I483" s="50" t="n"/>
      <c r="J483" s="48">
        <f>IF($A483="","",$A483+3)</f>
        <v/>
      </c>
      <c r="K483" s="47" t="n"/>
      <c r="L483" s="47" t="n"/>
    </row>
    <row r="484">
      <c r="A484" s="48" t="n"/>
      <c r="B484" s="47">
        <f>IF($A484="","",MIN(24,MAX(1,ROUNDUP(($A484-DayPlan!$C$2+1)/7,0))))</f>
        <v/>
      </c>
      <c r="C484" s="50" t="n"/>
      <c r="D484" s="47" t="n"/>
      <c r="E484" s="50" t="n"/>
      <c r="F484" s="50" t="n"/>
      <c r="G484" s="50" t="n"/>
      <c r="H484" s="50" t="n"/>
      <c r="I484" s="50" t="n"/>
      <c r="J484" s="48">
        <f>IF($A484="","",$A484+3)</f>
        <v/>
      </c>
      <c r="K484" s="47" t="n"/>
      <c r="L484" s="47" t="n"/>
    </row>
    <row r="485">
      <c r="A485" s="48" t="n"/>
      <c r="B485" s="47">
        <f>IF($A485="","",MIN(24,MAX(1,ROUNDUP(($A485-DayPlan!$C$2+1)/7,0))))</f>
        <v/>
      </c>
      <c r="C485" s="50" t="n"/>
      <c r="D485" s="47" t="n"/>
      <c r="E485" s="50" t="n"/>
      <c r="F485" s="50" t="n"/>
      <c r="G485" s="50" t="n"/>
      <c r="H485" s="50" t="n"/>
      <c r="I485" s="50" t="n"/>
      <c r="J485" s="48">
        <f>IF($A485="","",$A485+3)</f>
        <v/>
      </c>
      <c r="K485" s="47" t="n"/>
      <c r="L485" s="47" t="n"/>
    </row>
    <row r="486">
      <c r="A486" s="48" t="n"/>
      <c r="B486" s="47">
        <f>IF($A486="","",MIN(24,MAX(1,ROUNDUP(($A486-DayPlan!$C$2+1)/7,0))))</f>
        <v/>
      </c>
      <c r="C486" s="50" t="n"/>
      <c r="D486" s="47" t="n"/>
      <c r="E486" s="50" t="n"/>
      <c r="F486" s="50" t="n"/>
      <c r="G486" s="50" t="n"/>
      <c r="H486" s="50" t="n"/>
      <c r="I486" s="50" t="n"/>
      <c r="J486" s="48">
        <f>IF($A486="","",$A486+3)</f>
        <v/>
      </c>
      <c r="K486" s="47" t="n"/>
      <c r="L486" s="47" t="n"/>
    </row>
    <row r="487">
      <c r="A487" s="48" t="n"/>
      <c r="B487" s="47">
        <f>IF($A487="","",MIN(24,MAX(1,ROUNDUP(($A487-DayPlan!$C$2+1)/7,0))))</f>
        <v/>
      </c>
      <c r="C487" s="50" t="n"/>
      <c r="D487" s="47" t="n"/>
      <c r="E487" s="50" t="n"/>
      <c r="F487" s="50" t="n"/>
      <c r="G487" s="50" t="n"/>
      <c r="H487" s="50" t="n"/>
      <c r="I487" s="50" t="n"/>
      <c r="J487" s="48">
        <f>IF($A487="","",$A487+3)</f>
        <v/>
      </c>
      <c r="K487" s="47" t="n"/>
      <c r="L487" s="47" t="n"/>
    </row>
    <row r="488">
      <c r="A488" s="48" t="n"/>
      <c r="B488" s="47">
        <f>IF($A488="","",MIN(24,MAX(1,ROUNDUP(($A488-DayPlan!$C$2+1)/7,0))))</f>
        <v/>
      </c>
      <c r="C488" s="50" t="n"/>
      <c r="D488" s="47" t="n"/>
      <c r="E488" s="50" t="n"/>
      <c r="F488" s="50" t="n"/>
      <c r="G488" s="50" t="n"/>
      <c r="H488" s="50" t="n"/>
      <c r="I488" s="50" t="n"/>
      <c r="J488" s="48">
        <f>IF($A488="","",$A488+3)</f>
        <v/>
      </c>
      <c r="K488" s="47" t="n"/>
      <c r="L488" s="47" t="n"/>
    </row>
    <row r="489">
      <c r="A489" s="48" t="n"/>
      <c r="B489" s="47">
        <f>IF($A489="","",MIN(24,MAX(1,ROUNDUP(($A489-DayPlan!$C$2+1)/7,0))))</f>
        <v/>
      </c>
      <c r="C489" s="50" t="n"/>
      <c r="D489" s="47" t="n"/>
      <c r="E489" s="50" t="n"/>
      <c r="F489" s="50" t="n"/>
      <c r="G489" s="50" t="n"/>
      <c r="H489" s="50" t="n"/>
      <c r="I489" s="50" t="n"/>
      <c r="J489" s="48">
        <f>IF($A489="","",$A489+3)</f>
        <v/>
      </c>
      <c r="K489" s="47" t="n"/>
      <c r="L489" s="47" t="n"/>
    </row>
    <row r="490">
      <c r="A490" s="48" t="n"/>
      <c r="B490" s="47">
        <f>IF($A490="","",MIN(24,MAX(1,ROUNDUP(($A490-DayPlan!$C$2+1)/7,0))))</f>
        <v/>
      </c>
      <c r="C490" s="50" t="n"/>
      <c r="D490" s="47" t="n"/>
      <c r="E490" s="50" t="n"/>
      <c r="F490" s="50" t="n"/>
      <c r="G490" s="50" t="n"/>
      <c r="H490" s="50" t="n"/>
      <c r="I490" s="50" t="n"/>
      <c r="J490" s="48">
        <f>IF($A490="","",$A490+3)</f>
        <v/>
      </c>
      <c r="K490" s="47" t="n"/>
      <c r="L490" s="47" t="n"/>
    </row>
    <row r="491">
      <c r="A491" s="48" t="n"/>
      <c r="B491" s="47">
        <f>IF($A491="","",MIN(24,MAX(1,ROUNDUP(($A491-DayPlan!$C$2+1)/7,0))))</f>
        <v/>
      </c>
      <c r="C491" s="50" t="n"/>
      <c r="D491" s="47" t="n"/>
      <c r="E491" s="50" t="n"/>
      <c r="F491" s="50" t="n"/>
      <c r="G491" s="50" t="n"/>
      <c r="H491" s="50" t="n"/>
      <c r="I491" s="50" t="n"/>
      <c r="J491" s="48">
        <f>IF($A491="","",$A491+3)</f>
        <v/>
      </c>
      <c r="K491" s="47" t="n"/>
      <c r="L491" s="47" t="n"/>
    </row>
    <row r="492">
      <c r="A492" s="48" t="n"/>
      <c r="B492" s="47">
        <f>IF($A492="","",MIN(24,MAX(1,ROUNDUP(($A492-DayPlan!$C$2+1)/7,0))))</f>
        <v/>
      </c>
      <c r="C492" s="50" t="n"/>
      <c r="D492" s="47" t="n"/>
      <c r="E492" s="50" t="n"/>
      <c r="F492" s="50" t="n"/>
      <c r="G492" s="50" t="n"/>
      <c r="H492" s="50" t="n"/>
      <c r="I492" s="50" t="n"/>
      <c r="J492" s="48">
        <f>IF($A492="","",$A492+3)</f>
        <v/>
      </c>
      <c r="K492" s="47" t="n"/>
      <c r="L492" s="47" t="n"/>
    </row>
    <row r="493">
      <c r="A493" s="48" t="n"/>
      <c r="B493" s="47">
        <f>IF($A493="","",MIN(24,MAX(1,ROUNDUP(($A493-DayPlan!$C$2+1)/7,0))))</f>
        <v/>
      </c>
      <c r="C493" s="50" t="n"/>
      <c r="D493" s="47" t="n"/>
      <c r="E493" s="50" t="n"/>
      <c r="F493" s="50" t="n"/>
      <c r="G493" s="50" t="n"/>
      <c r="H493" s="50" t="n"/>
      <c r="I493" s="50" t="n"/>
      <c r="J493" s="48">
        <f>IF($A493="","",$A493+3)</f>
        <v/>
      </c>
      <c r="K493" s="47" t="n"/>
      <c r="L493" s="47" t="n"/>
    </row>
    <row r="494">
      <c r="A494" s="48" t="n"/>
      <c r="B494" s="47">
        <f>IF($A494="","",MIN(24,MAX(1,ROUNDUP(($A494-DayPlan!$C$2+1)/7,0))))</f>
        <v/>
      </c>
      <c r="C494" s="50" t="n"/>
      <c r="D494" s="47" t="n"/>
      <c r="E494" s="50" t="n"/>
      <c r="F494" s="50" t="n"/>
      <c r="G494" s="50" t="n"/>
      <c r="H494" s="50" t="n"/>
      <c r="I494" s="50" t="n"/>
      <c r="J494" s="48">
        <f>IF($A494="","",$A494+3)</f>
        <v/>
      </c>
      <c r="K494" s="47" t="n"/>
      <c r="L494" s="47" t="n"/>
    </row>
    <row r="495">
      <c r="A495" s="48" t="n"/>
      <c r="B495" s="47">
        <f>IF($A495="","",MIN(24,MAX(1,ROUNDUP(($A495-DayPlan!$C$2+1)/7,0))))</f>
        <v/>
      </c>
      <c r="C495" s="50" t="n"/>
      <c r="D495" s="47" t="n"/>
      <c r="E495" s="50" t="n"/>
      <c r="F495" s="50" t="n"/>
      <c r="G495" s="50" t="n"/>
      <c r="H495" s="50" t="n"/>
      <c r="I495" s="50" t="n"/>
      <c r="J495" s="48">
        <f>IF($A495="","",$A495+3)</f>
        <v/>
      </c>
      <c r="K495" s="47" t="n"/>
      <c r="L495" s="47" t="n"/>
    </row>
    <row r="496">
      <c r="A496" s="48" t="n"/>
      <c r="B496" s="47">
        <f>IF($A496="","",MIN(24,MAX(1,ROUNDUP(($A496-DayPlan!$C$2+1)/7,0))))</f>
        <v/>
      </c>
      <c r="C496" s="50" t="n"/>
      <c r="D496" s="47" t="n"/>
      <c r="E496" s="50" t="n"/>
      <c r="F496" s="50" t="n"/>
      <c r="G496" s="50" t="n"/>
      <c r="H496" s="50" t="n"/>
      <c r="I496" s="50" t="n"/>
      <c r="J496" s="48">
        <f>IF($A496="","",$A496+3)</f>
        <v/>
      </c>
      <c r="K496" s="47" t="n"/>
      <c r="L496" s="47" t="n"/>
    </row>
    <row r="497">
      <c r="A497" s="48" t="n"/>
      <c r="B497" s="47">
        <f>IF($A497="","",MIN(24,MAX(1,ROUNDUP(($A497-DayPlan!$C$2+1)/7,0))))</f>
        <v/>
      </c>
      <c r="C497" s="50" t="n"/>
      <c r="D497" s="47" t="n"/>
      <c r="E497" s="50" t="n"/>
      <c r="F497" s="50" t="n"/>
      <c r="G497" s="50" t="n"/>
      <c r="H497" s="50" t="n"/>
      <c r="I497" s="50" t="n"/>
      <c r="J497" s="48">
        <f>IF($A497="","",$A497+3)</f>
        <v/>
      </c>
      <c r="K497" s="47" t="n"/>
      <c r="L497" s="47" t="n"/>
    </row>
    <row r="498">
      <c r="A498" s="48" t="n"/>
      <c r="B498" s="47">
        <f>IF($A498="","",MIN(24,MAX(1,ROUNDUP(($A498-DayPlan!$C$2+1)/7,0))))</f>
        <v/>
      </c>
      <c r="C498" s="50" t="n"/>
      <c r="D498" s="47" t="n"/>
      <c r="E498" s="50" t="n"/>
      <c r="F498" s="50" t="n"/>
      <c r="G498" s="50" t="n"/>
      <c r="H498" s="50" t="n"/>
      <c r="I498" s="50" t="n"/>
      <c r="J498" s="48">
        <f>IF($A498="","",$A498+3)</f>
        <v/>
      </c>
      <c r="K498" s="47" t="n"/>
      <c r="L498" s="47" t="n"/>
    </row>
    <row r="499">
      <c r="A499" s="48" t="n"/>
      <c r="B499" s="47">
        <f>IF($A499="","",MIN(24,MAX(1,ROUNDUP(($A499-DayPlan!$C$2+1)/7,0))))</f>
        <v/>
      </c>
      <c r="C499" s="50" t="n"/>
      <c r="D499" s="47" t="n"/>
      <c r="E499" s="50" t="n"/>
      <c r="F499" s="50" t="n"/>
      <c r="G499" s="50" t="n"/>
      <c r="H499" s="50" t="n"/>
      <c r="I499" s="50" t="n"/>
      <c r="J499" s="48">
        <f>IF($A499="","",$A499+3)</f>
        <v/>
      </c>
      <c r="K499" s="47" t="n"/>
      <c r="L499" s="47" t="n"/>
    </row>
    <row r="500">
      <c r="A500" s="48" t="n"/>
      <c r="B500" s="47">
        <f>IF($A500="","",MIN(24,MAX(1,ROUNDUP(($A500-DayPlan!$C$2+1)/7,0))))</f>
        <v/>
      </c>
      <c r="C500" s="50" t="n"/>
      <c r="D500" s="47" t="n"/>
      <c r="E500" s="50" t="n"/>
      <c r="F500" s="50" t="n"/>
      <c r="G500" s="50" t="n"/>
      <c r="H500" s="50" t="n"/>
      <c r="I500" s="50" t="n"/>
      <c r="J500" s="48">
        <f>IF($A500="","",$A500+3)</f>
        <v/>
      </c>
      <c r="K500" s="47" t="n"/>
      <c r="L500" s="47" t="n"/>
    </row>
  </sheetData>
  <autoFilter ref="A1:L500"/>
  <conditionalFormatting sqref="K2:K500">
    <cfRule type="cellIs" priority="1" operator="equal" dxfId="1">
      <formula>"Failed again"</formula>
    </cfRule>
    <cfRule type="cellIs" priority="2" operator="equal" dxfId="0">
      <formula>"Solved independently"</formula>
    </cfRule>
  </conditionalFormatting>
  <conditionalFormatting sqref="L2:L500">
    <cfRule type="cellIs" priority="3" operator="equal" dxfId="2">
      <formula>"No"</formula>
    </cfRule>
  </conditionalFormatting>
  <dataValidations count="3">
    <dataValidation sqref="D2:D500" showDropDown="0" showInputMessage="0" showErrorMessage="0" allowBlank="1" promptTitle="Failure type" type="list">
      <formula1>"F1-Understand,F2-Pattern,F3-Derive,F4-WrongDS,F5-Complexity,F6-Implementation,F7-EdgeCase,F8-Debugging,F9-Forgot,F10-Pressure,F11-HintDependent,F12-CantExplain"</formula1>
    </dataValidation>
    <dataValidation sqref="K2:K500" showDropDown="0" showInputMessage="0" showErrorMessage="0" allowBlank="1" promptTitle="Retest result" type="list">
      <formula1>"Solved independently,Solved with hint,Failed again,Not yet retested"</formula1>
    </dataValidation>
    <dataValidation sqref="L2:L500" showDropDown="0" showInputMessage="0" showErrorMessage="0" allowBlank="1" promptTitle="Rule fired?"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4" customWidth="1" min="3" max="3"/>
    <col width="6" customWidth="1" min="4" max="4"/>
    <col width="9" customWidth="1" min="5" max="5"/>
    <col width="12" customWidth="1" min="6" max="6"/>
    <col width="11" customWidth="1" min="7" max="7"/>
    <col width="40" customWidth="1" min="8" max="8"/>
    <col width="56" customWidth="1" min="9" max="9"/>
    <col hidden="1" width="12" customWidth="1" min="10" max="10"/>
  </cols>
  <sheetData>
    <row r="1" ht="28" customHeight="1">
      <c r="A1" s="34" t="inlineStr">
        <is>
          <t>Rank</t>
        </is>
      </c>
      <c r="B1" s="34" t="inlineStr">
        <is>
          <t>Problem</t>
        </is>
      </c>
      <c r="C1" s="34" t="inlineStr">
        <is>
          <t>Pattern</t>
        </is>
      </c>
      <c r="D1" s="34" t="inlineStr">
        <is>
          <t>Diff</t>
        </is>
      </c>
      <c r="E1" s="34" t="inlineStr">
        <is>
          <t>Priority</t>
        </is>
      </c>
      <c r="F1" s="34" t="inlineStr">
        <is>
          <t>Due Date</t>
        </is>
      </c>
      <c r="G1" s="34" t="inlineStr">
        <is>
          <t>Days Overdue</t>
        </is>
      </c>
      <c r="H1" s="34" t="inlineStr">
        <is>
          <t>Why Queued</t>
        </is>
      </c>
      <c r="I1" s="34" t="inlineStr">
        <is>
          <t>Required Action</t>
        </is>
      </c>
      <c r="J1" s="34" t="inlineStr">
        <is>
          <t>Priority Key</t>
        </is>
      </c>
      <c r="K1" s="7" t="n"/>
      <c r="L1" s="51" t="inlineStr">
        <is>
          <t>PRIORITY FORMULA: 4*(solution viewed) + 3*(not independent) + 2*(hints&gt;0) + 1*(slow &gt;45min) + 3*(overdue) - 6*(mastered). Autosorts by priority. Top 25 shown.</t>
        </is>
      </c>
    </row>
    <row r="2" ht="28" customHeight="1">
      <c r="A2" s="35" t="n">
        <v>1</v>
      </c>
      <c r="B2" s="37">
        <f>IFERROR(INDEX(ProblemDB!$A$2:$A$750,MATCH($J2,ProblemDB!$V$2:$V$750,0)),"")</f>
        <v/>
      </c>
      <c r="C2" s="37">
        <f>IFERROR(INDEX(ProblemDB!$D$2:$D$750,MATCH($J2,ProblemDB!$V$2:$V$750,0)),"")</f>
        <v/>
      </c>
      <c r="D2" s="35">
        <f>IFERROR(INDEX(ProblemDB!$C$2:$C$750,MATCH($J2,ProblemDB!$V$2:$V$750,0)),"")</f>
        <v/>
      </c>
      <c r="E2" s="35">
        <f>IFERROR(INT(IFERROR(INDEX(ProblemDB!$V$2:$V$750,MATCH($J2,ProblemDB!$V$2:$V$750,0)),"")),"")</f>
        <v/>
      </c>
      <c r="F2" s="49">
        <f>IFERROR(INDEX(ProblemDB!$P$2:$P$750,MATCH($J2,ProblemDB!$V$2:$V$750,0)),"")</f>
        <v/>
      </c>
      <c r="G2" s="35">
        <f>IF(OR($F2="",$B2=""),"",INT(TODAY()-$F2))</f>
        <v/>
      </c>
      <c r="H2" s="37">
        <f>IF($B2="","",IF(IFERROR(INDEX(ProblemDB!$J$2:$J$750,MATCH($J2,ProblemDB!$V$2:$V$750,0)),"")="Yes","Needed the solution (highest priority)",IF(IFERROR(INDEX(ProblemDB!$G$2:$G$750,MATCH($J2,ProblemDB!$V$2:$V$750,0)),"")="No","Not solved independently",IF(N(IFERROR(INDEX(ProblemDB!$I$2:$I$750,MATCH($J2,ProblemDB!$V$2:$V$750,0)),""))&gt;0,"Hint-assisted",IF(AND(ISNUMBER(IFERROR(INDEX(ProblemDB!$H$2:$H$750,MATCH($J2,ProblemDB!$V$2:$V$750,0)),"")),IFERROR(INDEX(ProblemDB!$H$2:$H$750,MATCH($J2,ProblemDB!$V$2:$V$750,0)),"")&gt;45),"Solved slowly (&gt;45 min)","Spaced repetition due")))))</f>
        <v/>
      </c>
      <c r="I2" s="37">
        <f>IF($B2="","",IF($E2&gt;=7,"Blank editor + timed. Rebuild from scratch. Explain aloud.",IF($E2&gt;=4,"Rederive on paper first, then code clean. No notes.","Retrieval: state trigger + invariant + TC in 60 seconds only.")))</f>
        <v/>
      </c>
      <c r="J2" s="47">
        <f>IFERROR(LARGE(ProblemDB!$V$2:$V$750,A2),"")</f>
        <v/>
      </c>
      <c r="K2" s="7" t="n"/>
      <c r="L2" s="7" t="n"/>
    </row>
    <row r="3" ht="28" customHeight="1">
      <c r="A3" s="35" t="n">
        <v>2</v>
      </c>
      <c r="B3" s="37">
        <f>IFERROR(INDEX(ProblemDB!$A$2:$A$750,MATCH($J3,ProblemDB!$V$2:$V$750,0)),"")</f>
        <v/>
      </c>
      <c r="C3" s="37">
        <f>IFERROR(INDEX(ProblemDB!$D$2:$D$750,MATCH($J3,ProblemDB!$V$2:$V$750,0)),"")</f>
        <v/>
      </c>
      <c r="D3" s="35">
        <f>IFERROR(INDEX(ProblemDB!$C$2:$C$750,MATCH($J3,ProblemDB!$V$2:$V$750,0)),"")</f>
        <v/>
      </c>
      <c r="E3" s="35">
        <f>IFERROR(INT(IFERROR(INDEX(ProblemDB!$V$2:$V$750,MATCH($J3,ProblemDB!$V$2:$V$750,0)),"")),"")</f>
        <v/>
      </c>
      <c r="F3" s="49">
        <f>IFERROR(INDEX(ProblemDB!$P$2:$P$750,MATCH($J3,ProblemDB!$V$2:$V$750,0)),"")</f>
        <v/>
      </c>
      <c r="G3" s="35">
        <f>IF(OR($F3="",$B3=""),"",INT(TODAY()-$F3))</f>
        <v/>
      </c>
      <c r="H3" s="37">
        <f>IF($B3="","",IF(IFERROR(INDEX(ProblemDB!$J$2:$J$750,MATCH($J3,ProblemDB!$V$2:$V$750,0)),"")="Yes","Needed the solution (highest priority)",IF(IFERROR(INDEX(ProblemDB!$G$2:$G$750,MATCH($J3,ProblemDB!$V$2:$V$750,0)),"")="No","Not solved independently",IF(N(IFERROR(INDEX(ProblemDB!$I$2:$I$750,MATCH($J3,ProblemDB!$V$2:$V$750,0)),""))&gt;0,"Hint-assisted",IF(AND(ISNUMBER(IFERROR(INDEX(ProblemDB!$H$2:$H$750,MATCH($J3,ProblemDB!$V$2:$V$750,0)),"")),IFERROR(INDEX(ProblemDB!$H$2:$H$750,MATCH($J3,ProblemDB!$V$2:$V$750,0)),"")&gt;45),"Solved slowly (&gt;45 min)","Spaced repetition due")))))</f>
        <v/>
      </c>
      <c r="I3" s="37">
        <f>IF($B3="","",IF($E3&gt;=7,"Blank editor + timed. Rebuild from scratch. Explain aloud.",IF($E3&gt;=4,"Rederive on paper first, then code clean. No notes.","Retrieval: state trigger + invariant + TC in 60 seconds only.")))</f>
        <v/>
      </c>
      <c r="J3" s="47">
        <f>IFERROR(LARGE(ProblemDB!$V$2:$V$750,A3),"")</f>
        <v/>
      </c>
      <c r="K3" s="7" t="n"/>
      <c r="L3" s="7" t="n"/>
    </row>
    <row r="4" ht="28" customHeight="1">
      <c r="A4" s="35" t="n">
        <v>3</v>
      </c>
      <c r="B4" s="37">
        <f>IFERROR(INDEX(ProblemDB!$A$2:$A$750,MATCH($J4,ProblemDB!$V$2:$V$750,0)),"")</f>
        <v/>
      </c>
      <c r="C4" s="37">
        <f>IFERROR(INDEX(ProblemDB!$D$2:$D$750,MATCH($J4,ProblemDB!$V$2:$V$750,0)),"")</f>
        <v/>
      </c>
      <c r="D4" s="35">
        <f>IFERROR(INDEX(ProblemDB!$C$2:$C$750,MATCH($J4,ProblemDB!$V$2:$V$750,0)),"")</f>
        <v/>
      </c>
      <c r="E4" s="35">
        <f>IFERROR(INT(IFERROR(INDEX(ProblemDB!$V$2:$V$750,MATCH($J4,ProblemDB!$V$2:$V$750,0)),"")),"")</f>
        <v/>
      </c>
      <c r="F4" s="49">
        <f>IFERROR(INDEX(ProblemDB!$P$2:$P$750,MATCH($J4,ProblemDB!$V$2:$V$750,0)),"")</f>
        <v/>
      </c>
      <c r="G4" s="35">
        <f>IF(OR($F4="",$B4=""),"",INT(TODAY()-$F4))</f>
        <v/>
      </c>
      <c r="H4" s="37">
        <f>IF($B4="","",IF(IFERROR(INDEX(ProblemDB!$J$2:$J$750,MATCH($J4,ProblemDB!$V$2:$V$750,0)),"")="Yes","Needed the solution (highest priority)",IF(IFERROR(INDEX(ProblemDB!$G$2:$G$750,MATCH($J4,ProblemDB!$V$2:$V$750,0)),"")="No","Not solved independently",IF(N(IFERROR(INDEX(ProblemDB!$I$2:$I$750,MATCH($J4,ProblemDB!$V$2:$V$750,0)),""))&gt;0,"Hint-assisted",IF(AND(ISNUMBER(IFERROR(INDEX(ProblemDB!$H$2:$H$750,MATCH($J4,ProblemDB!$V$2:$V$750,0)),"")),IFERROR(INDEX(ProblemDB!$H$2:$H$750,MATCH($J4,ProblemDB!$V$2:$V$750,0)),"")&gt;45),"Solved slowly (&gt;45 min)","Spaced repetition due")))))</f>
        <v/>
      </c>
      <c r="I4" s="37">
        <f>IF($B4="","",IF($E4&gt;=7,"Blank editor + timed. Rebuild from scratch. Explain aloud.",IF($E4&gt;=4,"Rederive on paper first, then code clean. No notes.","Retrieval: state trigger + invariant + TC in 60 seconds only.")))</f>
        <v/>
      </c>
      <c r="J4" s="47">
        <f>IFERROR(LARGE(ProblemDB!$V$2:$V$750,A4),"")</f>
        <v/>
      </c>
      <c r="K4" s="7" t="n"/>
      <c r="L4" s="7" t="n"/>
    </row>
    <row r="5" ht="28" customHeight="1">
      <c r="A5" s="35" t="n">
        <v>4</v>
      </c>
      <c r="B5" s="37">
        <f>IFERROR(INDEX(ProblemDB!$A$2:$A$750,MATCH($J5,ProblemDB!$V$2:$V$750,0)),"")</f>
        <v/>
      </c>
      <c r="C5" s="37">
        <f>IFERROR(INDEX(ProblemDB!$D$2:$D$750,MATCH($J5,ProblemDB!$V$2:$V$750,0)),"")</f>
        <v/>
      </c>
      <c r="D5" s="35">
        <f>IFERROR(INDEX(ProblemDB!$C$2:$C$750,MATCH($J5,ProblemDB!$V$2:$V$750,0)),"")</f>
        <v/>
      </c>
      <c r="E5" s="35">
        <f>IFERROR(INT(IFERROR(INDEX(ProblemDB!$V$2:$V$750,MATCH($J5,ProblemDB!$V$2:$V$750,0)),"")),"")</f>
        <v/>
      </c>
      <c r="F5" s="49">
        <f>IFERROR(INDEX(ProblemDB!$P$2:$P$750,MATCH($J5,ProblemDB!$V$2:$V$750,0)),"")</f>
        <v/>
      </c>
      <c r="G5" s="35">
        <f>IF(OR($F5="",$B5=""),"",INT(TODAY()-$F5))</f>
        <v/>
      </c>
      <c r="H5" s="37">
        <f>IF($B5="","",IF(IFERROR(INDEX(ProblemDB!$J$2:$J$750,MATCH($J5,ProblemDB!$V$2:$V$750,0)),"")="Yes","Needed the solution (highest priority)",IF(IFERROR(INDEX(ProblemDB!$G$2:$G$750,MATCH($J5,ProblemDB!$V$2:$V$750,0)),"")="No","Not solved independently",IF(N(IFERROR(INDEX(ProblemDB!$I$2:$I$750,MATCH($J5,ProblemDB!$V$2:$V$750,0)),""))&gt;0,"Hint-assisted",IF(AND(ISNUMBER(IFERROR(INDEX(ProblemDB!$H$2:$H$750,MATCH($J5,ProblemDB!$V$2:$V$750,0)),"")),IFERROR(INDEX(ProblemDB!$H$2:$H$750,MATCH($J5,ProblemDB!$V$2:$V$750,0)),"")&gt;45),"Solved slowly (&gt;45 min)","Spaced repetition due")))))</f>
        <v/>
      </c>
      <c r="I5" s="37">
        <f>IF($B5="","",IF($E5&gt;=7,"Blank editor + timed. Rebuild from scratch. Explain aloud.",IF($E5&gt;=4,"Rederive on paper first, then code clean. No notes.","Retrieval: state trigger + invariant + TC in 60 seconds only.")))</f>
        <v/>
      </c>
      <c r="J5" s="47">
        <f>IFERROR(LARGE(ProblemDB!$V$2:$V$750,A5),"")</f>
        <v/>
      </c>
      <c r="K5" s="7" t="n"/>
      <c r="L5" s="7" t="n"/>
    </row>
    <row r="6" ht="28" customHeight="1">
      <c r="A6" s="35" t="n">
        <v>5</v>
      </c>
      <c r="B6" s="37">
        <f>IFERROR(INDEX(ProblemDB!$A$2:$A$750,MATCH($J6,ProblemDB!$V$2:$V$750,0)),"")</f>
        <v/>
      </c>
      <c r="C6" s="37">
        <f>IFERROR(INDEX(ProblemDB!$D$2:$D$750,MATCH($J6,ProblemDB!$V$2:$V$750,0)),"")</f>
        <v/>
      </c>
      <c r="D6" s="35">
        <f>IFERROR(INDEX(ProblemDB!$C$2:$C$750,MATCH($J6,ProblemDB!$V$2:$V$750,0)),"")</f>
        <v/>
      </c>
      <c r="E6" s="35">
        <f>IFERROR(INT(IFERROR(INDEX(ProblemDB!$V$2:$V$750,MATCH($J6,ProblemDB!$V$2:$V$750,0)),"")),"")</f>
        <v/>
      </c>
      <c r="F6" s="49">
        <f>IFERROR(INDEX(ProblemDB!$P$2:$P$750,MATCH($J6,ProblemDB!$V$2:$V$750,0)),"")</f>
        <v/>
      </c>
      <c r="G6" s="35">
        <f>IF(OR($F6="",$B6=""),"",INT(TODAY()-$F6))</f>
        <v/>
      </c>
      <c r="H6" s="37">
        <f>IF($B6="","",IF(IFERROR(INDEX(ProblemDB!$J$2:$J$750,MATCH($J6,ProblemDB!$V$2:$V$750,0)),"")="Yes","Needed the solution (highest priority)",IF(IFERROR(INDEX(ProblemDB!$G$2:$G$750,MATCH($J6,ProblemDB!$V$2:$V$750,0)),"")="No","Not solved independently",IF(N(IFERROR(INDEX(ProblemDB!$I$2:$I$750,MATCH($J6,ProblemDB!$V$2:$V$750,0)),""))&gt;0,"Hint-assisted",IF(AND(ISNUMBER(IFERROR(INDEX(ProblemDB!$H$2:$H$750,MATCH($J6,ProblemDB!$V$2:$V$750,0)),"")),IFERROR(INDEX(ProblemDB!$H$2:$H$750,MATCH($J6,ProblemDB!$V$2:$V$750,0)),"")&gt;45),"Solved slowly (&gt;45 min)","Spaced repetition due")))))</f>
        <v/>
      </c>
      <c r="I6" s="37">
        <f>IF($B6="","",IF($E6&gt;=7,"Blank editor + timed. Rebuild from scratch. Explain aloud.",IF($E6&gt;=4,"Rederive on paper first, then code clean. No notes.","Retrieval: state trigger + invariant + TC in 60 seconds only.")))</f>
        <v/>
      </c>
      <c r="J6" s="47">
        <f>IFERROR(LARGE(ProblemDB!$V$2:$V$750,A6),"")</f>
        <v/>
      </c>
      <c r="K6" s="7" t="n"/>
      <c r="L6" s="7" t="n"/>
    </row>
    <row r="7" ht="28" customHeight="1">
      <c r="A7" s="35" t="n">
        <v>6</v>
      </c>
      <c r="B7" s="37">
        <f>IFERROR(INDEX(ProblemDB!$A$2:$A$750,MATCH($J7,ProblemDB!$V$2:$V$750,0)),"")</f>
        <v/>
      </c>
      <c r="C7" s="37">
        <f>IFERROR(INDEX(ProblemDB!$D$2:$D$750,MATCH($J7,ProblemDB!$V$2:$V$750,0)),"")</f>
        <v/>
      </c>
      <c r="D7" s="35">
        <f>IFERROR(INDEX(ProblemDB!$C$2:$C$750,MATCH($J7,ProblemDB!$V$2:$V$750,0)),"")</f>
        <v/>
      </c>
      <c r="E7" s="35">
        <f>IFERROR(INT(IFERROR(INDEX(ProblemDB!$V$2:$V$750,MATCH($J7,ProblemDB!$V$2:$V$750,0)),"")),"")</f>
        <v/>
      </c>
      <c r="F7" s="49">
        <f>IFERROR(INDEX(ProblemDB!$P$2:$P$750,MATCH($J7,ProblemDB!$V$2:$V$750,0)),"")</f>
        <v/>
      </c>
      <c r="G7" s="35">
        <f>IF(OR($F7="",$B7=""),"",INT(TODAY()-$F7))</f>
        <v/>
      </c>
      <c r="H7" s="37">
        <f>IF($B7="","",IF(IFERROR(INDEX(ProblemDB!$J$2:$J$750,MATCH($J7,ProblemDB!$V$2:$V$750,0)),"")="Yes","Needed the solution (highest priority)",IF(IFERROR(INDEX(ProblemDB!$G$2:$G$750,MATCH($J7,ProblemDB!$V$2:$V$750,0)),"")="No","Not solved independently",IF(N(IFERROR(INDEX(ProblemDB!$I$2:$I$750,MATCH($J7,ProblemDB!$V$2:$V$750,0)),""))&gt;0,"Hint-assisted",IF(AND(ISNUMBER(IFERROR(INDEX(ProblemDB!$H$2:$H$750,MATCH($J7,ProblemDB!$V$2:$V$750,0)),"")),IFERROR(INDEX(ProblemDB!$H$2:$H$750,MATCH($J7,ProblemDB!$V$2:$V$750,0)),"")&gt;45),"Solved slowly (&gt;45 min)","Spaced repetition due")))))</f>
        <v/>
      </c>
      <c r="I7" s="37">
        <f>IF($B7="","",IF($E7&gt;=7,"Blank editor + timed. Rebuild from scratch. Explain aloud.",IF($E7&gt;=4,"Rederive on paper first, then code clean. No notes.","Retrieval: state trigger + invariant + TC in 60 seconds only.")))</f>
        <v/>
      </c>
      <c r="J7" s="47">
        <f>IFERROR(LARGE(ProblemDB!$V$2:$V$750,A7),"")</f>
        <v/>
      </c>
      <c r="K7" s="7" t="n"/>
      <c r="L7" s="7" t="n"/>
    </row>
    <row r="8" ht="28" customHeight="1">
      <c r="A8" s="35" t="n">
        <v>7</v>
      </c>
      <c r="B8" s="37">
        <f>IFERROR(INDEX(ProblemDB!$A$2:$A$750,MATCH($J8,ProblemDB!$V$2:$V$750,0)),"")</f>
        <v/>
      </c>
      <c r="C8" s="37">
        <f>IFERROR(INDEX(ProblemDB!$D$2:$D$750,MATCH($J8,ProblemDB!$V$2:$V$750,0)),"")</f>
        <v/>
      </c>
      <c r="D8" s="35">
        <f>IFERROR(INDEX(ProblemDB!$C$2:$C$750,MATCH($J8,ProblemDB!$V$2:$V$750,0)),"")</f>
        <v/>
      </c>
      <c r="E8" s="35">
        <f>IFERROR(INT(IFERROR(INDEX(ProblemDB!$V$2:$V$750,MATCH($J8,ProblemDB!$V$2:$V$750,0)),"")),"")</f>
        <v/>
      </c>
      <c r="F8" s="49">
        <f>IFERROR(INDEX(ProblemDB!$P$2:$P$750,MATCH($J8,ProblemDB!$V$2:$V$750,0)),"")</f>
        <v/>
      </c>
      <c r="G8" s="35">
        <f>IF(OR($F8="",$B8=""),"",INT(TODAY()-$F8))</f>
        <v/>
      </c>
      <c r="H8" s="37">
        <f>IF($B8="","",IF(IFERROR(INDEX(ProblemDB!$J$2:$J$750,MATCH($J8,ProblemDB!$V$2:$V$750,0)),"")="Yes","Needed the solution (highest priority)",IF(IFERROR(INDEX(ProblemDB!$G$2:$G$750,MATCH($J8,ProblemDB!$V$2:$V$750,0)),"")="No","Not solved independently",IF(N(IFERROR(INDEX(ProblemDB!$I$2:$I$750,MATCH($J8,ProblemDB!$V$2:$V$750,0)),""))&gt;0,"Hint-assisted",IF(AND(ISNUMBER(IFERROR(INDEX(ProblemDB!$H$2:$H$750,MATCH($J8,ProblemDB!$V$2:$V$750,0)),"")),IFERROR(INDEX(ProblemDB!$H$2:$H$750,MATCH($J8,ProblemDB!$V$2:$V$750,0)),"")&gt;45),"Solved slowly (&gt;45 min)","Spaced repetition due")))))</f>
        <v/>
      </c>
      <c r="I8" s="37">
        <f>IF($B8="","",IF($E8&gt;=7,"Blank editor + timed. Rebuild from scratch. Explain aloud.",IF($E8&gt;=4,"Rederive on paper first, then code clean. No notes.","Retrieval: state trigger + invariant + TC in 60 seconds only.")))</f>
        <v/>
      </c>
      <c r="J8" s="47">
        <f>IFERROR(LARGE(ProblemDB!$V$2:$V$750,A8),"")</f>
        <v/>
      </c>
      <c r="K8" s="7" t="n"/>
      <c r="L8" s="7" t="n"/>
    </row>
    <row r="9" ht="28" customHeight="1">
      <c r="A9" s="35" t="n">
        <v>8</v>
      </c>
      <c r="B9" s="37">
        <f>IFERROR(INDEX(ProblemDB!$A$2:$A$750,MATCH($J9,ProblemDB!$V$2:$V$750,0)),"")</f>
        <v/>
      </c>
      <c r="C9" s="37">
        <f>IFERROR(INDEX(ProblemDB!$D$2:$D$750,MATCH($J9,ProblemDB!$V$2:$V$750,0)),"")</f>
        <v/>
      </c>
      <c r="D9" s="35">
        <f>IFERROR(INDEX(ProblemDB!$C$2:$C$750,MATCH($J9,ProblemDB!$V$2:$V$750,0)),"")</f>
        <v/>
      </c>
      <c r="E9" s="35">
        <f>IFERROR(INT(IFERROR(INDEX(ProblemDB!$V$2:$V$750,MATCH($J9,ProblemDB!$V$2:$V$750,0)),"")),"")</f>
        <v/>
      </c>
      <c r="F9" s="49">
        <f>IFERROR(INDEX(ProblemDB!$P$2:$P$750,MATCH($J9,ProblemDB!$V$2:$V$750,0)),"")</f>
        <v/>
      </c>
      <c r="G9" s="35">
        <f>IF(OR($F9="",$B9=""),"",INT(TODAY()-$F9))</f>
        <v/>
      </c>
      <c r="H9" s="37">
        <f>IF($B9="","",IF(IFERROR(INDEX(ProblemDB!$J$2:$J$750,MATCH($J9,ProblemDB!$V$2:$V$750,0)),"")="Yes","Needed the solution (highest priority)",IF(IFERROR(INDEX(ProblemDB!$G$2:$G$750,MATCH($J9,ProblemDB!$V$2:$V$750,0)),"")="No","Not solved independently",IF(N(IFERROR(INDEX(ProblemDB!$I$2:$I$750,MATCH($J9,ProblemDB!$V$2:$V$750,0)),""))&gt;0,"Hint-assisted",IF(AND(ISNUMBER(IFERROR(INDEX(ProblemDB!$H$2:$H$750,MATCH($J9,ProblemDB!$V$2:$V$750,0)),"")),IFERROR(INDEX(ProblemDB!$H$2:$H$750,MATCH($J9,ProblemDB!$V$2:$V$750,0)),"")&gt;45),"Solved slowly (&gt;45 min)","Spaced repetition due")))))</f>
        <v/>
      </c>
      <c r="I9" s="37">
        <f>IF($B9="","",IF($E9&gt;=7,"Blank editor + timed. Rebuild from scratch. Explain aloud.",IF($E9&gt;=4,"Rederive on paper first, then code clean. No notes.","Retrieval: state trigger + invariant + TC in 60 seconds only.")))</f>
        <v/>
      </c>
      <c r="J9" s="47">
        <f>IFERROR(LARGE(ProblemDB!$V$2:$V$750,A9),"")</f>
        <v/>
      </c>
      <c r="K9" s="7" t="n"/>
      <c r="L9" s="7" t="n"/>
    </row>
    <row r="10" ht="28" customHeight="1">
      <c r="A10" s="35" t="n">
        <v>9</v>
      </c>
      <c r="B10" s="37">
        <f>IFERROR(INDEX(ProblemDB!$A$2:$A$750,MATCH($J10,ProblemDB!$V$2:$V$750,0)),"")</f>
        <v/>
      </c>
      <c r="C10" s="37">
        <f>IFERROR(INDEX(ProblemDB!$D$2:$D$750,MATCH($J10,ProblemDB!$V$2:$V$750,0)),"")</f>
        <v/>
      </c>
      <c r="D10" s="35">
        <f>IFERROR(INDEX(ProblemDB!$C$2:$C$750,MATCH($J10,ProblemDB!$V$2:$V$750,0)),"")</f>
        <v/>
      </c>
      <c r="E10" s="35">
        <f>IFERROR(INT(IFERROR(INDEX(ProblemDB!$V$2:$V$750,MATCH($J10,ProblemDB!$V$2:$V$750,0)),"")),"")</f>
        <v/>
      </c>
      <c r="F10" s="49">
        <f>IFERROR(INDEX(ProblemDB!$P$2:$P$750,MATCH($J10,ProblemDB!$V$2:$V$750,0)),"")</f>
        <v/>
      </c>
      <c r="G10" s="35">
        <f>IF(OR($F10="",$B10=""),"",INT(TODAY()-$F10))</f>
        <v/>
      </c>
      <c r="H10" s="37">
        <f>IF($B10="","",IF(IFERROR(INDEX(ProblemDB!$J$2:$J$750,MATCH($J10,ProblemDB!$V$2:$V$750,0)),"")="Yes","Needed the solution (highest priority)",IF(IFERROR(INDEX(ProblemDB!$G$2:$G$750,MATCH($J10,ProblemDB!$V$2:$V$750,0)),"")="No","Not solved independently",IF(N(IFERROR(INDEX(ProblemDB!$I$2:$I$750,MATCH($J10,ProblemDB!$V$2:$V$750,0)),""))&gt;0,"Hint-assisted",IF(AND(ISNUMBER(IFERROR(INDEX(ProblemDB!$H$2:$H$750,MATCH($J10,ProblemDB!$V$2:$V$750,0)),"")),IFERROR(INDEX(ProblemDB!$H$2:$H$750,MATCH($J10,ProblemDB!$V$2:$V$750,0)),"")&gt;45),"Solved slowly (&gt;45 min)","Spaced repetition due")))))</f>
        <v/>
      </c>
      <c r="I10" s="37">
        <f>IF($B10="","",IF($E10&gt;=7,"Blank editor + timed. Rebuild from scratch. Explain aloud.",IF($E10&gt;=4,"Rederive on paper first, then code clean. No notes.","Retrieval: state trigger + invariant + TC in 60 seconds only.")))</f>
        <v/>
      </c>
      <c r="J10" s="47">
        <f>IFERROR(LARGE(ProblemDB!$V$2:$V$750,A10),"")</f>
        <v/>
      </c>
      <c r="K10" s="7" t="n"/>
      <c r="L10" s="7" t="n"/>
    </row>
    <row r="11" ht="28" customHeight="1">
      <c r="A11" s="35" t="n">
        <v>10</v>
      </c>
      <c r="B11" s="37">
        <f>IFERROR(INDEX(ProblemDB!$A$2:$A$750,MATCH($J11,ProblemDB!$V$2:$V$750,0)),"")</f>
        <v/>
      </c>
      <c r="C11" s="37">
        <f>IFERROR(INDEX(ProblemDB!$D$2:$D$750,MATCH($J11,ProblemDB!$V$2:$V$750,0)),"")</f>
        <v/>
      </c>
      <c r="D11" s="35">
        <f>IFERROR(INDEX(ProblemDB!$C$2:$C$750,MATCH($J11,ProblemDB!$V$2:$V$750,0)),"")</f>
        <v/>
      </c>
      <c r="E11" s="35">
        <f>IFERROR(INT(IFERROR(INDEX(ProblemDB!$V$2:$V$750,MATCH($J11,ProblemDB!$V$2:$V$750,0)),"")),"")</f>
        <v/>
      </c>
      <c r="F11" s="49">
        <f>IFERROR(INDEX(ProblemDB!$P$2:$P$750,MATCH($J11,ProblemDB!$V$2:$V$750,0)),"")</f>
        <v/>
      </c>
      <c r="G11" s="35">
        <f>IF(OR($F11="",$B11=""),"",INT(TODAY()-$F11))</f>
        <v/>
      </c>
      <c r="H11" s="37">
        <f>IF($B11="","",IF(IFERROR(INDEX(ProblemDB!$J$2:$J$750,MATCH($J11,ProblemDB!$V$2:$V$750,0)),"")="Yes","Needed the solution (highest priority)",IF(IFERROR(INDEX(ProblemDB!$G$2:$G$750,MATCH($J11,ProblemDB!$V$2:$V$750,0)),"")="No","Not solved independently",IF(N(IFERROR(INDEX(ProblemDB!$I$2:$I$750,MATCH($J11,ProblemDB!$V$2:$V$750,0)),""))&gt;0,"Hint-assisted",IF(AND(ISNUMBER(IFERROR(INDEX(ProblemDB!$H$2:$H$750,MATCH($J11,ProblemDB!$V$2:$V$750,0)),"")),IFERROR(INDEX(ProblemDB!$H$2:$H$750,MATCH($J11,ProblemDB!$V$2:$V$750,0)),"")&gt;45),"Solved slowly (&gt;45 min)","Spaced repetition due")))))</f>
        <v/>
      </c>
      <c r="I11" s="37">
        <f>IF($B11="","",IF($E11&gt;=7,"Blank editor + timed. Rebuild from scratch. Explain aloud.",IF($E11&gt;=4,"Rederive on paper first, then code clean. No notes.","Retrieval: state trigger + invariant + TC in 60 seconds only.")))</f>
        <v/>
      </c>
      <c r="J11" s="47">
        <f>IFERROR(LARGE(ProblemDB!$V$2:$V$750,A11),"")</f>
        <v/>
      </c>
      <c r="K11" s="7" t="n"/>
      <c r="L11" s="7" t="n"/>
    </row>
    <row r="12" ht="28" customHeight="1">
      <c r="A12" s="35" t="n">
        <v>11</v>
      </c>
      <c r="B12" s="37">
        <f>IFERROR(INDEX(ProblemDB!$A$2:$A$750,MATCH($J12,ProblemDB!$V$2:$V$750,0)),"")</f>
        <v/>
      </c>
      <c r="C12" s="37">
        <f>IFERROR(INDEX(ProblemDB!$D$2:$D$750,MATCH($J12,ProblemDB!$V$2:$V$750,0)),"")</f>
        <v/>
      </c>
      <c r="D12" s="35">
        <f>IFERROR(INDEX(ProblemDB!$C$2:$C$750,MATCH($J12,ProblemDB!$V$2:$V$750,0)),"")</f>
        <v/>
      </c>
      <c r="E12" s="35">
        <f>IFERROR(INT(IFERROR(INDEX(ProblemDB!$V$2:$V$750,MATCH($J12,ProblemDB!$V$2:$V$750,0)),"")),"")</f>
        <v/>
      </c>
      <c r="F12" s="49">
        <f>IFERROR(INDEX(ProblemDB!$P$2:$P$750,MATCH($J12,ProblemDB!$V$2:$V$750,0)),"")</f>
        <v/>
      </c>
      <c r="G12" s="35">
        <f>IF(OR($F12="",$B12=""),"",INT(TODAY()-$F12))</f>
        <v/>
      </c>
      <c r="H12" s="37">
        <f>IF($B12="","",IF(IFERROR(INDEX(ProblemDB!$J$2:$J$750,MATCH($J12,ProblemDB!$V$2:$V$750,0)),"")="Yes","Needed the solution (highest priority)",IF(IFERROR(INDEX(ProblemDB!$G$2:$G$750,MATCH($J12,ProblemDB!$V$2:$V$750,0)),"")="No","Not solved independently",IF(N(IFERROR(INDEX(ProblemDB!$I$2:$I$750,MATCH($J12,ProblemDB!$V$2:$V$750,0)),""))&gt;0,"Hint-assisted",IF(AND(ISNUMBER(IFERROR(INDEX(ProblemDB!$H$2:$H$750,MATCH($J12,ProblemDB!$V$2:$V$750,0)),"")),IFERROR(INDEX(ProblemDB!$H$2:$H$750,MATCH($J12,ProblemDB!$V$2:$V$750,0)),"")&gt;45),"Solved slowly (&gt;45 min)","Spaced repetition due")))))</f>
        <v/>
      </c>
      <c r="I12" s="37">
        <f>IF($B12="","",IF($E12&gt;=7,"Blank editor + timed. Rebuild from scratch. Explain aloud.",IF($E12&gt;=4,"Rederive on paper first, then code clean. No notes.","Retrieval: state trigger + invariant + TC in 60 seconds only.")))</f>
        <v/>
      </c>
      <c r="J12" s="47">
        <f>IFERROR(LARGE(ProblemDB!$V$2:$V$750,A12),"")</f>
        <v/>
      </c>
      <c r="K12" s="7" t="n"/>
      <c r="L12" s="7" t="n"/>
    </row>
    <row r="13" ht="28" customHeight="1">
      <c r="A13" s="35" t="n">
        <v>12</v>
      </c>
      <c r="B13" s="37">
        <f>IFERROR(INDEX(ProblemDB!$A$2:$A$750,MATCH($J13,ProblemDB!$V$2:$V$750,0)),"")</f>
        <v/>
      </c>
      <c r="C13" s="37">
        <f>IFERROR(INDEX(ProblemDB!$D$2:$D$750,MATCH($J13,ProblemDB!$V$2:$V$750,0)),"")</f>
        <v/>
      </c>
      <c r="D13" s="35">
        <f>IFERROR(INDEX(ProblemDB!$C$2:$C$750,MATCH($J13,ProblemDB!$V$2:$V$750,0)),"")</f>
        <v/>
      </c>
      <c r="E13" s="35">
        <f>IFERROR(INT(IFERROR(INDEX(ProblemDB!$V$2:$V$750,MATCH($J13,ProblemDB!$V$2:$V$750,0)),"")),"")</f>
        <v/>
      </c>
      <c r="F13" s="49">
        <f>IFERROR(INDEX(ProblemDB!$P$2:$P$750,MATCH($J13,ProblemDB!$V$2:$V$750,0)),"")</f>
        <v/>
      </c>
      <c r="G13" s="35">
        <f>IF(OR($F13="",$B13=""),"",INT(TODAY()-$F13))</f>
        <v/>
      </c>
      <c r="H13" s="37">
        <f>IF($B13="","",IF(IFERROR(INDEX(ProblemDB!$J$2:$J$750,MATCH($J13,ProblemDB!$V$2:$V$750,0)),"")="Yes","Needed the solution (highest priority)",IF(IFERROR(INDEX(ProblemDB!$G$2:$G$750,MATCH($J13,ProblemDB!$V$2:$V$750,0)),"")="No","Not solved independently",IF(N(IFERROR(INDEX(ProblemDB!$I$2:$I$750,MATCH($J13,ProblemDB!$V$2:$V$750,0)),""))&gt;0,"Hint-assisted",IF(AND(ISNUMBER(IFERROR(INDEX(ProblemDB!$H$2:$H$750,MATCH($J13,ProblemDB!$V$2:$V$750,0)),"")),IFERROR(INDEX(ProblemDB!$H$2:$H$750,MATCH($J13,ProblemDB!$V$2:$V$750,0)),"")&gt;45),"Solved slowly (&gt;45 min)","Spaced repetition due")))))</f>
        <v/>
      </c>
      <c r="I13" s="37">
        <f>IF($B13="","",IF($E13&gt;=7,"Blank editor + timed. Rebuild from scratch. Explain aloud.",IF($E13&gt;=4,"Rederive on paper first, then code clean. No notes.","Retrieval: state trigger + invariant + TC in 60 seconds only.")))</f>
        <v/>
      </c>
      <c r="J13" s="47">
        <f>IFERROR(LARGE(ProblemDB!$V$2:$V$750,A13),"")</f>
        <v/>
      </c>
      <c r="K13" s="7" t="n"/>
      <c r="L13" s="7" t="n"/>
    </row>
    <row r="14" ht="28" customHeight="1">
      <c r="A14" s="35" t="n">
        <v>13</v>
      </c>
      <c r="B14" s="37">
        <f>IFERROR(INDEX(ProblemDB!$A$2:$A$750,MATCH($J14,ProblemDB!$V$2:$V$750,0)),"")</f>
        <v/>
      </c>
      <c r="C14" s="37">
        <f>IFERROR(INDEX(ProblemDB!$D$2:$D$750,MATCH($J14,ProblemDB!$V$2:$V$750,0)),"")</f>
        <v/>
      </c>
      <c r="D14" s="35">
        <f>IFERROR(INDEX(ProblemDB!$C$2:$C$750,MATCH($J14,ProblemDB!$V$2:$V$750,0)),"")</f>
        <v/>
      </c>
      <c r="E14" s="35">
        <f>IFERROR(INT(IFERROR(INDEX(ProblemDB!$V$2:$V$750,MATCH($J14,ProblemDB!$V$2:$V$750,0)),"")),"")</f>
        <v/>
      </c>
      <c r="F14" s="49">
        <f>IFERROR(INDEX(ProblemDB!$P$2:$P$750,MATCH($J14,ProblemDB!$V$2:$V$750,0)),"")</f>
        <v/>
      </c>
      <c r="G14" s="35">
        <f>IF(OR($F14="",$B14=""),"",INT(TODAY()-$F14))</f>
        <v/>
      </c>
      <c r="H14" s="37">
        <f>IF($B14="","",IF(IFERROR(INDEX(ProblemDB!$J$2:$J$750,MATCH($J14,ProblemDB!$V$2:$V$750,0)),"")="Yes","Needed the solution (highest priority)",IF(IFERROR(INDEX(ProblemDB!$G$2:$G$750,MATCH($J14,ProblemDB!$V$2:$V$750,0)),"")="No","Not solved independently",IF(N(IFERROR(INDEX(ProblemDB!$I$2:$I$750,MATCH($J14,ProblemDB!$V$2:$V$750,0)),""))&gt;0,"Hint-assisted",IF(AND(ISNUMBER(IFERROR(INDEX(ProblemDB!$H$2:$H$750,MATCH($J14,ProblemDB!$V$2:$V$750,0)),"")),IFERROR(INDEX(ProblemDB!$H$2:$H$750,MATCH($J14,ProblemDB!$V$2:$V$750,0)),"")&gt;45),"Solved slowly (&gt;45 min)","Spaced repetition due")))))</f>
        <v/>
      </c>
      <c r="I14" s="37">
        <f>IF($B14="","",IF($E14&gt;=7,"Blank editor + timed. Rebuild from scratch. Explain aloud.",IF($E14&gt;=4,"Rederive on paper first, then code clean. No notes.","Retrieval: state trigger + invariant + TC in 60 seconds only.")))</f>
        <v/>
      </c>
      <c r="J14" s="47">
        <f>IFERROR(LARGE(ProblemDB!$V$2:$V$750,A14),"")</f>
        <v/>
      </c>
      <c r="K14" s="7" t="n"/>
      <c r="L14" s="7" t="n"/>
    </row>
    <row r="15" ht="28" customHeight="1">
      <c r="A15" s="35" t="n">
        <v>14</v>
      </c>
      <c r="B15" s="37">
        <f>IFERROR(INDEX(ProblemDB!$A$2:$A$750,MATCH($J15,ProblemDB!$V$2:$V$750,0)),"")</f>
        <v/>
      </c>
      <c r="C15" s="37">
        <f>IFERROR(INDEX(ProblemDB!$D$2:$D$750,MATCH($J15,ProblemDB!$V$2:$V$750,0)),"")</f>
        <v/>
      </c>
      <c r="D15" s="35">
        <f>IFERROR(INDEX(ProblemDB!$C$2:$C$750,MATCH($J15,ProblemDB!$V$2:$V$750,0)),"")</f>
        <v/>
      </c>
      <c r="E15" s="35">
        <f>IFERROR(INT(IFERROR(INDEX(ProblemDB!$V$2:$V$750,MATCH($J15,ProblemDB!$V$2:$V$750,0)),"")),"")</f>
        <v/>
      </c>
      <c r="F15" s="49">
        <f>IFERROR(INDEX(ProblemDB!$P$2:$P$750,MATCH($J15,ProblemDB!$V$2:$V$750,0)),"")</f>
        <v/>
      </c>
      <c r="G15" s="35">
        <f>IF(OR($F15="",$B15=""),"",INT(TODAY()-$F15))</f>
        <v/>
      </c>
      <c r="H15" s="37">
        <f>IF($B15="","",IF(IFERROR(INDEX(ProblemDB!$J$2:$J$750,MATCH($J15,ProblemDB!$V$2:$V$750,0)),"")="Yes","Needed the solution (highest priority)",IF(IFERROR(INDEX(ProblemDB!$G$2:$G$750,MATCH($J15,ProblemDB!$V$2:$V$750,0)),"")="No","Not solved independently",IF(N(IFERROR(INDEX(ProblemDB!$I$2:$I$750,MATCH($J15,ProblemDB!$V$2:$V$750,0)),""))&gt;0,"Hint-assisted",IF(AND(ISNUMBER(IFERROR(INDEX(ProblemDB!$H$2:$H$750,MATCH($J15,ProblemDB!$V$2:$V$750,0)),"")),IFERROR(INDEX(ProblemDB!$H$2:$H$750,MATCH($J15,ProblemDB!$V$2:$V$750,0)),"")&gt;45),"Solved slowly (&gt;45 min)","Spaced repetition due")))))</f>
        <v/>
      </c>
      <c r="I15" s="37">
        <f>IF($B15="","",IF($E15&gt;=7,"Blank editor + timed. Rebuild from scratch. Explain aloud.",IF($E15&gt;=4,"Rederive on paper first, then code clean. No notes.","Retrieval: state trigger + invariant + TC in 60 seconds only.")))</f>
        <v/>
      </c>
      <c r="J15" s="47">
        <f>IFERROR(LARGE(ProblemDB!$V$2:$V$750,A15),"")</f>
        <v/>
      </c>
      <c r="K15" s="7" t="n"/>
      <c r="L15" s="7" t="n"/>
    </row>
    <row r="16" ht="28" customHeight="1">
      <c r="A16" s="35" t="n">
        <v>15</v>
      </c>
      <c r="B16" s="37">
        <f>IFERROR(INDEX(ProblemDB!$A$2:$A$750,MATCH($J16,ProblemDB!$V$2:$V$750,0)),"")</f>
        <v/>
      </c>
      <c r="C16" s="37">
        <f>IFERROR(INDEX(ProblemDB!$D$2:$D$750,MATCH($J16,ProblemDB!$V$2:$V$750,0)),"")</f>
        <v/>
      </c>
      <c r="D16" s="35">
        <f>IFERROR(INDEX(ProblemDB!$C$2:$C$750,MATCH($J16,ProblemDB!$V$2:$V$750,0)),"")</f>
        <v/>
      </c>
      <c r="E16" s="35">
        <f>IFERROR(INT(IFERROR(INDEX(ProblemDB!$V$2:$V$750,MATCH($J16,ProblemDB!$V$2:$V$750,0)),"")),"")</f>
        <v/>
      </c>
      <c r="F16" s="49">
        <f>IFERROR(INDEX(ProblemDB!$P$2:$P$750,MATCH($J16,ProblemDB!$V$2:$V$750,0)),"")</f>
        <v/>
      </c>
      <c r="G16" s="35">
        <f>IF(OR($F16="",$B16=""),"",INT(TODAY()-$F16))</f>
        <v/>
      </c>
      <c r="H16" s="37">
        <f>IF($B16="","",IF(IFERROR(INDEX(ProblemDB!$J$2:$J$750,MATCH($J16,ProblemDB!$V$2:$V$750,0)),"")="Yes","Needed the solution (highest priority)",IF(IFERROR(INDEX(ProblemDB!$G$2:$G$750,MATCH($J16,ProblemDB!$V$2:$V$750,0)),"")="No","Not solved independently",IF(N(IFERROR(INDEX(ProblemDB!$I$2:$I$750,MATCH($J16,ProblemDB!$V$2:$V$750,0)),""))&gt;0,"Hint-assisted",IF(AND(ISNUMBER(IFERROR(INDEX(ProblemDB!$H$2:$H$750,MATCH($J16,ProblemDB!$V$2:$V$750,0)),"")),IFERROR(INDEX(ProblemDB!$H$2:$H$750,MATCH($J16,ProblemDB!$V$2:$V$750,0)),"")&gt;45),"Solved slowly (&gt;45 min)","Spaced repetition due")))))</f>
        <v/>
      </c>
      <c r="I16" s="37">
        <f>IF($B16="","",IF($E16&gt;=7,"Blank editor + timed. Rebuild from scratch. Explain aloud.",IF($E16&gt;=4,"Rederive on paper first, then code clean. No notes.","Retrieval: state trigger + invariant + TC in 60 seconds only.")))</f>
        <v/>
      </c>
      <c r="J16" s="47">
        <f>IFERROR(LARGE(ProblemDB!$V$2:$V$750,A16),"")</f>
        <v/>
      </c>
      <c r="K16" s="7" t="n"/>
      <c r="L16" s="7" t="n"/>
    </row>
    <row r="17" ht="28" customHeight="1">
      <c r="A17" s="35" t="n">
        <v>16</v>
      </c>
      <c r="B17" s="37">
        <f>IFERROR(INDEX(ProblemDB!$A$2:$A$750,MATCH($J17,ProblemDB!$V$2:$V$750,0)),"")</f>
        <v/>
      </c>
      <c r="C17" s="37">
        <f>IFERROR(INDEX(ProblemDB!$D$2:$D$750,MATCH($J17,ProblemDB!$V$2:$V$750,0)),"")</f>
        <v/>
      </c>
      <c r="D17" s="35">
        <f>IFERROR(INDEX(ProblemDB!$C$2:$C$750,MATCH($J17,ProblemDB!$V$2:$V$750,0)),"")</f>
        <v/>
      </c>
      <c r="E17" s="35">
        <f>IFERROR(INT(IFERROR(INDEX(ProblemDB!$V$2:$V$750,MATCH($J17,ProblemDB!$V$2:$V$750,0)),"")),"")</f>
        <v/>
      </c>
      <c r="F17" s="49">
        <f>IFERROR(INDEX(ProblemDB!$P$2:$P$750,MATCH($J17,ProblemDB!$V$2:$V$750,0)),"")</f>
        <v/>
      </c>
      <c r="G17" s="35">
        <f>IF(OR($F17="",$B17=""),"",INT(TODAY()-$F17))</f>
        <v/>
      </c>
      <c r="H17" s="37">
        <f>IF($B17="","",IF(IFERROR(INDEX(ProblemDB!$J$2:$J$750,MATCH($J17,ProblemDB!$V$2:$V$750,0)),"")="Yes","Needed the solution (highest priority)",IF(IFERROR(INDEX(ProblemDB!$G$2:$G$750,MATCH($J17,ProblemDB!$V$2:$V$750,0)),"")="No","Not solved independently",IF(N(IFERROR(INDEX(ProblemDB!$I$2:$I$750,MATCH($J17,ProblemDB!$V$2:$V$750,0)),""))&gt;0,"Hint-assisted",IF(AND(ISNUMBER(IFERROR(INDEX(ProblemDB!$H$2:$H$750,MATCH($J17,ProblemDB!$V$2:$V$750,0)),"")),IFERROR(INDEX(ProblemDB!$H$2:$H$750,MATCH($J17,ProblemDB!$V$2:$V$750,0)),"")&gt;45),"Solved slowly (&gt;45 min)","Spaced repetition due")))))</f>
        <v/>
      </c>
      <c r="I17" s="37">
        <f>IF($B17="","",IF($E17&gt;=7,"Blank editor + timed. Rebuild from scratch. Explain aloud.",IF($E17&gt;=4,"Rederive on paper first, then code clean. No notes.","Retrieval: state trigger + invariant + TC in 60 seconds only.")))</f>
        <v/>
      </c>
      <c r="J17" s="47">
        <f>IFERROR(LARGE(ProblemDB!$V$2:$V$750,A17),"")</f>
        <v/>
      </c>
      <c r="K17" s="7" t="n"/>
      <c r="L17" s="7" t="n"/>
    </row>
    <row r="18" ht="28" customHeight="1">
      <c r="A18" s="35" t="n">
        <v>17</v>
      </c>
      <c r="B18" s="37">
        <f>IFERROR(INDEX(ProblemDB!$A$2:$A$750,MATCH($J18,ProblemDB!$V$2:$V$750,0)),"")</f>
        <v/>
      </c>
      <c r="C18" s="37">
        <f>IFERROR(INDEX(ProblemDB!$D$2:$D$750,MATCH($J18,ProblemDB!$V$2:$V$750,0)),"")</f>
        <v/>
      </c>
      <c r="D18" s="35">
        <f>IFERROR(INDEX(ProblemDB!$C$2:$C$750,MATCH($J18,ProblemDB!$V$2:$V$750,0)),"")</f>
        <v/>
      </c>
      <c r="E18" s="35">
        <f>IFERROR(INT(IFERROR(INDEX(ProblemDB!$V$2:$V$750,MATCH($J18,ProblemDB!$V$2:$V$750,0)),"")),"")</f>
        <v/>
      </c>
      <c r="F18" s="49">
        <f>IFERROR(INDEX(ProblemDB!$P$2:$P$750,MATCH($J18,ProblemDB!$V$2:$V$750,0)),"")</f>
        <v/>
      </c>
      <c r="G18" s="35">
        <f>IF(OR($F18="",$B18=""),"",INT(TODAY()-$F18))</f>
        <v/>
      </c>
      <c r="H18" s="37">
        <f>IF($B18="","",IF(IFERROR(INDEX(ProblemDB!$J$2:$J$750,MATCH($J18,ProblemDB!$V$2:$V$750,0)),"")="Yes","Needed the solution (highest priority)",IF(IFERROR(INDEX(ProblemDB!$G$2:$G$750,MATCH($J18,ProblemDB!$V$2:$V$750,0)),"")="No","Not solved independently",IF(N(IFERROR(INDEX(ProblemDB!$I$2:$I$750,MATCH($J18,ProblemDB!$V$2:$V$750,0)),""))&gt;0,"Hint-assisted",IF(AND(ISNUMBER(IFERROR(INDEX(ProblemDB!$H$2:$H$750,MATCH($J18,ProblemDB!$V$2:$V$750,0)),"")),IFERROR(INDEX(ProblemDB!$H$2:$H$750,MATCH($J18,ProblemDB!$V$2:$V$750,0)),"")&gt;45),"Solved slowly (&gt;45 min)","Spaced repetition due")))))</f>
        <v/>
      </c>
      <c r="I18" s="37">
        <f>IF($B18="","",IF($E18&gt;=7,"Blank editor + timed. Rebuild from scratch. Explain aloud.",IF($E18&gt;=4,"Rederive on paper first, then code clean. No notes.","Retrieval: state trigger + invariant + TC in 60 seconds only.")))</f>
        <v/>
      </c>
      <c r="J18" s="47">
        <f>IFERROR(LARGE(ProblemDB!$V$2:$V$750,A18),"")</f>
        <v/>
      </c>
      <c r="K18" s="7" t="n"/>
      <c r="L18" s="7" t="n"/>
    </row>
    <row r="19" ht="28" customHeight="1">
      <c r="A19" s="35" t="n">
        <v>18</v>
      </c>
      <c r="B19" s="37">
        <f>IFERROR(INDEX(ProblemDB!$A$2:$A$750,MATCH($J19,ProblemDB!$V$2:$V$750,0)),"")</f>
        <v/>
      </c>
      <c r="C19" s="37">
        <f>IFERROR(INDEX(ProblemDB!$D$2:$D$750,MATCH($J19,ProblemDB!$V$2:$V$750,0)),"")</f>
        <v/>
      </c>
      <c r="D19" s="35">
        <f>IFERROR(INDEX(ProblemDB!$C$2:$C$750,MATCH($J19,ProblemDB!$V$2:$V$750,0)),"")</f>
        <v/>
      </c>
      <c r="E19" s="35">
        <f>IFERROR(INT(IFERROR(INDEX(ProblemDB!$V$2:$V$750,MATCH($J19,ProblemDB!$V$2:$V$750,0)),"")),"")</f>
        <v/>
      </c>
      <c r="F19" s="49">
        <f>IFERROR(INDEX(ProblemDB!$P$2:$P$750,MATCH($J19,ProblemDB!$V$2:$V$750,0)),"")</f>
        <v/>
      </c>
      <c r="G19" s="35">
        <f>IF(OR($F19="",$B19=""),"",INT(TODAY()-$F19))</f>
        <v/>
      </c>
      <c r="H19" s="37">
        <f>IF($B19="","",IF(IFERROR(INDEX(ProblemDB!$J$2:$J$750,MATCH($J19,ProblemDB!$V$2:$V$750,0)),"")="Yes","Needed the solution (highest priority)",IF(IFERROR(INDEX(ProblemDB!$G$2:$G$750,MATCH($J19,ProblemDB!$V$2:$V$750,0)),"")="No","Not solved independently",IF(N(IFERROR(INDEX(ProblemDB!$I$2:$I$750,MATCH($J19,ProblemDB!$V$2:$V$750,0)),""))&gt;0,"Hint-assisted",IF(AND(ISNUMBER(IFERROR(INDEX(ProblemDB!$H$2:$H$750,MATCH($J19,ProblemDB!$V$2:$V$750,0)),"")),IFERROR(INDEX(ProblemDB!$H$2:$H$750,MATCH($J19,ProblemDB!$V$2:$V$750,0)),"")&gt;45),"Solved slowly (&gt;45 min)","Spaced repetition due")))))</f>
        <v/>
      </c>
      <c r="I19" s="37">
        <f>IF($B19="","",IF($E19&gt;=7,"Blank editor + timed. Rebuild from scratch. Explain aloud.",IF($E19&gt;=4,"Rederive on paper first, then code clean. No notes.","Retrieval: state trigger + invariant + TC in 60 seconds only.")))</f>
        <v/>
      </c>
      <c r="J19" s="47">
        <f>IFERROR(LARGE(ProblemDB!$V$2:$V$750,A19),"")</f>
        <v/>
      </c>
      <c r="K19" s="7" t="n"/>
      <c r="L19" s="7" t="n"/>
    </row>
    <row r="20" ht="28" customHeight="1">
      <c r="A20" s="35" t="n">
        <v>19</v>
      </c>
      <c r="B20" s="37">
        <f>IFERROR(INDEX(ProblemDB!$A$2:$A$750,MATCH($J20,ProblemDB!$V$2:$V$750,0)),"")</f>
        <v/>
      </c>
      <c r="C20" s="37">
        <f>IFERROR(INDEX(ProblemDB!$D$2:$D$750,MATCH($J20,ProblemDB!$V$2:$V$750,0)),"")</f>
        <v/>
      </c>
      <c r="D20" s="35">
        <f>IFERROR(INDEX(ProblemDB!$C$2:$C$750,MATCH($J20,ProblemDB!$V$2:$V$750,0)),"")</f>
        <v/>
      </c>
      <c r="E20" s="35">
        <f>IFERROR(INT(IFERROR(INDEX(ProblemDB!$V$2:$V$750,MATCH($J20,ProblemDB!$V$2:$V$750,0)),"")),"")</f>
        <v/>
      </c>
      <c r="F20" s="49">
        <f>IFERROR(INDEX(ProblemDB!$P$2:$P$750,MATCH($J20,ProblemDB!$V$2:$V$750,0)),"")</f>
        <v/>
      </c>
      <c r="G20" s="35">
        <f>IF(OR($F20="",$B20=""),"",INT(TODAY()-$F20))</f>
        <v/>
      </c>
      <c r="H20" s="37">
        <f>IF($B20="","",IF(IFERROR(INDEX(ProblemDB!$J$2:$J$750,MATCH($J20,ProblemDB!$V$2:$V$750,0)),"")="Yes","Needed the solution (highest priority)",IF(IFERROR(INDEX(ProblemDB!$G$2:$G$750,MATCH($J20,ProblemDB!$V$2:$V$750,0)),"")="No","Not solved independently",IF(N(IFERROR(INDEX(ProblemDB!$I$2:$I$750,MATCH($J20,ProblemDB!$V$2:$V$750,0)),""))&gt;0,"Hint-assisted",IF(AND(ISNUMBER(IFERROR(INDEX(ProblemDB!$H$2:$H$750,MATCH($J20,ProblemDB!$V$2:$V$750,0)),"")),IFERROR(INDEX(ProblemDB!$H$2:$H$750,MATCH($J20,ProblemDB!$V$2:$V$750,0)),"")&gt;45),"Solved slowly (&gt;45 min)","Spaced repetition due")))))</f>
        <v/>
      </c>
      <c r="I20" s="37">
        <f>IF($B20="","",IF($E20&gt;=7,"Blank editor + timed. Rebuild from scratch. Explain aloud.",IF($E20&gt;=4,"Rederive on paper first, then code clean. No notes.","Retrieval: state trigger + invariant + TC in 60 seconds only.")))</f>
        <v/>
      </c>
      <c r="J20" s="47">
        <f>IFERROR(LARGE(ProblemDB!$V$2:$V$750,A20),"")</f>
        <v/>
      </c>
      <c r="K20" s="7" t="n"/>
      <c r="L20" s="7" t="n"/>
    </row>
    <row r="21" ht="28" customHeight="1">
      <c r="A21" s="35" t="n">
        <v>20</v>
      </c>
      <c r="B21" s="37">
        <f>IFERROR(INDEX(ProblemDB!$A$2:$A$750,MATCH($J21,ProblemDB!$V$2:$V$750,0)),"")</f>
        <v/>
      </c>
      <c r="C21" s="37">
        <f>IFERROR(INDEX(ProblemDB!$D$2:$D$750,MATCH($J21,ProblemDB!$V$2:$V$750,0)),"")</f>
        <v/>
      </c>
      <c r="D21" s="35">
        <f>IFERROR(INDEX(ProblemDB!$C$2:$C$750,MATCH($J21,ProblemDB!$V$2:$V$750,0)),"")</f>
        <v/>
      </c>
      <c r="E21" s="35">
        <f>IFERROR(INT(IFERROR(INDEX(ProblemDB!$V$2:$V$750,MATCH($J21,ProblemDB!$V$2:$V$750,0)),"")),"")</f>
        <v/>
      </c>
      <c r="F21" s="49">
        <f>IFERROR(INDEX(ProblemDB!$P$2:$P$750,MATCH($J21,ProblemDB!$V$2:$V$750,0)),"")</f>
        <v/>
      </c>
      <c r="G21" s="35">
        <f>IF(OR($F21="",$B21=""),"",INT(TODAY()-$F21))</f>
        <v/>
      </c>
      <c r="H21" s="37">
        <f>IF($B21="","",IF(IFERROR(INDEX(ProblemDB!$J$2:$J$750,MATCH($J21,ProblemDB!$V$2:$V$750,0)),"")="Yes","Needed the solution (highest priority)",IF(IFERROR(INDEX(ProblemDB!$G$2:$G$750,MATCH($J21,ProblemDB!$V$2:$V$750,0)),"")="No","Not solved independently",IF(N(IFERROR(INDEX(ProblemDB!$I$2:$I$750,MATCH($J21,ProblemDB!$V$2:$V$750,0)),""))&gt;0,"Hint-assisted",IF(AND(ISNUMBER(IFERROR(INDEX(ProblemDB!$H$2:$H$750,MATCH($J21,ProblemDB!$V$2:$V$750,0)),"")),IFERROR(INDEX(ProblemDB!$H$2:$H$750,MATCH($J21,ProblemDB!$V$2:$V$750,0)),"")&gt;45),"Solved slowly (&gt;45 min)","Spaced repetition due")))))</f>
        <v/>
      </c>
      <c r="I21" s="37">
        <f>IF($B21="","",IF($E21&gt;=7,"Blank editor + timed. Rebuild from scratch. Explain aloud.",IF($E21&gt;=4,"Rederive on paper first, then code clean. No notes.","Retrieval: state trigger + invariant + TC in 60 seconds only.")))</f>
        <v/>
      </c>
      <c r="J21" s="47">
        <f>IFERROR(LARGE(ProblemDB!$V$2:$V$750,A21),"")</f>
        <v/>
      </c>
      <c r="K21" s="7" t="n"/>
      <c r="L21" s="7" t="n"/>
    </row>
    <row r="22" ht="28" customHeight="1">
      <c r="A22" s="35" t="n">
        <v>21</v>
      </c>
      <c r="B22" s="37">
        <f>IFERROR(INDEX(ProblemDB!$A$2:$A$750,MATCH($J22,ProblemDB!$V$2:$V$750,0)),"")</f>
        <v/>
      </c>
      <c r="C22" s="37">
        <f>IFERROR(INDEX(ProblemDB!$D$2:$D$750,MATCH($J22,ProblemDB!$V$2:$V$750,0)),"")</f>
        <v/>
      </c>
      <c r="D22" s="35">
        <f>IFERROR(INDEX(ProblemDB!$C$2:$C$750,MATCH($J22,ProblemDB!$V$2:$V$750,0)),"")</f>
        <v/>
      </c>
      <c r="E22" s="35">
        <f>IFERROR(INT(IFERROR(INDEX(ProblemDB!$V$2:$V$750,MATCH($J22,ProblemDB!$V$2:$V$750,0)),"")),"")</f>
        <v/>
      </c>
      <c r="F22" s="49">
        <f>IFERROR(INDEX(ProblemDB!$P$2:$P$750,MATCH($J22,ProblemDB!$V$2:$V$750,0)),"")</f>
        <v/>
      </c>
      <c r="G22" s="35">
        <f>IF(OR($F22="",$B22=""),"",INT(TODAY()-$F22))</f>
        <v/>
      </c>
      <c r="H22" s="37">
        <f>IF($B22="","",IF(IFERROR(INDEX(ProblemDB!$J$2:$J$750,MATCH($J22,ProblemDB!$V$2:$V$750,0)),"")="Yes","Needed the solution (highest priority)",IF(IFERROR(INDEX(ProblemDB!$G$2:$G$750,MATCH($J22,ProblemDB!$V$2:$V$750,0)),"")="No","Not solved independently",IF(N(IFERROR(INDEX(ProblemDB!$I$2:$I$750,MATCH($J22,ProblemDB!$V$2:$V$750,0)),""))&gt;0,"Hint-assisted",IF(AND(ISNUMBER(IFERROR(INDEX(ProblemDB!$H$2:$H$750,MATCH($J22,ProblemDB!$V$2:$V$750,0)),"")),IFERROR(INDEX(ProblemDB!$H$2:$H$750,MATCH($J22,ProblemDB!$V$2:$V$750,0)),"")&gt;45),"Solved slowly (&gt;45 min)","Spaced repetition due")))))</f>
        <v/>
      </c>
      <c r="I22" s="37">
        <f>IF($B22="","",IF($E22&gt;=7,"Blank editor + timed. Rebuild from scratch. Explain aloud.",IF($E22&gt;=4,"Rederive on paper first, then code clean. No notes.","Retrieval: state trigger + invariant + TC in 60 seconds only.")))</f>
        <v/>
      </c>
      <c r="J22" s="47">
        <f>IFERROR(LARGE(ProblemDB!$V$2:$V$750,A22),"")</f>
        <v/>
      </c>
      <c r="K22" s="7" t="n"/>
      <c r="L22" s="7" t="n"/>
    </row>
    <row r="23" ht="28" customHeight="1">
      <c r="A23" s="35" t="n">
        <v>22</v>
      </c>
      <c r="B23" s="37">
        <f>IFERROR(INDEX(ProblemDB!$A$2:$A$750,MATCH($J23,ProblemDB!$V$2:$V$750,0)),"")</f>
        <v/>
      </c>
      <c r="C23" s="37">
        <f>IFERROR(INDEX(ProblemDB!$D$2:$D$750,MATCH($J23,ProblemDB!$V$2:$V$750,0)),"")</f>
        <v/>
      </c>
      <c r="D23" s="35">
        <f>IFERROR(INDEX(ProblemDB!$C$2:$C$750,MATCH($J23,ProblemDB!$V$2:$V$750,0)),"")</f>
        <v/>
      </c>
      <c r="E23" s="35">
        <f>IFERROR(INT(IFERROR(INDEX(ProblemDB!$V$2:$V$750,MATCH($J23,ProblemDB!$V$2:$V$750,0)),"")),"")</f>
        <v/>
      </c>
      <c r="F23" s="49">
        <f>IFERROR(INDEX(ProblemDB!$P$2:$P$750,MATCH($J23,ProblemDB!$V$2:$V$750,0)),"")</f>
        <v/>
      </c>
      <c r="G23" s="35">
        <f>IF(OR($F23="",$B23=""),"",INT(TODAY()-$F23))</f>
        <v/>
      </c>
      <c r="H23" s="37">
        <f>IF($B23="","",IF(IFERROR(INDEX(ProblemDB!$J$2:$J$750,MATCH($J23,ProblemDB!$V$2:$V$750,0)),"")="Yes","Needed the solution (highest priority)",IF(IFERROR(INDEX(ProblemDB!$G$2:$G$750,MATCH($J23,ProblemDB!$V$2:$V$750,0)),"")="No","Not solved independently",IF(N(IFERROR(INDEX(ProblemDB!$I$2:$I$750,MATCH($J23,ProblemDB!$V$2:$V$750,0)),""))&gt;0,"Hint-assisted",IF(AND(ISNUMBER(IFERROR(INDEX(ProblemDB!$H$2:$H$750,MATCH($J23,ProblemDB!$V$2:$V$750,0)),"")),IFERROR(INDEX(ProblemDB!$H$2:$H$750,MATCH($J23,ProblemDB!$V$2:$V$750,0)),"")&gt;45),"Solved slowly (&gt;45 min)","Spaced repetition due")))))</f>
        <v/>
      </c>
      <c r="I23" s="37">
        <f>IF($B23="","",IF($E23&gt;=7,"Blank editor + timed. Rebuild from scratch. Explain aloud.",IF($E23&gt;=4,"Rederive on paper first, then code clean. No notes.","Retrieval: state trigger + invariant + TC in 60 seconds only.")))</f>
        <v/>
      </c>
      <c r="J23" s="47">
        <f>IFERROR(LARGE(ProblemDB!$V$2:$V$750,A23),"")</f>
        <v/>
      </c>
      <c r="K23" s="7" t="n"/>
      <c r="L23" s="7" t="n"/>
    </row>
    <row r="24" ht="28" customHeight="1">
      <c r="A24" s="35" t="n">
        <v>23</v>
      </c>
      <c r="B24" s="37">
        <f>IFERROR(INDEX(ProblemDB!$A$2:$A$750,MATCH($J24,ProblemDB!$V$2:$V$750,0)),"")</f>
        <v/>
      </c>
      <c r="C24" s="37">
        <f>IFERROR(INDEX(ProblemDB!$D$2:$D$750,MATCH($J24,ProblemDB!$V$2:$V$750,0)),"")</f>
        <v/>
      </c>
      <c r="D24" s="35">
        <f>IFERROR(INDEX(ProblemDB!$C$2:$C$750,MATCH($J24,ProblemDB!$V$2:$V$750,0)),"")</f>
        <v/>
      </c>
      <c r="E24" s="35">
        <f>IFERROR(INT(IFERROR(INDEX(ProblemDB!$V$2:$V$750,MATCH($J24,ProblemDB!$V$2:$V$750,0)),"")),"")</f>
        <v/>
      </c>
      <c r="F24" s="49">
        <f>IFERROR(INDEX(ProblemDB!$P$2:$P$750,MATCH($J24,ProblemDB!$V$2:$V$750,0)),"")</f>
        <v/>
      </c>
      <c r="G24" s="35">
        <f>IF(OR($F24="",$B24=""),"",INT(TODAY()-$F24))</f>
        <v/>
      </c>
      <c r="H24" s="37">
        <f>IF($B24="","",IF(IFERROR(INDEX(ProblemDB!$J$2:$J$750,MATCH($J24,ProblemDB!$V$2:$V$750,0)),"")="Yes","Needed the solution (highest priority)",IF(IFERROR(INDEX(ProblemDB!$G$2:$G$750,MATCH($J24,ProblemDB!$V$2:$V$750,0)),"")="No","Not solved independently",IF(N(IFERROR(INDEX(ProblemDB!$I$2:$I$750,MATCH($J24,ProblemDB!$V$2:$V$750,0)),""))&gt;0,"Hint-assisted",IF(AND(ISNUMBER(IFERROR(INDEX(ProblemDB!$H$2:$H$750,MATCH($J24,ProblemDB!$V$2:$V$750,0)),"")),IFERROR(INDEX(ProblemDB!$H$2:$H$750,MATCH($J24,ProblemDB!$V$2:$V$750,0)),"")&gt;45),"Solved slowly (&gt;45 min)","Spaced repetition due")))))</f>
        <v/>
      </c>
      <c r="I24" s="37">
        <f>IF($B24="","",IF($E24&gt;=7,"Blank editor + timed. Rebuild from scratch. Explain aloud.",IF($E24&gt;=4,"Rederive on paper first, then code clean. No notes.","Retrieval: state trigger + invariant + TC in 60 seconds only.")))</f>
        <v/>
      </c>
      <c r="J24" s="47">
        <f>IFERROR(LARGE(ProblemDB!$V$2:$V$750,A24),"")</f>
        <v/>
      </c>
      <c r="K24" s="7" t="n"/>
      <c r="L24" s="7" t="n"/>
    </row>
    <row r="25" ht="28" customHeight="1">
      <c r="A25" s="35" t="n">
        <v>24</v>
      </c>
      <c r="B25" s="37">
        <f>IFERROR(INDEX(ProblemDB!$A$2:$A$750,MATCH($J25,ProblemDB!$V$2:$V$750,0)),"")</f>
        <v/>
      </c>
      <c r="C25" s="37">
        <f>IFERROR(INDEX(ProblemDB!$D$2:$D$750,MATCH($J25,ProblemDB!$V$2:$V$750,0)),"")</f>
        <v/>
      </c>
      <c r="D25" s="35">
        <f>IFERROR(INDEX(ProblemDB!$C$2:$C$750,MATCH($J25,ProblemDB!$V$2:$V$750,0)),"")</f>
        <v/>
      </c>
      <c r="E25" s="35">
        <f>IFERROR(INT(IFERROR(INDEX(ProblemDB!$V$2:$V$750,MATCH($J25,ProblemDB!$V$2:$V$750,0)),"")),"")</f>
        <v/>
      </c>
      <c r="F25" s="49">
        <f>IFERROR(INDEX(ProblemDB!$P$2:$P$750,MATCH($J25,ProblemDB!$V$2:$V$750,0)),"")</f>
        <v/>
      </c>
      <c r="G25" s="35">
        <f>IF(OR($F25="",$B25=""),"",INT(TODAY()-$F25))</f>
        <v/>
      </c>
      <c r="H25" s="37">
        <f>IF($B25="","",IF(IFERROR(INDEX(ProblemDB!$J$2:$J$750,MATCH($J25,ProblemDB!$V$2:$V$750,0)),"")="Yes","Needed the solution (highest priority)",IF(IFERROR(INDEX(ProblemDB!$G$2:$G$750,MATCH($J25,ProblemDB!$V$2:$V$750,0)),"")="No","Not solved independently",IF(N(IFERROR(INDEX(ProblemDB!$I$2:$I$750,MATCH($J25,ProblemDB!$V$2:$V$750,0)),""))&gt;0,"Hint-assisted",IF(AND(ISNUMBER(IFERROR(INDEX(ProblemDB!$H$2:$H$750,MATCH($J25,ProblemDB!$V$2:$V$750,0)),"")),IFERROR(INDEX(ProblemDB!$H$2:$H$750,MATCH($J25,ProblemDB!$V$2:$V$750,0)),"")&gt;45),"Solved slowly (&gt;45 min)","Spaced repetition due")))))</f>
        <v/>
      </c>
      <c r="I25" s="37">
        <f>IF($B25="","",IF($E25&gt;=7,"Blank editor + timed. Rebuild from scratch. Explain aloud.",IF($E25&gt;=4,"Rederive on paper first, then code clean. No notes.","Retrieval: state trigger + invariant + TC in 60 seconds only.")))</f>
        <v/>
      </c>
      <c r="J25" s="47">
        <f>IFERROR(LARGE(ProblemDB!$V$2:$V$750,A25),"")</f>
        <v/>
      </c>
      <c r="K25" s="7" t="n"/>
      <c r="L25" s="7" t="n"/>
    </row>
    <row r="26" ht="28" customHeight="1">
      <c r="A26" s="35" t="n">
        <v>25</v>
      </c>
      <c r="B26" s="37">
        <f>IFERROR(INDEX(ProblemDB!$A$2:$A$750,MATCH($J26,ProblemDB!$V$2:$V$750,0)),"")</f>
        <v/>
      </c>
      <c r="C26" s="37">
        <f>IFERROR(INDEX(ProblemDB!$D$2:$D$750,MATCH($J26,ProblemDB!$V$2:$V$750,0)),"")</f>
        <v/>
      </c>
      <c r="D26" s="35">
        <f>IFERROR(INDEX(ProblemDB!$C$2:$C$750,MATCH($J26,ProblemDB!$V$2:$V$750,0)),"")</f>
        <v/>
      </c>
      <c r="E26" s="35">
        <f>IFERROR(INT(IFERROR(INDEX(ProblemDB!$V$2:$V$750,MATCH($J26,ProblemDB!$V$2:$V$750,0)),"")),"")</f>
        <v/>
      </c>
      <c r="F26" s="49">
        <f>IFERROR(INDEX(ProblemDB!$P$2:$P$750,MATCH($J26,ProblemDB!$V$2:$V$750,0)),"")</f>
        <v/>
      </c>
      <c r="G26" s="35">
        <f>IF(OR($F26="",$B26=""),"",INT(TODAY()-$F26))</f>
        <v/>
      </c>
      <c r="H26" s="37">
        <f>IF($B26="","",IF(IFERROR(INDEX(ProblemDB!$J$2:$J$750,MATCH($J26,ProblemDB!$V$2:$V$750,0)),"")="Yes","Needed the solution (highest priority)",IF(IFERROR(INDEX(ProblemDB!$G$2:$G$750,MATCH($J26,ProblemDB!$V$2:$V$750,0)),"")="No","Not solved independently",IF(N(IFERROR(INDEX(ProblemDB!$I$2:$I$750,MATCH($J26,ProblemDB!$V$2:$V$750,0)),""))&gt;0,"Hint-assisted",IF(AND(ISNUMBER(IFERROR(INDEX(ProblemDB!$H$2:$H$750,MATCH($J26,ProblemDB!$V$2:$V$750,0)),"")),IFERROR(INDEX(ProblemDB!$H$2:$H$750,MATCH($J26,ProblemDB!$V$2:$V$750,0)),"")&gt;45),"Solved slowly (&gt;45 min)","Spaced repetition due")))))</f>
        <v/>
      </c>
      <c r="I26" s="37">
        <f>IF($B26="","",IF($E26&gt;=7,"Blank editor + timed. Rebuild from scratch. Explain aloud.",IF($E26&gt;=4,"Rederive on paper first, then code clean. No notes.","Retrieval: state trigger + invariant + TC in 60 seconds only.")))</f>
        <v/>
      </c>
      <c r="J26" s="47">
        <f>IFERROR(LARGE(ProblemDB!$V$2:$V$750,A26),"")</f>
        <v/>
      </c>
      <c r="K26" s="7" t="n"/>
      <c r="L26" s="7" t="n"/>
    </row>
  </sheetData>
  <conditionalFormatting sqref="E2:E26">
    <cfRule type="colorScale" priority="1">
      <colorScale>
        <cfvo type="num" val="0"/>
        <cfvo type="num" val="5"/>
        <cfvo type="num" val="10"/>
        <color rgb="0016A34A"/>
        <color rgb="00CA8A04"/>
        <color rgb="00DC2626"/>
      </colorScale>
    </cfRule>
  </conditionalFormatting>
  <conditionalFormatting sqref="G2:G26">
    <cfRule type="cellIs" priority="2" operator="greaterThan" dxfId="1">
      <formula>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10" customWidth="1" min="3" max="3"/>
    <col width="11" customWidth="1" min="4" max="4"/>
    <col width="12" customWidth="1" min="5" max="5"/>
    <col width="13" customWidth="1" min="6" max="6"/>
    <col width="9"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36" customWidth="1" min="16" max="16"/>
    <col width="44" customWidth="1" min="17" max="17"/>
    <col width="8" customWidth="1" min="18" max="18"/>
    <col width="8" customWidth="1" min="19" max="19"/>
    <col width="8" customWidth="1" min="20" max="20"/>
    <col width="8" customWidth="1" min="21" max="21"/>
    <col width="22" customWidth="1" min="22" max="22"/>
  </cols>
  <sheetData>
    <row r="1" ht="28" customHeight="1">
      <c r="A1" s="34" t="inlineStr">
        <is>
          <t>Week</t>
        </is>
      </c>
      <c r="B1" s="34" t="inlineStr">
        <is>
          <t>Theme</t>
        </is>
      </c>
      <c r="C1" s="34" t="inlineStr">
        <is>
          <t>Attempted</t>
        </is>
      </c>
      <c r="D1" s="34" t="inlineStr">
        <is>
          <t>Independent</t>
        </is>
      </c>
      <c r="E1" s="34" t="inlineStr">
        <is>
          <t>Hint-assisted</t>
        </is>
      </c>
      <c r="F1" s="34" t="inlineStr">
        <is>
          <t>Solution needed</t>
        </is>
      </c>
      <c r="G1" s="34" t="inlineStr">
        <is>
          <t>Avg time (min)</t>
        </is>
      </c>
      <c r="H1" s="34" t="inlineStr">
        <is>
          <t>Pattern recog (1-5)</t>
        </is>
      </c>
      <c r="I1" s="34" t="inlineStr">
        <is>
          <t>Complexity (1-5)</t>
        </is>
      </c>
      <c r="J1" s="34" t="inlineStr">
        <is>
          <t>Coding accuracy (1-5)</t>
        </is>
      </c>
      <c r="K1" s="34" t="inlineStr">
        <is>
          <t>Debugging (1-5)</t>
        </is>
      </c>
      <c r="L1" s="34" t="inlineStr">
        <is>
          <t>Explanation (1-5)</t>
        </is>
      </c>
      <c r="M1" s="34" t="inlineStr">
        <is>
          <t>Retention (1-5)</t>
        </is>
      </c>
      <c r="N1" s="34" t="inlineStr">
        <is>
          <t>Week score (/5)</t>
        </is>
      </c>
      <c r="O1" s="34" t="inlineStr">
        <is>
          <t>Dominant failure</t>
        </is>
      </c>
      <c r="P1" s="34" t="inlineStr">
        <is>
          <t>Biggest weakness</t>
        </is>
      </c>
      <c r="Q1" s="34" t="inlineStr">
        <is>
          <t>Next week focus</t>
        </is>
      </c>
      <c r="R1" s="34" t="inlineStr">
        <is>
          <t>F2 count</t>
        </is>
      </c>
      <c r="S1" s="34" t="inlineStr">
        <is>
          <t>F3 count</t>
        </is>
      </c>
      <c r="T1" s="34" t="inlineStr">
        <is>
          <t>F5 count</t>
        </is>
      </c>
      <c r="U1" s="34" t="inlineStr">
        <is>
          <t>F10 count</t>
        </is>
      </c>
      <c r="V1" s="34" t="inlineStr">
        <is>
          <t>Auto-escalation triggered?</t>
        </is>
      </c>
    </row>
    <row r="2" ht="30" customHeight="1">
      <c r="A2" s="52" t="n">
        <v>1</v>
      </c>
      <c r="B2" s="37" t="inlineStr">
        <is>
          <t>Constraints + Counting + Hashing + Prefix</t>
        </is>
      </c>
      <c r="C2" s="35">
        <f>COUNTIFS(ProblemDB!$U$2:$U$750,$A2)</f>
        <v/>
      </c>
      <c r="D2" s="35">
        <f>COUNTIFS(ProblemDB!$U$2:$U$750,$A2,ProblemDB!$G$2:$G$750,"Yes")</f>
        <v/>
      </c>
      <c r="E2" s="35">
        <f>COUNTIFS(ProblemDB!$U$2:$U$750,$A2,ProblemDB!$I$2:$I$750,"&gt;0")</f>
        <v/>
      </c>
      <c r="F2" s="35">
        <f>COUNTIFS(ProblemDB!$U$2:$U$750,$A2,ProblemDB!$J$2:$J$750,"Yes")</f>
        <v/>
      </c>
      <c r="G2" s="35">
        <f>IFERROR(ROUND(AVERAGEIFS(ProblemDB!$H$2:$H$750,ProblemDB!$U$2:$U$750,$A2),0),"")</f>
        <v/>
      </c>
      <c r="H2" s="35" t="n"/>
      <c r="I2" s="35" t="n"/>
      <c r="J2" s="35" t="n"/>
      <c r="K2" s="35" t="n"/>
      <c r="L2" s="35" t="n"/>
      <c r="M2" s="35" t="n"/>
      <c r="N2" s="35">
        <f>IFERROR(ROUND(AVERAGE($H2:$M2),1),"")</f>
        <v/>
      </c>
      <c r="O2" s="37" t="n"/>
      <c r="P2" s="37" t="n"/>
      <c r="Q2" s="37" t="n"/>
      <c r="R2" s="47">
        <f>COUNTIFS(FailureLog!$D$2:$D$500,"F2-Pattern",FailureLog!$B$2:$B$500,$A2)</f>
        <v/>
      </c>
      <c r="S2" s="47">
        <f>COUNTIFS(FailureLog!$D$2:$D$500,"F3-Derive",FailureLog!$B$2:$B$500,$A2)</f>
        <v/>
      </c>
      <c r="T2" s="47">
        <f>COUNTIFS(FailureLog!$D$2:$D$500,"F5-Complexity",FailureLog!$B$2:$B$500,$A2)</f>
        <v/>
      </c>
      <c r="U2" s="47">
        <f>COUNTIFS(FailureLog!$D$2:$D$500,"F10-Pressure",FailureLog!$B$2:$B$500,$A2)</f>
        <v/>
      </c>
      <c r="V2" s="47">
        <f>IF(OR($R2&gt;=3,$S2&gt;=3,$T2&gt;=3,$U2&gt;=3),"YES - see README","No")</f>
        <v/>
      </c>
    </row>
    <row r="3" ht="30" customHeight="1">
      <c r="A3" s="52" t="n">
        <v>2</v>
      </c>
      <c r="B3" s="37" t="inlineStr">
        <is>
          <t>Two Pointers + Sliding Window (variable + counting + fixed)</t>
        </is>
      </c>
      <c r="C3" s="35">
        <f>COUNTIFS(ProblemDB!$U$2:$U$750,$A3)</f>
        <v/>
      </c>
      <c r="D3" s="35">
        <f>COUNTIFS(ProblemDB!$U$2:$U$750,$A3,ProblemDB!$G$2:$G$750,"Yes")</f>
        <v/>
      </c>
      <c r="E3" s="35">
        <f>COUNTIFS(ProblemDB!$U$2:$U$750,$A3,ProblemDB!$I$2:$I$750,"&gt;0")</f>
        <v/>
      </c>
      <c r="F3" s="35">
        <f>COUNTIFS(ProblemDB!$U$2:$U$750,$A3,ProblemDB!$J$2:$J$750,"Yes")</f>
        <v/>
      </c>
      <c r="G3" s="35">
        <f>IFERROR(ROUND(AVERAGEIFS(ProblemDB!$H$2:$H$750,ProblemDB!$U$2:$U$750,$A3),0),"")</f>
        <v/>
      </c>
      <c r="H3" s="35" t="n"/>
      <c r="I3" s="35" t="n"/>
      <c r="J3" s="35" t="n"/>
      <c r="K3" s="35" t="n"/>
      <c r="L3" s="35" t="n"/>
      <c r="M3" s="35" t="n"/>
      <c r="N3" s="35">
        <f>IFERROR(ROUND(AVERAGE($H3:$M3),1),"")</f>
        <v/>
      </c>
      <c r="O3" s="37" t="n"/>
      <c r="P3" s="37" t="n"/>
      <c r="Q3" s="37" t="n"/>
      <c r="R3" s="47">
        <f>COUNTIFS(FailureLog!$D$2:$D$500,"F2-Pattern",FailureLog!$B$2:$B$500,$A3)</f>
        <v/>
      </c>
      <c r="S3" s="47">
        <f>COUNTIFS(FailureLog!$D$2:$D$500,"F3-Derive",FailureLog!$B$2:$B$500,$A3)</f>
        <v/>
      </c>
      <c r="T3" s="47">
        <f>COUNTIFS(FailureLog!$D$2:$D$500,"F5-Complexity",FailureLog!$B$2:$B$500,$A3)</f>
        <v/>
      </c>
      <c r="U3" s="47">
        <f>COUNTIFS(FailureLog!$D$2:$D$500,"F10-Pressure",FailureLog!$B$2:$B$500,$A3)</f>
        <v/>
      </c>
      <c r="V3" s="47">
        <f>IF(OR($R3&gt;=3,$S3&gt;=3,$T3&gt;=3,$U3&gt;=3),"YES - see README","No")</f>
        <v/>
      </c>
    </row>
    <row r="4" ht="30" customHeight="1">
      <c r="A4" s="52" t="n">
        <v>3</v>
      </c>
      <c r="B4" s="37" t="inlineStr">
        <is>
          <t>Binary Search (index + rotated + on-answer)</t>
        </is>
      </c>
      <c r="C4" s="35">
        <f>COUNTIFS(ProblemDB!$U$2:$U$750,$A4)</f>
        <v/>
      </c>
      <c r="D4" s="35">
        <f>COUNTIFS(ProblemDB!$U$2:$U$750,$A4,ProblemDB!$G$2:$G$750,"Yes")</f>
        <v/>
      </c>
      <c r="E4" s="35">
        <f>COUNTIFS(ProblemDB!$U$2:$U$750,$A4,ProblemDB!$I$2:$I$750,"&gt;0")</f>
        <v/>
      </c>
      <c r="F4" s="35">
        <f>COUNTIFS(ProblemDB!$U$2:$U$750,$A4,ProblemDB!$J$2:$J$750,"Yes")</f>
        <v/>
      </c>
      <c r="G4" s="35">
        <f>IFERROR(ROUND(AVERAGEIFS(ProblemDB!$H$2:$H$750,ProblemDB!$U$2:$U$750,$A4),0),"")</f>
        <v/>
      </c>
      <c r="H4" s="35" t="n"/>
      <c r="I4" s="35" t="n"/>
      <c r="J4" s="35" t="n"/>
      <c r="K4" s="35" t="n"/>
      <c r="L4" s="35" t="n"/>
      <c r="M4" s="35" t="n"/>
      <c r="N4" s="35">
        <f>IFERROR(ROUND(AVERAGE($H4:$M4),1),"")</f>
        <v/>
      </c>
      <c r="O4" s="37" t="n"/>
      <c r="P4" s="37" t="n"/>
      <c r="Q4" s="37" t="n"/>
      <c r="R4" s="47">
        <f>COUNTIFS(FailureLog!$D$2:$D$500,"F2-Pattern",FailureLog!$B$2:$B$500,$A4)</f>
        <v/>
      </c>
      <c r="S4" s="47">
        <f>COUNTIFS(FailureLog!$D$2:$D$500,"F3-Derive",FailureLog!$B$2:$B$500,$A4)</f>
        <v/>
      </c>
      <c r="T4" s="47">
        <f>COUNTIFS(FailureLog!$D$2:$D$500,"F5-Complexity",FailureLog!$B$2:$B$500,$A4)</f>
        <v/>
      </c>
      <c r="U4" s="47">
        <f>COUNTIFS(FailureLog!$D$2:$D$500,"F10-Pressure",FailureLog!$B$2:$B$500,$A4)</f>
        <v/>
      </c>
      <c r="V4" s="47">
        <f>IF(OR($R4&gt;=3,$S4&gt;=3,$T4&gt;=3,$U4&gt;=3),"YES - see README","No")</f>
        <v/>
      </c>
    </row>
    <row r="5" ht="30" customHeight="1">
      <c r="A5" s="52" t="n">
        <v>4</v>
      </c>
      <c r="B5" s="37" t="inlineStr">
        <is>
          <t>Sort + Intervals/Sweep + Monotonic Stack/Deque + Diagnostic 1</t>
        </is>
      </c>
      <c r="C5" s="35">
        <f>COUNTIFS(ProblemDB!$U$2:$U$750,$A5)</f>
        <v/>
      </c>
      <c r="D5" s="35">
        <f>COUNTIFS(ProblemDB!$U$2:$U$750,$A5,ProblemDB!$G$2:$G$750,"Yes")</f>
        <v/>
      </c>
      <c r="E5" s="35">
        <f>COUNTIFS(ProblemDB!$U$2:$U$750,$A5,ProblemDB!$I$2:$I$750,"&gt;0")</f>
        <v/>
      </c>
      <c r="F5" s="35">
        <f>COUNTIFS(ProblemDB!$U$2:$U$750,$A5,ProblemDB!$J$2:$J$750,"Yes")</f>
        <v/>
      </c>
      <c r="G5" s="35">
        <f>IFERROR(ROUND(AVERAGEIFS(ProblemDB!$H$2:$H$750,ProblemDB!$U$2:$U$750,$A5),0),"")</f>
        <v/>
      </c>
      <c r="H5" s="35" t="n"/>
      <c r="I5" s="35" t="n"/>
      <c r="J5" s="35" t="n"/>
      <c r="K5" s="35" t="n"/>
      <c r="L5" s="35" t="n"/>
      <c r="M5" s="35" t="n"/>
      <c r="N5" s="35">
        <f>IFERROR(ROUND(AVERAGE($H5:$M5),1),"")</f>
        <v/>
      </c>
      <c r="O5" s="37" t="n"/>
      <c r="P5" s="37" t="n"/>
      <c r="Q5" s="37" t="n"/>
      <c r="R5" s="47">
        <f>COUNTIFS(FailureLog!$D$2:$D$500,"F2-Pattern",FailureLog!$B$2:$B$500,$A5)</f>
        <v/>
      </c>
      <c r="S5" s="47">
        <f>COUNTIFS(FailureLog!$D$2:$D$500,"F3-Derive",FailureLog!$B$2:$B$500,$A5)</f>
        <v/>
      </c>
      <c r="T5" s="47">
        <f>COUNTIFS(FailureLog!$D$2:$D$500,"F5-Complexity",FailureLog!$B$2:$B$500,$A5)</f>
        <v/>
      </c>
      <c r="U5" s="47">
        <f>COUNTIFS(FailureLog!$D$2:$D$500,"F10-Pressure",FailureLog!$B$2:$B$500,$A5)</f>
        <v/>
      </c>
      <c r="V5" s="47">
        <f>IF(OR($R5&gt;=3,$S5&gt;=3,$T5&gt;=3,$U5&gt;=3),"YES - see README","No")</f>
        <v/>
      </c>
    </row>
    <row r="6" ht="30" customHeight="1">
      <c r="A6" s="52" t="n">
        <v>5</v>
      </c>
      <c r="B6" s="37" t="inlineStr">
        <is>
          <t>Heaps + Streaming Statistics + Greedy (proof-based)</t>
        </is>
      </c>
      <c r="C6" s="35">
        <f>COUNTIFS(ProblemDB!$U$2:$U$750,$A6)</f>
        <v/>
      </c>
      <c r="D6" s="35">
        <f>COUNTIFS(ProblemDB!$U$2:$U$750,$A6,ProblemDB!$G$2:$G$750,"Yes")</f>
        <v/>
      </c>
      <c r="E6" s="35">
        <f>COUNTIFS(ProblemDB!$U$2:$U$750,$A6,ProblemDB!$I$2:$I$750,"&gt;0")</f>
        <v/>
      </c>
      <c r="F6" s="35">
        <f>COUNTIFS(ProblemDB!$U$2:$U$750,$A6,ProblemDB!$J$2:$J$750,"Yes")</f>
        <v/>
      </c>
      <c r="G6" s="35">
        <f>IFERROR(ROUND(AVERAGEIFS(ProblemDB!$H$2:$H$750,ProblemDB!$U$2:$U$750,$A6),0),"")</f>
        <v/>
      </c>
      <c r="H6" s="35" t="n"/>
      <c r="I6" s="35" t="n"/>
      <c r="J6" s="35" t="n"/>
      <c r="K6" s="35" t="n"/>
      <c r="L6" s="35" t="n"/>
      <c r="M6" s="35" t="n"/>
      <c r="N6" s="35">
        <f>IFERROR(ROUND(AVERAGE($H6:$M6),1),"")</f>
        <v/>
      </c>
      <c r="O6" s="37" t="n"/>
      <c r="P6" s="37" t="n"/>
      <c r="Q6" s="37" t="n"/>
      <c r="R6" s="47">
        <f>COUNTIFS(FailureLog!$D$2:$D$500,"F2-Pattern",FailureLog!$B$2:$B$500,$A6)</f>
        <v/>
      </c>
      <c r="S6" s="47">
        <f>COUNTIFS(FailureLog!$D$2:$D$500,"F3-Derive",FailureLog!$B$2:$B$500,$A6)</f>
        <v/>
      </c>
      <c r="T6" s="47">
        <f>COUNTIFS(FailureLog!$D$2:$D$500,"F5-Complexity",FailureLog!$B$2:$B$500,$A6)</f>
        <v/>
      </c>
      <c r="U6" s="47">
        <f>COUNTIFS(FailureLog!$D$2:$D$500,"F10-Pressure",FailureLog!$B$2:$B$500,$A6)</f>
        <v/>
      </c>
      <c r="V6" s="47">
        <f>IF(OR($R6&gt;=3,$S6&gt;=3,$T6&gt;=3,$U6&gt;=3),"YES - see README","No")</f>
        <v/>
      </c>
    </row>
    <row r="7" ht="30" customHeight="1">
      <c r="A7" s="52" t="n">
        <v>6</v>
      </c>
      <c r="B7" s="37" t="inlineStr">
        <is>
          <t>Design (LRU/LFU) + Linked List Pointers + Bit Manipulation</t>
        </is>
      </c>
      <c r="C7" s="35">
        <f>COUNTIFS(ProblemDB!$U$2:$U$750,$A7)</f>
        <v/>
      </c>
      <c r="D7" s="35">
        <f>COUNTIFS(ProblemDB!$U$2:$U$750,$A7,ProblemDB!$G$2:$G$750,"Yes")</f>
        <v/>
      </c>
      <c r="E7" s="35">
        <f>COUNTIFS(ProblemDB!$U$2:$U$750,$A7,ProblemDB!$I$2:$I$750,"&gt;0")</f>
        <v/>
      </c>
      <c r="F7" s="35">
        <f>COUNTIFS(ProblemDB!$U$2:$U$750,$A7,ProblemDB!$J$2:$J$750,"Yes")</f>
        <v/>
      </c>
      <c r="G7" s="35">
        <f>IFERROR(ROUND(AVERAGEIFS(ProblemDB!$H$2:$H$750,ProblemDB!$U$2:$U$750,$A7),0),"")</f>
        <v/>
      </c>
      <c r="H7" s="35" t="n"/>
      <c r="I7" s="35" t="n"/>
      <c r="J7" s="35" t="n"/>
      <c r="K7" s="35" t="n"/>
      <c r="L7" s="35" t="n"/>
      <c r="M7" s="35" t="n"/>
      <c r="N7" s="35">
        <f>IFERROR(ROUND(AVERAGE($H7:$M7),1),"")</f>
        <v/>
      </c>
      <c r="O7" s="37" t="n"/>
      <c r="P7" s="37" t="n"/>
      <c r="Q7" s="37" t="n"/>
      <c r="R7" s="47">
        <f>COUNTIFS(FailureLog!$D$2:$D$500,"F2-Pattern",FailureLog!$B$2:$B$500,$A7)</f>
        <v/>
      </c>
      <c r="S7" s="47">
        <f>COUNTIFS(FailureLog!$D$2:$D$500,"F3-Derive",FailureLog!$B$2:$B$500,$A7)</f>
        <v/>
      </c>
      <c r="T7" s="47">
        <f>COUNTIFS(FailureLog!$D$2:$D$500,"F5-Complexity",FailureLog!$B$2:$B$500,$A7)</f>
        <v/>
      </c>
      <c r="U7" s="47">
        <f>COUNTIFS(FailureLog!$D$2:$D$500,"F10-Pressure",FailureLog!$B$2:$B$500,$A7)</f>
        <v/>
      </c>
      <c r="V7" s="47">
        <f>IF(OR($R7&gt;=3,$S7&gt;=3,$T7&gt;=3,$U7&gt;=3),"YES - see README","No")</f>
        <v/>
      </c>
    </row>
    <row r="8" ht="30" customHeight="1">
      <c r="A8" s="52" t="n">
        <v>7</v>
      </c>
      <c r="B8" s="37" t="inlineStr">
        <is>
          <t>Tree Recursion (contract) + Tree DP + BST + Serialization</t>
        </is>
      </c>
      <c r="C8" s="35">
        <f>COUNTIFS(ProblemDB!$U$2:$U$750,$A8)</f>
        <v/>
      </c>
      <c r="D8" s="35">
        <f>COUNTIFS(ProblemDB!$U$2:$U$750,$A8,ProblemDB!$G$2:$G$750,"Yes")</f>
        <v/>
      </c>
      <c r="E8" s="35">
        <f>COUNTIFS(ProblemDB!$U$2:$U$750,$A8,ProblemDB!$I$2:$I$750,"&gt;0")</f>
        <v/>
      </c>
      <c r="F8" s="35">
        <f>COUNTIFS(ProblemDB!$U$2:$U$750,$A8,ProblemDB!$J$2:$J$750,"Yes")</f>
        <v/>
      </c>
      <c r="G8" s="35">
        <f>IFERROR(ROUND(AVERAGEIFS(ProblemDB!$H$2:$H$750,ProblemDB!$U$2:$U$750,$A8),0),"")</f>
        <v/>
      </c>
      <c r="H8" s="35" t="n"/>
      <c r="I8" s="35" t="n"/>
      <c r="J8" s="35" t="n"/>
      <c r="K8" s="35" t="n"/>
      <c r="L8" s="35" t="n"/>
      <c r="M8" s="35" t="n"/>
      <c r="N8" s="35">
        <f>IFERROR(ROUND(AVERAGE($H8:$M8),1),"")</f>
        <v/>
      </c>
      <c r="O8" s="37" t="n"/>
      <c r="P8" s="37" t="n"/>
      <c r="Q8" s="37" t="n"/>
      <c r="R8" s="47">
        <f>COUNTIFS(FailureLog!$D$2:$D$500,"F2-Pattern",FailureLog!$B$2:$B$500,$A8)</f>
        <v/>
      </c>
      <c r="S8" s="47">
        <f>COUNTIFS(FailureLog!$D$2:$D$500,"F3-Derive",FailureLog!$B$2:$B$500,$A8)</f>
        <v/>
      </c>
      <c r="T8" s="47">
        <f>COUNTIFS(FailureLog!$D$2:$D$500,"F5-Complexity",FailureLog!$B$2:$B$500,$A8)</f>
        <v/>
      </c>
      <c r="U8" s="47">
        <f>COUNTIFS(FailureLog!$D$2:$D$500,"F10-Pressure",FailureLog!$B$2:$B$500,$A8)</f>
        <v/>
      </c>
      <c r="V8" s="47">
        <f>IF(OR($R8&gt;=3,$S8&gt;=3,$T8&gt;=3,$U8&gt;=3),"YES - see README","No")</f>
        <v/>
      </c>
    </row>
    <row r="9" ht="30" customHeight="1">
      <c r="A9" s="52" t="n">
        <v>8</v>
      </c>
      <c r="B9" s="37" t="inlineStr">
        <is>
          <t>Tries + Cross-Pattern Fusion + Communication + Diagnostic 2</t>
        </is>
      </c>
      <c r="C9" s="35">
        <f>COUNTIFS(ProblemDB!$U$2:$U$750,$A9)</f>
        <v/>
      </c>
      <c r="D9" s="35">
        <f>COUNTIFS(ProblemDB!$U$2:$U$750,$A9,ProblemDB!$G$2:$G$750,"Yes")</f>
        <v/>
      </c>
      <c r="E9" s="35">
        <f>COUNTIFS(ProblemDB!$U$2:$U$750,$A9,ProblemDB!$I$2:$I$750,"&gt;0")</f>
        <v/>
      </c>
      <c r="F9" s="35">
        <f>COUNTIFS(ProblemDB!$U$2:$U$750,$A9,ProblemDB!$J$2:$J$750,"Yes")</f>
        <v/>
      </c>
      <c r="G9" s="35">
        <f>IFERROR(ROUND(AVERAGEIFS(ProblemDB!$H$2:$H$750,ProblemDB!$U$2:$U$750,$A9),0),"")</f>
        <v/>
      </c>
      <c r="H9" s="35" t="n"/>
      <c r="I9" s="35" t="n"/>
      <c r="J9" s="35" t="n"/>
      <c r="K9" s="35" t="n"/>
      <c r="L9" s="35" t="n"/>
      <c r="M9" s="35" t="n"/>
      <c r="N9" s="35">
        <f>IFERROR(ROUND(AVERAGE($H9:$M9),1),"")</f>
        <v/>
      </c>
      <c r="O9" s="37" t="n"/>
      <c r="P9" s="37" t="n"/>
      <c r="Q9" s="37" t="n"/>
      <c r="R9" s="47">
        <f>COUNTIFS(FailureLog!$D$2:$D$500,"F2-Pattern",FailureLog!$B$2:$B$500,$A9)</f>
        <v/>
      </c>
      <c r="S9" s="47">
        <f>COUNTIFS(FailureLog!$D$2:$D$500,"F3-Derive",FailureLog!$B$2:$B$500,$A9)</f>
        <v/>
      </c>
      <c r="T9" s="47">
        <f>COUNTIFS(FailureLog!$D$2:$D$500,"F5-Complexity",FailureLog!$B$2:$B$500,$A9)</f>
        <v/>
      </c>
      <c r="U9" s="47">
        <f>COUNTIFS(FailureLog!$D$2:$D$500,"F10-Pressure",FailureLog!$B$2:$B$500,$A9)</f>
        <v/>
      </c>
      <c r="V9" s="47">
        <f>IF(OR($R9&gt;=3,$S9&gt;=3,$T9&gt;=3,$U9&gt;=3),"YES - see README","No")</f>
        <v/>
      </c>
    </row>
    <row r="10" ht="30" customHeight="1">
      <c r="A10" s="52" t="n">
        <v>9</v>
      </c>
      <c r="B10" s="37" t="inlineStr">
        <is>
          <t>Graph Modelling + BFS/DFS + Union Find + Topological Sort</t>
        </is>
      </c>
      <c r="C10" s="35">
        <f>COUNTIFS(ProblemDB!$U$2:$U$750,$A10)</f>
        <v/>
      </c>
      <c r="D10" s="35">
        <f>COUNTIFS(ProblemDB!$U$2:$U$750,$A10,ProblemDB!$G$2:$G$750,"Yes")</f>
        <v/>
      </c>
      <c r="E10" s="35">
        <f>COUNTIFS(ProblemDB!$U$2:$U$750,$A10,ProblemDB!$I$2:$I$750,"&gt;0")</f>
        <v/>
      </c>
      <c r="F10" s="35">
        <f>COUNTIFS(ProblemDB!$U$2:$U$750,$A10,ProblemDB!$J$2:$J$750,"Yes")</f>
        <v/>
      </c>
      <c r="G10" s="35">
        <f>IFERROR(ROUND(AVERAGEIFS(ProblemDB!$H$2:$H$750,ProblemDB!$U$2:$U$750,$A10),0),"")</f>
        <v/>
      </c>
      <c r="H10" s="35" t="n"/>
      <c r="I10" s="35" t="n"/>
      <c r="J10" s="35" t="n"/>
      <c r="K10" s="35" t="n"/>
      <c r="L10" s="35" t="n"/>
      <c r="M10" s="35" t="n"/>
      <c r="N10" s="35">
        <f>IFERROR(ROUND(AVERAGE($H10:$M10),1),"")</f>
        <v/>
      </c>
      <c r="O10" s="37" t="n"/>
      <c r="P10" s="37" t="n"/>
      <c r="Q10" s="37" t="n"/>
      <c r="R10" s="47">
        <f>COUNTIFS(FailureLog!$D$2:$D$500,"F2-Pattern",FailureLog!$B$2:$B$500,$A10)</f>
        <v/>
      </c>
      <c r="S10" s="47">
        <f>COUNTIFS(FailureLog!$D$2:$D$500,"F3-Derive",FailureLog!$B$2:$B$500,$A10)</f>
        <v/>
      </c>
      <c r="T10" s="47">
        <f>COUNTIFS(FailureLog!$D$2:$D$500,"F5-Complexity",FailureLog!$B$2:$B$500,$A10)</f>
        <v/>
      </c>
      <c r="U10" s="47">
        <f>COUNTIFS(FailureLog!$D$2:$D$500,"F10-Pressure",FailureLog!$B$2:$B$500,$A10)</f>
        <v/>
      </c>
      <c r="V10" s="47">
        <f>IF(OR($R10&gt;=3,$S10&gt;=3,$T10&gt;=3,$U10&gt;=3),"YES - see README","No")</f>
        <v/>
      </c>
    </row>
    <row r="11" ht="30" customHeight="1">
      <c r="A11" s="52" t="n">
        <v>10</v>
      </c>
      <c r="B11" s="37" t="inlineStr">
        <is>
          <t>BFS Shortest Path + State-Space BFS + Dijkstra + Dijkstra Variants</t>
        </is>
      </c>
      <c r="C11" s="35">
        <f>COUNTIFS(ProblemDB!$U$2:$U$750,$A11)</f>
        <v/>
      </c>
      <c r="D11" s="35">
        <f>COUNTIFS(ProblemDB!$U$2:$U$750,$A11,ProblemDB!$G$2:$G$750,"Yes")</f>
        <v/>
      </c>
      <c r="E11" s="35">
        <f>COUNTIFS(ProblemDB!$U$2:$U$750,$A11,ProblemDB!$I$2:$I$750,"&gt;0")</f>
        <v/>
      </c>
      <c r="F11" s="35">
        <f>COUNTIFS(ProblemDB!$U$2:$U$750,$A11,ProblemDB!$J$2:$J$750,"Yes")</f>
        <v/>
      </c>
      <c r="G11" s="35">
        <f>IFERROR(ROUND(AVERAGEIFS(ProblemDB!$H$2:$H$750,ProblemDB!$U$2:$U$750,$A11),0),"")</f>
        <v/>
      </c>
      <c r="H11" s="35" t="n"/>
      <c r="I11" s="35" t="n"/>
      <c r="J11" s="35" t="n"/>
      <c r="K11" s="35" t="n"/>
      <c r="L11" s="35" t="n"/>
      <c r="M11" s="35" t="n"/>
      <c r="N11" s="35">
        <f>IFERROR(ROUND(AVERAGE($H11:$M11),1),"")</f>
        <v/>
      </c>
      <c r="O11" s="37" t="n"/>
      <c r="P11" s="37" t="n"/>
      <c r="Q11" s="37" t="n"/>
      <c r="R11" s="47">
        <f>COUNTIFS(FailureLog!$D$2:$D$500,"F2-Pattern",FailureLog!$B$2:$B$500,$A11)</f>
        <v/>
      </c>
      <c r="S11" s="47">
        <f>COUNTIFS(FailureLog!$D$2:$D$500,"F3-Derive",FailureLog!$B$2:$B$500,$A11)</f>
        <v/>
      </c>
      <c r="T11" s="47">
        <f>COUNTIFS(FailureLog!$D$2:$D$500,"F5-Complexity",FailureLog!$B$2:$B$500,$A11)</f>
        <v/>
      </c>
      <c r="U11" s="47">
        <f>COUNTIFS(FailureLog!$D$2:$D$500,"F10-Pressure",FailureLog!$B$2:$B$500,$A11)</f>
        <v/>
      </c>
      <c r="V11" s="47">
        <f>IF(OR($R11&gt;=3,$S11&gt;=3,$T11&gt;=3,$U11&gt;=3),"YES - see README","No")</f>
        <v/>
      </c>
    </row>
    <row r="12" ht="30" customHeight="1">
      <c r="A12" s="52" t="n">
        <v>11</v>
      </c>
      <c r="B12" s="37" t="inlineStr">
        <is>
          <t>Backtracking (dedup + pruning + bitmask) + Memoisation Bridge</t>
        </is>
      </c>
      <c r="C12" s="35">
        <f>COUNTIFS(ProblemDB!$U$2:$U$750,$A12)</f>
        <v/>
      </c>
      <c r="D12" s="35">
        <f>COUNTIFS(ProblemDB!$U$2:$U$750,$A12,ProblemDB!$G$2:$G$750,"Yes")</f>
        <v/>
      </c>
      <c r="E12" s="35">
        <f>COUNTIFS(ProblemDB!$U$2:$U$750,$A12,ProblemDB!$I$2:$I$750,"&gt;0")</f>
        <v/>
      </c>
      <c r="F12" s="35">
        <f>COUNTIFS(ProblemDB!$U$2:$U$750,$A12,ProblemDB!$J$2:$J$750,"Yes")</f>
        <v/>
      </c>
      <c r="G12" s="35">
        <f>IFERROR(ROUND(AVERAGEIFS(ProblemDB!$H$2:$H$750,ProblemDB!$U$2:$U$750,$A12),0),"")</f>
        <v/>
      </c>
      <c r="H12" s="35" t="n"/>
      <c r="I12" s="35" t="n"/>
      <c r="J12" s="35" t="n"/>
      <c r="K12" s="35" t="n"/>
      <c r="L12" s="35" t="n"/>
      <c r="M12" s="35" t="n"/>
      <c r="N12" s="35">
        <f>IFERROR(ROUND(AVERAGE($H12:$M12),1),"")</f>
        <v/>
      </c>
      <c r="O12" s="37" t="n"/>
      <c r="P12" s="37" t="n"/>
      <c r="Q12" s="37" t="n"/>
      <c r="R12" s="47">
        <f>COUNTIFS(FailureLog!$D$2:$D$500,"F2-Pattern",FailureLog!$B$2:$B$500,$A12)</f>
        <v/>
      </c>
      <c r="S12" s="47">
        <f>COUNTIFS(FailureLog!$D$2:$D$500,"F3-Derive",FailureLog!$B$2:$B$500,$A12)</f>
        <v/>
      </c>
      <c r="T12" s="47">
        <f>COUNTIFS(FailureLog!$D$2:$D$500,"F5-Complexity",FailureLog!$B$2:$B$500,$A12)</f>
        <v/>
      </c>
      <c r="U12" s="47">
        <f>COUNTIFS(FailureLog!$D$2:$D$500,"F10-Pressure",FailureLog!$B$2:$B$500,$A12)</f>
        <v/>
      </c>
      <c r="V12" s="47">
        <f>IF(OR($R12&gt;=3,$S12&gt;=3,$T12&gt;=3,$U12&gt;=3),"YES - see README","No")</f>
        <v/>
      </c>
    </row>
    <row r="13" ht="30" customHeight="1">
      <c r="A13" s="52" t="n">
        <v>12</v>
      </c>
      <c r="B13" s="37" t="inlineStr">
        <is>
          <t>DP 1D + LIS + Knapsack + Two-Sequence + Space Optimization + Diagnostic 3</t>
        </is>
      </c>
      <c r="C13" s="35">
        <f>COUNTIFS(ProblemDB!$U$2:$U$750,$A13)</f>
        <v/>
      </c>
      <c r="D13" s="35">
        <f>COUNTIFS(ProblemDB!$U$2:$U$750,$A13,ProblemDB!$G$2:$G$750,"Yes")</f>
        <v/>
      </c>
      <c r="E13" s="35">
        <f>COUNTIFS(ProblemDB!$U$2:$U$750,$A13,ProblemDB!$I$2:$I$750,"&gt;0")</f>
        <v/>
      </c>
      <c r="F13" s="35">
        <f>COUNTIFS(ProblemDB!$U$2:$U$750,$A13,ProblemDB!$J$2:$J$750,"Yes")</f>
        <v/>
      </c>
      <c r="G13" s="35">
        <f>IFERROR(ROUND(AVERAGEIFS(ProblemDB!$H$2:$H$750,ProblemDB!$U$2:$U$750,$A13),0),"")</f>
        <v/>
      </c>
      <c r="H13" s="35" t="n"/>
      <c r="I13" s="35" t="n"/>
      <c r="J13" s="35" t="n"/>
      <c r="K13" s="35" t="n"/>
      <c r="L13" s="35" t="n"/>
      <c r="M13" s="35" t="n"/>
      <c r="N13" s="35">
        <f>IFERROR(ROUND(AVERAGE($H13:$M13),1),"")</f>
        <v/>
      </c>
      <c r="O13" s="37" t="n"/>
      <c r="P13" s="37" t="n"/>
      <c r="Q13" s="37" t="n"/>
      <c r="R13" s="47">
        <f>COUNTIFS(FailureLog!$D$2:$D$500,"F2-Pattern",FailureLog!$B$2:$B$500,$A13)</f>
        <v/>
      </c>
      <c r="S13" s="47">
        <f>COUNTIFS(FailureLog!$D$2:$D$500,"F3-Derive",FailureLog!$B$2:$B$500,$A13)</f>
        <v/>
      </c>
      <c r="T13" s="47">
        <f>COUNTIFS(FailureLog!$D$2:$D$500,"F5-Complexity",FailureLog!$B$2:$B$500,$A13)</f>
        <v/>
      </c>
      <c r="U13" s="47">
        <f>COUNTIFS(FailureLog!$D$2:$D$500,"F10-Pressure",FailureLog!$B$2:$B$500,$A13)</f>
        <v/>
      </c>
      <c r="V13" s="47">
        <f>IF(OR($R13&gt;=3,$S13&gt;=3,$T13&gt;=3,$U13&gt;=3),"YES - see README","No")</f>
        <v/>
      </c>
    </row>
    <row r="14" ht="30" customHeight="1">
      <c r="A14" s="52" t="n">
        <v>13</v>
      </c>
      <c r="B14" s="37" t="inlineStr">
        <is>
          <t>Interval DP + Tree/DAG DP + Bitmask DP + DP Optimization + Counting DP</t>
        </is>
      </c>
      <c r="C14" s="35">
        <f>COUNTIFS(ProblemDB!$U$2:$U$750,$A14)</f>
        <v/>
      </c>
      <c r="D14" s="35">
        <f>COUNTIFS(ProblemDB!$U$2:$U$750,$A14,ProblemDB!$G$2:$G$750,"Yes")</f>
        <v/>
      </c>
      <c r="E14" s="35">
        <f>COUNTIFS(ProblemDB!$U$2:$U$750,$A14,ProblemDB!$I$2:$I$750,"&gt;0")</f>
        <v/>
      </c>
      <c r="F14" s="35">
        <f>COUNTIFS(ProblemDB!$U$2:$U$750,$A14,ProblemDB!$J$2:$J$750,"Yes")</f>
        <v/>
      </c>
      <c r="G14" s="35">
        <f>IFERROR(ROUND(AVERAGEIFS(ProblemDB!$H$2:$H$750,ProblemDB!$U$2:$U$750,$A14),0),"")</f>
        <v/>
      </c>
      <c r="H14" s="35" t="n"/>
      <c r="I14" s="35" t="n"/>
      <c r="J14" s="35" t="n"/>
      <c r="K14" s="35" t="n"/>
      <c r="L14" s="35" t="n"/>
      <c r="M14" s="35" t="n"/>
      <c r="N14" s="35">
        <f>IFERROR(ROUND(AVERAGE($H14:$M14),1),"")</f>
        <v/>
      </c>
      <c r="O14" s="37" t="n"/>
      <c r="P14" s="37" t="n"/>
      <c r="Q14" s="37" t="n"/>
      <c r="R14" s="47">
        <f>COUNTIFS(FailureLog!$D$2:$D$500,"F2-Pattern",FailureLog!$B$2:$B$500,$A14)</f>
        <v/>
      </c>
      <c r="S14" s="47">
        <f>COUNTIFS(FailureLog!$D$2:$D$500,"F3-Derive",FailureLog!$B$2:$B$500,$A14)</f>
        <v/>
      </c>
      <c r="T14" s="47">
        <f>COUNTIFS(FailureLog!$D$2:$D$500,"F5-Complexity",FailureLog!$B$2:$B$500,$A14)</f>
        <v/>
      </c>
      <c r="U14" s="47">
        <f>COUNTIFS(FailureLog!$D$2:$D$500,"F10-Pressure",FailureLog!$B$2:$B$500,$A14)</f>
        <v/>
      </c>
      <c r="V14" s="47">
        <f>IF(OR($R14&gt;=3,$S14&gt;=3,$T14&gt;=3,$U14&gt;=3),"YES - see README","No")</f>
        <v/>
      </c>
    </row>
    <row r="15" ht="30" customHeight="1">
      <c r="A15" s="52" t="n">
        <v>14</v>
      </c>
      <c r="B15" s="37" t="inlineStr">
        <is>
          <t>Mid-Program Consolidation + Advanced Flows + Diagnostic 4</t>
        </is>
      </c>
      <c r="C15" s="35">
        <f>COUNTIFS(ProblemDB!$U$2:$U$750,$A15)</f>
        <v/>
      </c>
      <c r="D15" s="35">
        <f>COUNTIFS(ProblemDB!$U$2:$U$750,$A15,ProblemDB!$G$2:$G$750,"Yes")</f>
        <v/>
      </c>
      <c r="E15" s="35">
        <f>COUNTIFS(ProblemDB!$U$2:$U$750,$A15,ProblemDB!$I$2:$I$750,"&gt;0")</f>
        <v/>
      </c>
      <c r="F15" s="35">
        <f>COUNTIFS(ProblemDB!$U$2:$U$750,$A15,ProblemDB!$J$2:$J$750,"Yes")</f>
        <v/>
      </c>
      <c r="G15" s="35">
        <f>IFERROR(ROUND(AVERAGEIFS(ProblemDB!$H$2:$H$750,ProblemDB!$U$2:$U$750,$A15),0),"")</f>
        <v/>
      </c>
      <c r="H15" s="35" t="n"/>
      <c r="I15" s="35" t="n"/>
      <c r="J15" s="35" t="n"/>
      <c r="K15" s="35" t="n"/>
      <c r="L15" s="35" t="n"/>
      <c r="M15" s="35" t="n"/>
      <c r="N15" s="35">
        <f>IFERROR(ROUND(AVERAGE($H15:$M15),1),"")</f>
        <v/>
      </c>
      <c r="O15" s="37" t="n"/>
      <c r="P15" s="37" t="n"/>
      <c r="Q15" s="37" t="n"/>
      <c r="R15" s="47">
        <f>COUNTIFS(FailureLog!$D$2:$D$500,"F2-Pattern",FailureLog!$B$2:$B$500,$A15)</f>
        <v/>
      </c>
      <c r="S15" s="47">
        <f>COUNTIFS(FailureLog!$D$2:$D$500,"F3-Derive",FailureLog!$B$2:$B$500,$A15)</f>
        <v/>
      </c>
      <c r="T15" s="47">
        <f>COUNTIFS(FailureLog!$D$2:$D$500,"F5-Complexity",FailureLog!$B$2:$B$500,$A15)</f>
        <v/>
      </c>
      <c r="U15" s="47">
        <f>COUNTIFS(FailureLog!$D$2:$D$500,"F10-Pressure",FailureLog!$B$2:$B$500,$A15)</f>
        <v/>
      </c>
      <c r="V15" s="47">
        <f>IF(OR($R15&gt;=3,$S15&gt;=3,$T15&gt;=3,$U15&gt;=3),"YES - see README","No")</f>
        <v/>
      </c>
    </row>
    <row r="16" ht="30" customHeight="1">
      <c r="A16" s="52" t="n">
        <v>15</v>
      </c>
      <c r="B16" s="37" t="inlineStr">
        <is>
          <t>Range Queries: Fenwick Trees (BIT) &amp; Segment Trees (Point &amp; Lazy)</t>
        </is>
      </c>
      <c r="C16" s="35">
        <f>COUNTIFS(ProblemDB!$U$2:$U$750,$A16)</f>
        <v/>
      </c>
      <c r="D16" s="35">
        <f>COUNTIFS(ProblemDB!$U$2:$U$750,$A16,ProblemDB!$G$2:$G$750,"Yes")</f>
        <v/>
      </c>
      <c r="E16" s="35">
        <f>COUNTIFS(ProblemDB!$U$2:$U$750,$A16,ProblemDB!$I$2:$I$750,"&gt;0")</f>
        <v/>
      </c>
      <c r="F16" s="35">
        <f>COUNTIFS(ProblemDB!$U$2:$U$750,$A16,ProblemDB!$J$2:$J$750,"Yes")</f>
        <v/>
      </c>
      <c r="G16" s="35">
        <f>IFERROR(ROUND(AVERAGEIFS(ProblemDB!$H$2:$H$750,ProblemDB!$U$2:$U$750,$A16),0),"")</f>
        <v/>
      </c>
      <c r="H16" s="35" t="n"/>
      <c r="I16" s="35" t="n"/>
      <c r="J16" s="35" t="n"/>
      <c r="K16" s="35" t="n"/>
      <c r="L16" s="35" t="n"/>
      <c r="M16" s="35" t="n"/>
      <c r="N16" s="35">
        <f>IFERROR(ROUND(AVERAGE($H16:$M16),1),"")</f>
        <v/>
      </c>
      <c r="O16" s="37" t="n"/>
      <c r="P16" s="37" t="n"/>
      <c r="Q16" s="37" t="n"/>
      <c r="R16" s="47">
        <f>COUNTIFS(FailureLog!$D$2:$D$500,"F2-Pattern",FailureLog!$B$2:$B$500,$A16)</f>
        <v/>
      </c>
      <c r="S16" s="47">
        <f>COUNTIFS(FailureLog!$D$2:$D$500,"F3-Derive",FailureLog!$B$2:$B$500,$A16)</f>
        <v/>
      </c>
      <c r="T16" s="47">
        <f>COUNTIFS(FailureLog!$D$2:$D$500,"F5-Complexity",FailureLog!$B$2:$B$500,$A16)</f>
        <v/>
      </c>
      <c r="U16" s="47">
        <f>COUNTIFS(FailureLog!$D$2:$D$500,"F10-Pressure",FailureLog!$B$2:$B$500,$A16)</f>
        <v/>
      </c>
      <c r="V16" s="47">
        <f>IF(OR($R16&gt;=3,$S16&gt;=3,$T16&gt;=3,$U16&gt;=3),"YES - see README","No")</f>
        <v/>
      </c>
    </row>
    <row r="17" ht="30" customHeight="1">
      <c r="A17" s="52" t="n">
        <v>16</v>
      </c>
      <c r="B17" s="37" t="inlineStr">
        <is>
          <t>Advanced Graph Topologies: Bridges, SCC, Eulerian &amp; Max-Flow</t>
        </is>
      </c>
      <c r="C17" s="35">
        <f>COUNTIFS(ProblemDB!$U$2:$U$750,$A17)</f>
        <v/>
      </c>
      <c r="D17" s="35">
        <f>COUNTIFS(ProblemDB!$U$2:$U$750,$A17,ProblemDB!$G$2:$G$750,"Yes")</f>
        <v/>
      </c>
      <c r="E17" s="35">
        <f>COUNTIFS(ProblemDB!$U$2:$U$750,$A17,ProblemDB!$I$2:$I$750,"&gt;0")</f>
        <v/>
      </c>
      <c r="F17" s="35">
        <f>COUNTIFS(ProblemDB!$U$2:$U$750,$A17,ProblemDB!$J$2:$J$750,"Yes")</f>
        <v/>
      </c>
      <c r="G17" s="35">
        <f>IFERROR(ROUND(AVERAGEIFS(ProblemDB!$H$2:$H$750,ProblemDB!$U$2:$U$750,$A17),0),"")</f>
        <v/>
      </c>
      <c r="H17" s="35" t="n"/>
      <c r="I17" s="35" t="n"/>
      <c r="J17" s="35" t="n"/>
      <c r="K17" s="35" t="n"/>
      <c r="L17" s="35" t="n"/>
      <c r="M17" s="35" t="n"/>
      <c r="N17" s="35">
        <f>IFERROR(ROUND(AVERAGE($H17:$M17),1),"")</f>
        <v/>
      </c>
      <c r="O17" s="37" t="n"/>
      <c r="P17" s="37" t="n"/>
      <c r="Q17" s="37" t="n"/>
      <c r="R17" s="47">
        <f>COUNTIFS(FailureLog!$D$2:$D$500,"F2-Pattern",FailureLog!$B$2:$B$500,$A17)</f>
        <v/>
      </c>
      <c r="S17" s="47">
        <f>COUNTIFS(FailureLog!$D$2:$D$500,"F3-Derive",FailureLog!$B$2:$B$500,$A17)</f>
        <v/>
      </c>
      <c r="T17" s="47">
        <f>COUNTIFS(FailureLog!$D$2:$D$500,"F5-Complexity",FailureLog!$B$2:$B$500,$A17)</f>
        <v/>
      </c>
      <c r="U17" s="47">
        <f>COUNTIFS(FailureLog!$D$2:$D$500,"F10-Pressure",FailureLog!$B$2:$B$500,$A17)</f>
        <v/>
      </c>
      <c r="V17" s="47">
        <f>IF(OR($R17&gt;=3,$S17&gt;=3,$T17&gt;=3,$U17&gt;=3),"YES - see README","No")</f>
        <v/>
      </c>
    </row>
    <row r="18" ht="30" customHeight="1">
      <c r="A18" s="52" t="n">
        <v>17</v>
      </c>
      <c r="B18" s="37" t="inlineStr">
        <is>
          <t>Hardware Reality: Cache Locality, Robin Hood &amp; Compressed Tries</t>
        </is>
      </c>
      <c r="C18" s="35">
        <f>COUNTIFS(ProblemDB!$U$2:$U$750,$A18)</f>
        <v/>
      </c>
      <c r="D18" s="35">
        <f>COUNTIFS(ProblemDB!$U$2:$U$750,$A18,ProblemDB!$G$2:$G$750,"Yes")</f>
        <v/>
      </c>
      <c r="E18" s="35">
        <f>COUNTIFS(ProblemDB!$U$2:$U$750,$A18,ProblemDB!$I$2:$I$750,"&gt;0")</f>
        <v/>
      </c>
      <c r="F18" s="35">
        <f>COUNTIFS(ProblemDB!$U$2:$U$750,$A18,ProblemDB!$J$2:$J$750,"Yes")</f>
        <v/>
      </c>
      <c r="G18" s="35">
        <f>IFERROR(ROUND(AVERAGEIFS(ProblemDB!$H$2:$H$750,ProblemDB!$U$2:$U$750,$A18),0),"")</f>
        <v/>
      </c>
      <c r="H18" s="35" t="n"/>
      <c r="I18" s="35" t="n"/>
      <c r="J18" s="35" t="n"/>
      <c r="K18" s="35" t="n"/>
      <c r="L18" s="35" t="n"/>
      <c r="M18" s="35" t="n"/>
      <c r="N18" s="35">
        <f>IFERROR(ROUND(AVERAGE($H18:$M18),1),"")</f>
        <v/>
      </c>
      <c r="O18" s="37" t="n"/>
      <c r="P18" s="37" t="n"/>
      <c r="Q18" s="37" t="n"/>
      <c r="R18" s="47">
        <f>COUNTIFS(FailureLog!$D$2:$D$500,"F2-Pattern",FailureLog!$B$2:$B$500,$A18)</f>
        <v/>
      </c>
      <c r="S18" s="47">
        <f>COUNTIFS(FailureLog!$D$2:$D$500,"F3-Derive",FailureLog!$B$2:$B$500,$A18)</f>
        <v/>
      </c>
      <c r="T18" s="47">
        <f>COUNTIFS(FailureLog!$D$2:$D$500,"F5-Complexity",FailureLog!$B$2:$B$500,$A18)</f>
        <v/>
      </c>
      <c r="U18" s="47">
        <f>COUNTIFS(FailureLog!$D$2:$D$500,"F10-Pressure",FailureLog!$B$2:$B$500,$A18)</f>
        <v/>
      </c>
      <c r="V18" s="47">
        <f>IF(OR($R18&gt;=3,$S18&gt;=3,$T18&gt;=3,$U18&gt;=3),"YES - see README","No")</f>
        <v/>
      </c>
    </row>
    <row r="19" ht="30" customHeight="1">
      <c r="A19" s="52" t="n">
        <v>18</v>
      </c>
      <c r="B19" s="37" t="inlineStr">
        <is>
          <t>String Automata: KMP, Z-Algorithm, Aho-Corasick &amp; BPE Tokenizers</t>
        </is>
      </c>
      <c r="C19" s="35">
        <f>COUNTIFS(ProblemDB!$U$2:$U$750,$A19)</f>
        <v/>
      </c>
      <c r="D19" s="35">
        <f>COUNTIFS(ProblemDB!$U$2:$U$750,$A19,ProblemDB!$G$2:$G$750,"Yes")</f>
        <v/>
      </c>
      <c r="E19" s="35">
        <f>COUNTIFS(ProblemDB!$U$2:$U$750,$A19,ProblemDB!$I$2:$I$750,"&gt;0")</f>
        <v/>
      </c>
      <c r="F19" s="35">
        <f>COUNTIFS(ProblemDB!$U$2:$U$750,$A19,ProblemDB!$J$2:$J$750,"Yes")</f>
        <v/>
      </c>
      <c r="G19" s="35">
        <f>IFERROR(ROUND(AVERAGEIFS(ProblemDB!$H$2:$H$750,ProblemDB!$U$2:$U$750,$A19),0),"")</f>
        <v/>
      </c>
      <c r="H19" s="35" t="n"/>
      <c r="I19" s="35" t="n"/>
      <c r="J19" s="35" t="n"/>
      <c r="K19" s="35" t="n"/>
      <c r="L19" s="35" t="n"/>
      <c r="M19" s="35" t="n"/>
      <c r="N19" s="35">
        <f>IFERROR(ROUND(AVERAGE($H19:$M19),1),"")</f>
        <v/>
      </c>
      <c r="O19" s="37" t="n"/>
      <c r="P19" s="37" t="n"/>
      <c r="Q19" s="37" t="n"/>
      <c r="R19" s="47">
        <f>COUNTIFS(FailureLog!$D$2:$D$500,"F2-Pattern",FailureLog!$B$2:$B$500,$A19)</f>
        <v/>
      </c>
      <c r="S19" s="47">
        <f>COUNTIFS(FailureLog!$D$2:$D$500,"F3-Derive",FailureLog!$B$2:$B$500,$A19)</f>
        <v/>
      </c>
      <c r="T19" s="47">
        <f>COUNTIFS(FailureLog!$D$2:$D$500,"F5-Complexity",FailureLog!$B$2:$B$500,$A19)</f>
        <v/>
      </c>
      <c r="U19" s="47">
        <f>COUNTIFS(FailureLog!$D$2:$D$500,"F10-Pressure",FailureLog!$B$2:$B$500,$A19)</f>
        <v/>
      </c>
      <c r="V19" s="47">
        <f>IF(OR($R19&gt;=3,$S19&gt;=3,$T19&gt;=3,$U19&gt;=3),"YES - see README","No")</f>
        <v/>
      </c>
    </row>
    <row r="20" ht="30" customHeight="1">
      <c r="A20" s="52" t="n">
        <v>19</v>
      </c>
      <c r="B20" s="37" t="inlineStr">
        <is>
          <t>Cache Architectures: Adaptive Replacement Cache (ARC), 2Q &amp; Clock</t>
        </is>
      </c>
      <c r="C20" s="35">
        <f>COUNTIFS(ProblemDB!$U$2:$U$750,$A20)</f>
        <v/>
      </c>
      <c r="D20" s="35">
        <f>COUNTIFS(ProblemDB!$U$2:$U$750,$A20,ProblemDB!$G$2:$G$750,"Yes")</f>
        <v/>
      </c>
      <c r="E20" s="35">
        <f>COUNTIFS(ProblemDB!$U$2:$U$750,$A20,ProblemDB!$I$2:$I$750,"&gt;0")</f>
        <v/>
      </c>
      <c r="F20" s="35">
        <f>COUNTIFS(ProblemDB!$U$2:$U$750,$A20,ProblemDB!$J$2:$J$750,"Yes")</f>
        <v/>
      </c>
      <c r="G20" s="35">
        <f>IFERROR(ROUND(AVERAGEIFS(ProblemDB!$H$2:$H$750,ProblemDB!$U$2:$U$750,$A20),0),"")</f>
        <v/>
      </c>
      <c r="H20" s="35" t="n"/>
      <c r="I20" s="35" t="n"/>
      <c r="J20" s="35" t="n"/>
      <c r="K20" s="35" t="n"/>
      <c r="L20" s="35" t="n"/>
      <c r="M20" s="35" t="n"/>
      <c r="N20" s="35">
        <f>IFERROR(ROUND(AVERAGE($H20:$M20),1),"")</f>
        <v/>
      </c>
      <c r="O20" s="37" t="n"/>
      <c r="P20" s="37" t="n"/>
      <c r="Q20" s="37" t="n"/>
      <c r="R20" s="47">
        <f>COUNTIFS(FailureLog!$D$2:$D$500,"F2-Pattern",FailureLog!$B$2:$B$500,$A20)</f>
        <v/>
      </c>
      <c r="S20" s="47">
        <f>COUNTIFS(FailureLog!$D$2:$D$500,"F3-Derive",FailureLog!$B$2:$B$500,$A20)</f>
        <v/>
      </c>
      <c r="T20" s="47">
        <f>COUNTIFS(FailureLog!$D$2:$D$500,"F5-Complexity",FailureLog!$B$2:$B$500,$A20)</f>
        <v/>
      </c>
      <c r="U20" s="47">
        <f>COUNTIFS(FailureLog!$D$2:$D$500,"F10-Pressure",FailureLog!$B$2:$B$500,$A20)</f>
        <v/>
      </c>
      <c r="V20" s="47">
        <f>IF(OR($R20&gt;=3,$S20&gt;=3,$T20&gt;=3,$U20&gt;=3),"YES - see README","No")</f>
        <v/>
      </c>
    </row>
    <row r="21" ht="30" customHeight="1">
      <c r="A21" s="52" t="n">
        <v>20</v>
      </c>
      <c r="B21" s="37" t="inlineStr">
        <is>
          <t>Concurrency Primitives: Lock-Free SPSC, MPMC &amp; Work-Stealing Deques</t>
        </is>
      </c>
      <c r="C21" s="35">
        <f>COUNTIFS(ProblemDB!$U$2:$U$750,$A21)</f>
        <v/>
      </c>
      <c r="D21" s="35">
        <f>COUNTIFS(ProblemDB!$U$2:$U$750,$A21,ProblemDB!$G$2:$G$750,"Yes")</f>
        <v/>
      </c>
      <c r="E21" s="35">
        <f>COUNTIFS(ProblemDB!$U$2:$U$750,$A21,ProblemDB!$I$2:$I$750,"&gt;0")</f>
        <v/>
      </c>
      <c r="F21" s="35">
        <f>COUNTIFS(ProblemDB!$U$2:$U$750,$A21,ProblemDB!$J$2:$J$750,"Yes")</f>
        <v/>
      </c>
      <c r="G21" s="35">
        <f>IFERROR(ROUND(AVERAGEIFS(ProblemDB!$H$2:$H$750,ProblemDB!$U$2:$U$750,$A21),0),"")</f>
        <v/>
      </c>
      <c r="H21" s="35" t="n"/>
      <c r="I21" s="35" t="n"/>
      <c r="J21" s="35" t="n"/>
      <c r="K21" s="35" t="n"/>
      <c r="L21" s="35" t="n"/>
      <c r="M21" s="35" t="n"/>
      <c r="N21" s="35">
        <f>IFERROR(ROUND(AVERAGE($H21:$M21),1),"")</f>
        <v/>
      </c>
      <c r="O21" s="37" t="n"/>
      <c r="P21" s="37" t="n"/>
      <c r="Q21" s="37" t="n"/>
      <c r="R21" s="47">
        <f>COUNTIFS(FailureLog!$D$2:$D$500,"F2-Pattern",FailureLog!$B$2:$B$500,$A21)</f>
        <v/>
      </c>
      <c r="S21" s="47">
        <f>COUNTIFS(FailureLog!$D$2:$D$500,"F3-Derive",FailureLog!$B$2:$B$500,$A21)</f>
        <v/>
      </c>
      <c r="T21" s="47">
        <f>COUNTIFS(FailureLog!$D$2:$D$500,"F5-Complexity",FailureLog!$B$2:$B$500,$A21)</f>
        <v/>
      </c>
      <c r="U21" s="47">
        <f>COUNTIFS(FailureLog!$D$2:$D$500,"F10-Pressure",FailureLog!$B$2:$B$500,$A21)</f>
        <v/>
      </c>
      <c r="V21" s="47">
        <f>IF(OR($R21&gt;=3,$S21&gt;=3,$T21&gt;=3,$U21&gt;=3),"YES - see README","No")</f>
        <v/>
      </c>
    </row>
    <row r="22" ht="30" customHeight="1">
      <c r="A22" s="52" t="n">
        <v>21</v>
      </c>
      <c r="B22" s="37" t="inlineStr">
        <is>
          <t>Vector Search &amp; Indexing: KD-Trees, IVF &amp; HNSW Proximity Graphs</t>
        </is>
      </c>
      <c r="C22" s="35">
        <f>COUNTIFS(ProblemDB!$U$2:$U$750,$A22)</f>
        <v/>
      </c>
      <c r="D22" s="35">
        <f>COUNTIFS(ProblemDB!$U$2:$U$750,$A22,ProblemDB!$G$2:$G$750,"Yes")</f>
        <v/>
      </c>
      <c r="E22" s="35">
        <f>COUNTIFS(ProblemDB!$U$2:$U$750,$A22,ProblemDB!$I$2:$I$750,"&gt;0")</f>
        <v/>
      </c>
      <c r="F22" s="35">
        <f>COUNTIFS(ProblemDB!$U$2:$U$750,$A22,ProblemDB!$J$2:$J$750,"Yes")</f>
        <v/>
      </c>
      <c r="G22" s="35">
        <f>IFERROR(ROUND(AVERAGEIFS(ProblemDB!$H$2:$H$750,ProblemDB!$U$2:$U$750,$A22),0),"")</f>
        <v/>
      </c>
      <c r="H22" s="35" t="n"/>
      <c r="I22" s="35" t="n"/>
      <c r="J22" s="35" t="n"/>
      <c r="K22" s="35" t="n"/>
      <c r="L22" s="35" t="n"/>
      <c r="M22" s="35" t="n"/>
      <c r="N22" s="35">
        <f>IFERROR(ROUND(AVERAGE($H22:$M22),1),"")</f>
        <v/>
      </c>
      <c r="O22" s="37" t="n"/>
      <c r="P22" s="37" t="n"/>
      <c r="Q22" s="37" t="n"/>
      <c r="R22" s="47">
        <f>COUNTIFS(FailureLog!$D$2:$D$500,"F2-Pattern",FailureLog!$B$2:$B$500,$A22)</f>
        <v/>
      </c>
      <c r="S22" s="47">
        <f>COUNTIFS(FailureLog!$D$2:$D$500,"F3-Derive",FailureLog!$B$2:$B$500,$A22)</f>
        <v/>
      </c>
      <c r="T22" s="47">
        <f>COUNTIFS(FailureLog!$D$2:$D$500,"F5-Complexity",FailureLog!$B$2:$B$500,$A22)</f>
        <v/>
      </c>
      <c r="U22" s="47">
        <f>COUNTIFS(FailureLog!$D$2:$D$500,"F10-Pressure",FailureLog!$B$2:$B$500,$A22)</f>
        <v/>
      </c>
      <c r="V22" s="47">
        <f>IF(OR($R22&gt;=3,$S22&gt;=3,$T22&gt;=3,$U22&gt;=3),"YES - see README","No")</f>
        <v/>
      </c>
    </row>
    <row r="23" ht="30" customHeight="1">
      <c r="A23" s="52" t="n">
        <v>22</v>
      </c>
      <c r="B23" s="37" t="inlineStr">
        <is>
          <t>ML Compilers: Heterogeneous DAG Scheduling &amp; Tensor Strides</t>
        </is>
      </c>
      <c r="C23" s="35">
        <f>COUNTIFS(ProblemDB!$U$2:$U$750,$A23)</f>
        <v/>
      </c>
      <c r="D23" s="35">
        <f>COUNTIFS(ProblemDB!$U$2:$U$750,$A23,ProblemDB!$G$2:$G$750,"Yes")</f>
        <v/>
      </c>
      <c r="E23" s="35">
        <f>COUNTIFS(ProblemDB!$U$2:$U$750,$A23,ProblemDB!$I$2:$I$750,"&gt;0")</f>
        <v/>
      </c>
      <c r="F23" s="35">
        <f>COUNTIFS(ProblemDB!$U$2:$U$750,$A23,ProblemDB!$J$2:$J$750,"Yes")</f>
        <v/>
      </c>
      <c r="G23" s="35">
        <f>IFERROR(ROUND(AVERAGEIFS(ProblemDB!$H$2:$H$750,ProblemDB!$U$2:$U$750,$A23),0),"")</f>
        <v/>
      </c>
      <c r="H23" s="35" t="n"/>
      <c r="I23" s="35" t="n"/>
      <c r="J23" s="35" t="n"/>
      <c r="K23" s="35" t="n"/>
      <c r="L23" s="35" t="n"/>
      <c r="M23" s="35" t="n"/>
      <c r="N23" s="35">
        <f>IFERROR(ROUND(AVERAGE($H23:$M23),1),"")</f>
        <v/>
      </c>
      <c r="O23" s="37" t="n"/>
      <c r="P23" s="37" t="n"/>
      <c r="Q23" s="37" t="n"/>
      <c r="R23" s="47">
        <f>COUNTIFS(FailureLog!$D$2:$D$500,"F2-Pattern",FailureLog!$B$2:$B$500,$A23)</f>
        <v/>
      </c>
      <c r="S23" s="47">
        <f>COUNTIFS(FailureLog!$D$2:$D$500,"F3-Derive",FailureLog!$B$2:$B$500,$A23)</f>
        <v/>
      </c>
      <c r="T23" s="47">
        <f>COUNTIFS(FailureLog!$D$2:$D$500,"F5-Complexity",FailureLog!$B$2:$B$500,$A23)</f>
        <v/>
      </c>
      <c r="U23" s="47">
        <f>COUNTIFS(FailureLog!$D$2:$D$500,"F10-Pressure",FailureLog!$B$2:$B$500,$A23)</f>
        <v/>
      </c>
      <c r="V23" s="47">
        <f>IF(OR($R23&gt;=3,$S23&gt;=3,$T23&gt;=3,$U23&gt;=3),"YES - see README","No")</f>
        <v/>
      </c>
    </row>
    <row r="24" ht="30" customHeight="1">
      <c r="A24" s="52" t="n">
        <v>23</v>
      </c>
      <c r="B24" s="37" t="inlineStr">
        <is>
          <t>Streaming &amp; Probabilistic: Sketches, HyperLogLog &amp; Quantization</t>
        </is>
      </c>
      <c r="C24" s="35">
        <f>COUNTIFS(ProblemDB!$U$2:$U$750,$A24)</f>
        <v/>
      </c>
      <c r="D24" s="35">
        <f>COUNTIFS(ProblemDB!$U$2:$U$750,$A24,ProblemDB!$G$2:$G$750,"Yes")</f>
        <v/>
      </c>
      <c r="E24" s="35">
        <f>COUNTIFS(ProblemDB!$U$2:$U$750,$A24,ProblemDB!$I$2:$I$750,"&gt;0")</f>
        <v/>
      </c>
      <c r="F24" s="35">
        <f>COUNTIFS(ProblemDB!$U$2:$U$750,$A24,ProblemDB!$J$2:$J$750,"Yes")</f>
        <v/>
      </c>
      <c r="G24" s="35">
        <f>IFERROR(ROUND(AVERAGEIFS(ProblemDB!$H$2:$H$750,ProblemDB!$U$2:$U$750,$A24),0),"")</f>
        <v/>
      </c>
      <c r="H24" s="35" t="n"/>
      <c r="I24" s="35" t="n"/>
      <c r="J24" s="35" t="n"/>
      <c r="K24" s="35" t="n"/>
      <c r="L24" s="35" t="n"/>
      <c r="M24" s="35" t="n"/>
      <c r="N24" s="35">
        <f>IFERROR(ROUND(AVERAGE($H24:$M24),1),"")</f>
        <v/>
      </c>
      <c r="O24" s="37" t="n"/>
      <c r="P24" s="37" t="n"/>
      <c r="Q24" s="37" t="n"/>
      <c r="R24" s="47">
        <f>COUNTIFS(FailureLog!$D$2:$D$500,"F2-Pattern",FailureLog!$B$2:$B$500,$A24)</f>
        <v/>
      </c>
      <c r="S24" s="47">
        <f>COUNTIFS(FailureLog!$D$2:$D$500,"F3-Derive",FailureLog!$B$2:$B$500,$A24)</f>
        <v/>
      </c>
      <c r="T24" s="47">
        <f>COUNTIFS(FailureLog!$D$2:$D$500,"F5-Complexity",FailureLog!$B$2:$B$500,$A24)</f>
        <v/>
      </c>
      <c r="U24" s="47">
        <f>COUNTIFS(FailureLog!$D$2:$D$500,"F10-Pressure",FailureLog!$B$2:$B$500,$A24)</f>
        <v/>
      </c>
      <c r="V24" s="47">
        <f>IF(OR($R24&gt;=3,$S24&gt;=3,$T24&gt;=3,$U24&gt;=3),"YES - see README","No")</f>
        <v/>
      </c>
    </row>
    <row r="25" ht="30" customHeight="1">
      <c r="A25" s="52" t="n">
        <v>24</v>
      </c>
      <c r="B25" s="37" t="inlineStr">
        <is>
          <t>Capstone Grand Diagnostics, Memory Allocators &amp; Systems Mastery</t>
        </is>
      </c>
      <c r="C25" s="35">
        <f>COUNTIFS(ProblemDB!$U$2:$U$750,$A25)</f>
        <v/>
      </c>
      <c r="D25" s="35">
        <f>COUNTIFS(ProblemDB!$U$2:$U$750,$A25,ProblemDB!$G$2:$G$750,"Yes")</f>
        <v/>
      </c>
      <c r="E25" s="35">
        <f>COUNTIFS(ProblemDB!$U$2:$U$750,$A25,ProblemDB!$I$2:$I$750,"&gt;0")</f>
        <v/>
      </c>
      <c r="F25" s="35">
        <f>COUNTIFS(ProblemDB!$U$2:$U$750,$A25,ProblemDB!$J$2:$J$750,"Yes")</f>
        <v/>
      </c>
      <c r="G25" s="35">
        <f>IFERROR(ROUND(AVERAGEIFS(ProblemDB!$H$2:$H$750,ProblemDB!$U$2:$U$750,$A25),0),"")</f>
        <v/>
      </c>
      <c r="H25" s="35" t="n"/>
      <c r="I25" s="35" t="n"/>
      <c r="J25" s="35" t="n"/>
      <c r="K25" s="35" t="n"/>
      <c r="L25" s="35" t="n"/>
      <c r="M25" s="35" t="n"/>
      <c r="N25" s="35">
        <f>IFERROR(ROUND(AVERAGE($H25:$M25),1),"")</f>
        <v/>
      </c>
      <c r="O25" s="37" t="n"/>
      <c r="P25" s="37" t="n"/>
      <c r="Q25" s="37" t="n"/>
      <c r="R25" s="47">
        <f>COUNTIFS(FailureLog!$D$2:$D$500,"F2-Pattern",FailureLog!$B$2:$B$500,$A25)</f>
        <v/>
      </c>
      <c r="S25" s="47">
        <f>COUNTIFS(FailureLog!$D$2:$D$500,"F3-Derive",FailureLog!$B$2:$B$500,$A25)</f>
        <v/>
      </c>
      <c r="T25" s="47">
        <f>COUNTIFS(FailureLog!$D$2:$D$500,"F5-Complexity",FailureLog!$B$2:$B$500,$A25)</f>
        <v/>
      </c>
      <c r="U25" s="47">
        <f>COUNTIFS(FailureLog!$D$2:$D$500,"F10-Pressure",FailureLog!$B$2:$B$500,$A25)</f>
        <v/>
      </c>
      <c r="V25" s="47">
        <f>IF(OR($R25&gt;=3,$S25&gt;=3,$T25&gt;=3,$U25&gt;=3),"YES - see README","No")</f>
        <v/>
      </c>
    </row>
  </sheetData>
  <conditionalFormatting sqref="H2:N15">
    <cfRule type="colorScale" priority="1">
      <colorScale>
        <cfvo type="num" val="1"/>
        <cfvo type="num" val="3"/>
        <cfvo type="num" val="5"/>
        <color rgb="00DC2626"/>
        <color rgb="00CA8A04"/>
        <color rgb="0016A34A"/>
      </colorScale>
    </cfRule>
  </conditionalFormatting>
  <conditionalFormatting sqref="V2:V15">
    <cfRule type="cellIs" priority="2" operator="equal" dxfId="1">
      <formula>"YES  -  see README"</formula>
    </cfRule>
  </conditionalFormatting>
  <conditionalFormatting sqref="R2:U25">
    <cfRule type="cellIs" priority="3" operator="greaterThanOrEqual" dxfId="1">
      <formula>3</formula>
    </cfRule>
  </conditionalFormatting>
  <dataValidations count="7">
    <dataValidation sqref="H2:H15" showDropDown="0" showInputMessage="0" showErrorMessage="0" allowBlank="1" promptTitle="Score 1-5" type="list">
      <formula1>"1,2,3,4,5"</formula1>
    </dataValidation>
    <dataValidation sqref="I2:I15" showDropDown="0" showInputMessage="0" showErrorMessage="0" allowBlank="1" promptTitle="Score 1-5" type="list">
      <formula1>"1,2,3,4,5"</formula1>
    </dataValidation>
    <dataValidation sqref="J2:J15" showDropDown="0" showInputMessage="0" showErrorMessage="0" allowBlank="1" promptTitle="Score 1-5" type="list">
      <formula1>"1,2,3,4,5"</formula1>
    </dataValidation>
    <dataValidation sqref="K2:K15" showDropDown="0" showInputMessage="0" showErrorMessage="0" allowBlank="1" promptTitle="Score 1-5" type="list">
      <formula1>"1,2,3,4,5"</formula1>
    </dataValidation>
    <dataValidation sqref="L2:L15" showDropDown="0" showInputMessage="0" showErrorMessage="0" allowBlank="1" promptTitle="Score 1-5" type="list">
      <formula1>"1,2,3,4,5"</formula1>
    </dataValidation>
    <dataValidation sqref="M2:M15" showDropDown="0" showInputMessage="0" showErrorMessage="0" allowBlank="1" promptTitle="Score 1-5" type="list">
      <formula1>"1,2,3,4,5"</formula1>
    </dataValidation>
    <dataValidation sqref="O2:O15" showDropDown="0" showInputMessage="0" showErrorMessage="0" allowBlank="1" promptTitle="Dominant failure" type="list">
      <formula1>"F1-Understand,F2-Pattern,F3-Derive,F4-WrongDS,F5-Complexity,F6-Implementation,F7-EdgeCase,F8-Debugging,F9-Forgot,F10-Pressure,F11-HintDependent,F12-CantExplain"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6" customWidth="1" min="3" max="3"/>
    <col width="40" customWidth="1" min="4" max="4"/>
    <col width="10" customWidth="1" min="5" max="5"/>
    <col width="12" customWidth="1" min="6" max="6"/>
    <col width="9" customWidth="1" min="7" max="7"/>
    <col width="12" customWidth="1" min="8" max="8"/>
    <col width="10" customWidth="1" min="9" max="9"/>
    <col width="14" customWidth="1" min="10" max="10"/>
    <col width="12" customWidth="1" min="11" max="11"/>
    <col width="12" customWidth="1" min="12" max="12"/>
    <col width="12" customWidth="1" min="13" max="13"/>
    <col width="12" customWidth="1" min="14" max="14"/>
    <col width="36" customWidth="1" min="15" max="15"/>
    <col width="46" customWidth="1" min="16" max="16"/>
    <col width="40" customWidth="1" min="17" max="17"/>
  </cols>
  <sheetData>
    <row r="1" ht="28" customHeight="1">
      <c r="A1" s="34" t="inlineStr">
        <is>
          <t>Planned Day</t>
        </is>
      </c>
      <c r="B1" s="34" t="inlineStr">
        <is>
          <t>Date</t>
        </is>
      </c>
      <c r="C1" s="34" t="inlineStr">
        <is>
          <t>Type</t>
        </is>
      </c>
      <c r="D1" s="34" t="inlineStr">
        <is>
          <t>Problem</t>
        </is>
      </c>
      <c r="E1" s="34" t="inlineStr">
        <is>
          <t>Difficulty</t>
        </is>
      </c>
      <c r="F1" s="34" t="inlineStr">
        <is>
          <t>Time Limit (min)</t>
        </is>
      </c>
      <c r="G1" s="34" t="inlineStr">
        <is>
          <t>Solved?</t>
        </is>
      </c>
      <c r="H1" s="34" t="inlineStr">
        <is>
          <t>Time Taken (min)</t>
        </is>
      </c>
      <c r="I1" s="34" t="inlineStr">
        <is>
          <t>Hints Used</t>
        </is>
      </c>
      <c r="J1" s="34" t="inlineStr">
        <is>
          <t>Time to Pattern (min)</t>
        </is>
      </c>
      <c r="K1" s="34" t="inlineStr">
        <is>
          <t>Explanation (1-5)</t>
        </is>
      </c>
      <c r="L1" s="34" t="inlineStr">
        <is>
          <t>TC/SC accuracy (1-5)</t>
        </is>
      </c>
      <c r="M1" s="34" t="inlineStr">
        <is>
          <t>Follow-up (1-5)</t>
        </is>
      </c>
      <c r="N1" s="34" t="inlineStr">
        <is>
          <t>Final Score (/10)</t>
        </is>
      </c>
      <c r="O1" s="34" t="inlineStr">
        <is>
          <t>Main Weakness</t>
        </is>
      </c>
      <c r="P1" s="34" t="inlineStr">
        <is>
          <t>Concrete Fix for Next Mock</t>
        </is>
      </c>
      <c r="Q1" s="34" t="inlineStr">
        <is>
          <t>Compared to previous mock</t>
        </is>
      </c>
    </row>
    <row r="2">
      <c r="A2" s="35" t="n">
        <v>28</v>
      </c>
      <c r="B2" s="53" t="n">
        <v>46323</v>
      </c>
      <c r="C2" s="35" t="inlineStr">
        <is>
          <t>Diagnostic 1</t>
        </is>
      </c>
      <c r="D2" s="37" t="inlineStr">
        <is>
          <t>LC 918 Max Sum Circular Subarray (unlabelled)</t>
        </is>
      </c>
      <c r="E2" s="35" t="inlineStr">
        <is>
          <t>M</t>
        </is>
      </c>
      <c r="F2" s="35" t="n">
        <v>30</v>
      </c>
      <c r="G2" s="35" t="n"/>
      <c r="H2" s="35" t="n"/>
      <c r="I2" s="35" t="n"/>
      <c r="J2" s="35" t="n"/>
      <c r="K2" s="35" t="n"/>
      <c r="L2" s="35" t="n"/>
      <c r="M2" s="35" t="n"/>
      <c r="N2" s="35">
        <f>IFERROR(ROUND(AVERAGE($K2:$M2)*2,1),"N/A")</f>
        <v/>
      </c>
      <c r="O2" s="37" t="n"/>
      <c r="P2" s="37" t="n"/>
      <c r="Q2" s="35" t="inlineStr">
        <is>
          <t>baseline</t>
        </is>
      </c>
    </row>
    <row r="3">
      <c r="A3" s="35" t="n">
        <v>28</v>
      </c>
      <c r="B3" s="53" t="n">
        <v>46323</v>
      </c>
      <c r="C3" s="35" t="inlineStr">
        <is>
          <t>Diagnostic 1</t>
        </is>
      </c>
      <c r="D3" s="37" t="inlineStr">
        <is>
          <t>LC 795 Subarrays with Bounded Max (unlabelled)</t>
        </is>
      </c>
      <c r="E3" s="35" t="inlineStr">
        <is>
          <t>M</t>
        </is>
      </c>
      <c r="F3" s="35" t="n">
        <v>30</v>
      </c>
      <c r="G3" s="35" t="n"/>
      <c r="H3" s="35" t="n"/>
      <c r="I3" s="35" t="n"/>
      <c r="J3" s="35" t="n"/>
      <c r="K3" s="35" t="n"/>
      <c r="L3" s="35" t="n"/>
      <c r="M3" s="35" t="n"/>
      <c r="N3" s="35">
        <f>IFERROR(ROUND(AVERAGE($K3:$M3)*2,1),"N/A")</f>
        <v/>
      </c>
      <c r="O3" s="37" t="n"/>
      <c r="P3" s="37" t="n"/>
      <c r="Q3" s="35">
        <f>IF(OR(NOT(ISNUMBER($N3)),NOT(ISNUMBER($N2))),"",IF($N3&gt;$N2,"Improved (+"&amp;ROUND($N3-$N2,1)&amp;" pts)",IF($N3&lt;$N2,"Regressed (-"&amp;ROUND($N2-$N3,1)&amp;" pts)","Unchanged")))</f>
        <v/>
      </c>
    </row>
    <row r="4">
      <c r="A4" s="35" t="n">
        <v>28</v>
      </c>
      <c r="B4" s="53" t="n">
        <v>46323</v>
      </c>
      <c r="C4" s="35" t="inlineStr">
        <is>
          <t>Diagnostic 1</t>
        </is>
      </c>
      <c r="D4" s="37" t="inlineStr">
        <is>
          <t>LC 581 Shortest Unsorted Continuous Subarray (unlabelled)</t>
        </is>
      </c>
      <c r="E4" s="35" t="inlineStr">
        <is>
          <t>M</t>
        </is>
      </c>
      <c r="F4" s="35" t="n">
        <v>30</v>
      </c>
      <c r="G4" s="35" t="n"/>
      <c r="H4" s="35" t="n"/>
      <c r="I4" s="35" t="n"/>
      <c r="J4" s="35" t="n"/>
      <c r="K4" s="35" t="n"/>
      <c r="L4" s="35" t="n"/>
      <c r="M4" s="35" t="n"/>
      <c r="N4" s="35">
        <f>IFERROR(ROUND(AVERAGE($K4:$M4)*2,1),"N/A")</f>
        <v/>
      </c>
      <c r="O4" s="37" t="n"/>
      <c r="P4" s="37" t="n"/>
      <c r="Q4" s="35">
        <f>IF(OR(NOT(ISNUMBER($N4)),NOT(ISNUMBER($N3))),"",IF($N4&gt;$N3,"Improved (+"&amp;ROUND($N4-$N3,1)&amp;" pts)",IF($N4&lt;$N3,"Regressed (-"&amp;ROUND($N3-$N4,1)&amp;" pts)","Unchanged")))</f>
        <v/>
      </c>
    </row>
    <row r="5">
      <c r="A5" s="35" t="n">
        <v>42</v>
      </c>
      <c r="B5" s="53" t="n">
        <v>46337</v>
      </c>
      <c r="C5" s="35" t="inlineStr">
        <is>
          <t>Mock #1 (2 hints)</t>
        </is>
      </c>
      <c r="D5" s="37" t="inlineStr">
        <is>
          <t>1 medium problem  -  narrate every decision aloud</t>
        </is>
      </c>
      <c r="E5" s="35" t="inlineStr">
        <is>
          <t>M</t>
        </is>
      </c>
      <c r="F5" s="35" t="n">
        <v>45</v>
      </c>
      <c r="G5" s="35" t="n"/>
      <c r="H5" s="35" t="n"/>
      <c r="I5" s="35" t="n"/>
      <c r="J5" s="35" t="n"/>
      <c r="K5" s="35" t="n"/>
      <c r="L5" s="35" t="n"/>
      <c r="M5" s="35" t="n"/>
      <c r="N5" s="35">
        <f>IFERROR(ROUND(AVERAGE($K5:$M5)*2,1),"N/A")</f>
        <v/>
      </c>
      <c r="O5" s="37" t="n"/>
      <c r="P5" s="37" t="n"/>
      <c r="Q5" s="35">
        <f>IF(OR(NOT(ISNUMBER($N5)),NOT(ISNUMBER($N4))),"",IF($N5&gt;$N4,"Improved (+"&amp;ROUND($N5-$N4,1)&amp;" pts)",IF($N5&lt;$N4,"Regressed (-"&amp;ROUND($N4-$N5,1)&amp;" pts)","Unchanged")))</f>
        <v/>
      </c>
    </row>
    <row r="6">
      <c r="A6" s="35" t="n">
        <v>56</v>
      </c>
      <c r="B6" s="53" t="n">
        <v>46351</v>
      </c>
      <c r="C6" s="35" t="inlineStr">
        <is>
          <t>Diagnostic 2</t>
        </is>
      </c>
      <c r="D6" s="37" t="inlineStr">
        <is>
          <t>LC 315 Count of Smaller After Self (unlabelled)</t>
        </is>
      </c>
      <c r="E6" s="35" t="inlineStr">
        <is>
          <t>H</t>
        </is>
      </c>
      <c r="F6" s="35" t="n">
        <v>34</v>
      </c>
      <c r="G6" s="35" t="n"/>
      <c r="H6" s="35" t="n"/>
      <c r="I6" s="35" t="n"/>
      <c r="J6" s="35" t="n"/>
      <c r="K6" s="35" t="n"/>
      <c r="L6" s="35" t="n"/>
      <c r="M6" s="35" t="n"/>
      <c r="N6" s="35">
        <f>IFERROR(ROUND(AVERAGE($K6:$M6)*2,1),"N/A")</f>
        <v/>
      </c>
      <c r="O6" s="37" t="n"/>
      <c r="P6" s="37" t="n"/>
      <c r="Q6" s="35">
        <f>IF(OR(NOT(ISNUMBER($N6)),NOT(ISNUMBER($N5))),"",IF($N6&gt;$N5,"Improved (+"&amp;ROUND($N6-$N5,1)&amp;" pts)",IF($N6&lt;$N5,"Regressed (-"&amp;ROUND($N5-$N6,1)&amp;" pts)","Unchanged")))</f>
        <v/>
      </c>
    </row>
    <row r="7">
      <c r="A7" s="35" t="n">
        <v>56</v>
      </c>
      <c r="B7" s="53" t="n">
        <v>46351</v>
      </c>
      <c r="C7" s="35" t="inlineStr">
        <is>
          <t>Diagnostic 2</t>
        </is>
      </c>
      <c r="D7" s="37" t="inlineStr">
        <is>
          <t>LC 1110 Delete Nodes and Return Forest (unlabelled)</t>
        </is>
      </c>
      <c r="E7" s="35" t="inlineStr">
        <is>
          <t>M</t>
        </is>
      </c>
      <c r="F7" s="35" t="n">
        <v>33</v>
      </c>
      <c r="G7" s="35" t="n"/>
      <c r="H7" s="35" t="n"/>
      <c r="I7" s="35" t="n"/>
      <c r="J7" s="35" t="n"/>
      <c r="K7" s="35" t="n"/>
      <c r="L7" s="35" t="n"/>
      <c r="M7" s="35" t="n"/>
      <c r="N7" s="35">
        <f>IFERROR(ROUND(AVERAGE($K7:$M7)*2,1),"N/A")</f>
        <v/>
      </c>
      <c r="O7" s="37" t="n"/>
      <c r="P7" s="37" t="n"/>
      <c r="Q7" s="35">
        <f>IF(OR(NOT(ISNUMBER($N7)),NOT(ISNUMBER($N6))),"",IF($N7&gt;$N6,"Improved (+"&amp;ROUND($N7-$N6,1)&amp;" pts)",IF($N7&lt;$N6,"Regressed (-"&amp;ROUND($N6-$N7,1)&amp;" pts)","Unchanged")))</f>
        <v/>
      </c>
    </row>
    <row r="8">
      <c r="A8" s="35" t="n">
        <v>56</v>
      </c>
      <c r="B8" s="53" t="n">
        <v>46351</v>
      </c>
      <c r="C8" s="35" t="inlineStr">
        <is>
          <t>Diagnostic 2</t>
        </is>
      </c>
      <c r="D8" s="37" t="inlineStr">
        <is>
          <t>LC 1396 Design Underground System (unlabelled)</t>
        </is>
      </c>
      <c r="E8" s="35" t="inlineStr">
        <is>
          <t>M</t>
        </is>
      </c>
      <c r="F8" s="35" t="n">
        <v>33</v>
      </c>
      <c r="G8" s="35" t="n"/>
      <c r="H8" s="35" t="n"/>
      <c r="I8" s="35" t="n"/>
      <c r="J8" s="35" t="n"/>
      <c r="K8" s="35" t="n"/>
      <c r="L8" s="35" t="n"/>
      <c r="M8" s="35" t="n"/>
      <c r="N8" s="35">
        <f>IFERROR(ROUND(AVERAGE($K8:$M8)*2,1),"N/A")</f>
        <v/>
      </c>
      <c r="O8" s="37" t="n"/>
      <c r="P8" s="37" t="n"/>
      <c r="Q8" s="35">
        <f>IF(OR(NOT(ISNUMBER($N8)),NOT(ISNUMBER($N7))),"",IF($N8&gt;$N7,"Improved (+"&amp;ROUND($N8-$N7,1)&amp;" pts)",IF($N8&lt;$N7,"Regressed (-"&amp;ROUND($N7-$N8,1)&amp;" pts)","Unchanged")))</f>
        <v/>
      </c>
    </row>
    <row r="9">
      <c r="A9" s="35" t="n">
        <v>70</v>
      </c>
      <c r="B9" s="53" t="n">
        <v>46365</v>
      </c>
      <c r="C9" s="35" t="inlineStr">
        <is>
          <t>Mock #2 (1 hint)</t>
        </is>
      </c>
      <c r="D9" s="37" t="inlineStr">
        <is>
          <t>1 medium-hard + 1 infra follow-up question</t>
        </is>
      </c>
      <c r="E9" s="35" t="inlineStr">
        <is>
          <t>H</t>
        </is>
      </c>
      <c r="F9" s="35" t="n">
        <v>45</v>
      </c>
      <c r="G9" s="35" t="n"/>
      <c r="H9" s="35" t="n"/>
      <c r="I9" s="35" t="n"/>
      <c r="J9" s="35" t="n"/>
      <c r="K9" s="35" t="n"/>
      <c r="L9" s="35" t="n"/>
      <c r="M9" s="35" t="n"/>
      <c r="N9" s="35">
        <f>IFERROR(ROUND(AVERAGE($K9:$M9)*2,1),"N/A")</f>
        <v/>
      </c>
      <c r="O9" s="37" t="n"/>
      <c r="P9" s="37" t="n"/>
      <c r="Q9" s="35">
        <f>IF(OR(NOT(ISNUMBER($N9)),NOT(ISNUMBER($N8))),"",IF($N9&gt;$N8,"Improved (+"&amp;ROUND($N9-$N8,1)&amp;" pts)",IF($N9&lt;$N8,"Regressed (-"&amp;ROUND($N8-$N9,1)&amp;" pts)","Unchanged")))</f>
        <v/>
      </c>
    </row>
    <row r="10">
      <c r="A10" s="35" t="n">
        <v>84</v>
      </c>
      <c r="B10" s="53" t="n">
        <v>46379</v>
      </c>
      <c r="C10" s="35" t="inlineStr">
        <is>
          <t>Diagnostic 3</t>
        </is>
      </c>
      <c r="D10" s="37" t="inlineStr">
        <is>
          <t>LC 1383 Maximum Performance of a Team (unlabelled)</t>
        </is>
      </c>
      <c r="E10" s="35" t="inlineStr">
        <is>
          <t>H</t>
        </is>
      </c>
      <c r="F10" s="35" t="n">
        <v>37</v>
      </c>
      <c r="G10" s="35" t="n"/>
      <c r="H10" s="35" t="n"/>
      <c r="I10" s="35" t="n"/>
      <c r="J10" s="35" t="n"/>
      <c r="K10" s="35" t="n"/>
      <c r="L10" s="35" t="n"/>
      <c r="M10" s="35" t="n"/>
      <c r="N10" s="35">
        <f>IFERROR(ROUND(AVERAGE($K10:$M10)*2,1),"N/A")</f>
        <v/>
      </c>
      <c r="O10" s="37" t="n"/>
      <c r="P10" s="37" t="n"/>
      <c r="Q10" s="35">
        <f>IF(OR(NOT(ISNUMBER($N10)),NOT(ISNUMBER($N9))),"",IF($N10&gt;$N9,"Improved (+"&amp;ROUND($N10-$N9,1)&amp;" pts)",IF($N10&lt;$N9,"Regressed (-"&amp;ROUND($N9-$N10,1)&amp;" pts)","Unchanged")))</f>
        <v/>
      </c>
    </row>
    <row r="11">
      <c r="A11" s="35" t="n">
        <v>84</v>
      </c>
      <c r="B11" s="53" t="n">
        <v>46379</v>
      </c>
      <c r="C11" s="35" t="inlineStr">
        <is>
          <t>Diagnostic 3</t>
        </is>
      </c>
      <c r="D11" s="37" t="inlineStr">
        <is>
          <t>LC 1326 Min Taps to Water Garden (unlabelled)</t>
        </is>
      </c>
      <c r="E11" s="35" t="inlineStr">
        <is>
          <t>H</t>
        </is>
      </c>
      <c r="F11" s="35" t="n">
        <v>37</v>
      </c>
      <c r="G11" s="35" t="n"/>
      <c r="H11" s="35" t="n"/>
      <c r="I11" s="35" t="n"/>
      <c r="J11" s="35" t="n"/>
      <c r="K11" s="35" t="n"/>
      <c r="L11" s="35" t="n"/>
      <c r="M11" s="35" t="n"/>
      <c r="N11" s="35">
        <f>IFERROR(ROUND(AVERAGE($K11:$M11)*2,1),"N/A")</f>
        <v/>
      </c>
      <c r="O11" s="37" t="n"/>
      <c r="P11" s="37" t="n"/>
      <c r="Q11" s="35">
        <f>IF(OR(NOT(ISNUMBER($N11)),NOT(ISNUMBER($N10))),"",IF($N11&gt;$N10,"Improved (+"&amp;ROUND($N11-$N10,1)&amp;" pts)",IF($N11&lt;$N10,"Regressed (-"&amp;ROUND($N10-$N11,1)&amp;" pts)","Unchanged")))</f>
        <v/>
      </c>
    </row>
    <row r="12">
      <c r="A12" s="35" t="n">
        <v>84</v>
      </c>
      <c r="B12" s="53" t="n">
        <v>46379</v>
      </c>
      <c r="C12" s="35" t="inlineStr">
        <is>
          <t>Diagnostic 3</t>
        </is>
      </c>
      <c r="D12" s="37" t="inlineStr">
        <is>
          <t>LC 2092 Find All People With Secret (unlabelled)</t>
        </is>
      </c>
      <c r="E12" s="35" t="inlineStr">
        <is>
          <t>M</t>
        </is>
      </c>
      <c r="F12" s="35" t="n">
        <v>36</v>
      </c>
      <c r="G12" s="35" t="n"/>
      <c r="H12" s="35" t="n"/>
      <c r="I12" s="35" t="n"/>
      <c r="J12" s="35" t="n"/>
      <c r="K12" s="35" t="n"/>
      <c r="L12" s="35" t="n"/>
      <c r="M12" s="35" t="n"/>
      <c r="N12" s="35">
        <f>IFERROR(ROUND(AVERAGE($K12:$M12)*2,1),"N/A")</f>
        <v/>
      </c>
      <c r="O12" s="37" t="n"/>
      <c r="P12" s="37" t="n"/>
      <c r="Q12" s="35">
        <f>IF(OR(NOT(ISNUMBER($N12)),NOT(ISNUMBER($N11))),"",IF($N12&gt;$N11,"Improved (+"&amp;ROUND($N12-$N11,1)&amp;" pts)",IF($N12&lt;$N11,"Regressed (-"&amp;ROUND($N11-$N12,1)&amp;" pts)","Unchanged")))</f>
        <v/>
      </c>
    </row>
    <row r="13">
      <c r="A13" s="35" t="n">
        <v>92</v>
      </c>
      <c r="B13" s="53" t="n">
        <v>46387</v>
      </c>
      <c r="C13" s="35" t="inlineStr">
        <is>
          <t>Mock #3 (no hints)</t>
        </is>
      </c>
      <c r="D13" s="37" t="inlineStr">
        <is>
          <t>1 medium + 1 hard follow-up  -  verbal throughout</t>
        </is>
      </c>
      <c r="E13" s="35" t="inlineStr">
        <is>
          <t>H</t>
        </is>
      </c>
      <c r="F13" s="35" t="n">
        <v>50</v>
      </c>
      <c r="G13" s="35" t="n"/>
      <c r="H13" s="35" t="n"/>
      <c r="I13" s="35" t="n"/>
      <c r="J13" s="35" t="n"/>
      <c r="K13" s="35" t="n"/>
      <c r="L13" s="35" t="n"/>
      <c r="M13" s="35" t="n"/>
      <c r="N13" s="35">
        <f>IFERROR(ROUND(AVERAGE($K13:$M13)*2,1),"N/A")</f>
        <v/>
      </c>
      <c r="O13" s="37" t="n"/>
      <c r="P13" s="37" t="n"/>
      <c r="Q13" s="35">
        <f>IF(OR(NOT(ISNUMBER($N13)),NOT(ISNUMBER($N12))),"",IF($N13&gt;$N12,"Improved (+"&amp;ROUND($N13-$N12,1)&amp;" pts)",IF($N13&lt;$N12,"Regressed (-"&amp;ROUND($N12-$N13,1)&amp;" pts)","Unchanged")))</f>
        <v/>
      </c>
    </row>
    <row r="14">
      <c r="A14" s="35" t="n">
        <v>95</v>
      </c>
      <c r="B14" s="53" t="n">
        <v>46390</v>
      </c>
      <c r="C14" s="35" t="inlineStr">
        <is>
          <t>Mock #4 (unfamiliar)</t>
        </is>
      </c>
      <c r="D14" s="37" t="inlineStr">
        <is>
          <t>1 unfamiliar hard from blind pool  -  no hints</t>
        </is>
      </c>
      <c r="E14" s="35" t="inlineStr">
        <is>
          <t>H</t>
        </is>
      </c>
      <c r="F14" s="35" t="n">
        <v>45</v>
      </c>
      <c r="G14" s="35" t="n"/>
      <c r="H14" s="35" t="n"/>
      <c r="I14" s="35" t="n"/>
      <c r="J14" s="35" t="n"/>
      <c r="K14" s="35" t="n"/>
      <c r="L14" s="35" t="n"/>
      <c r="M14" s="35" t="n"/>
      <c r="N14" s="35">
        <f>IFERROR(ROUND(AVERAGE($K14:$M14)*2,1),"N/A")</f>
        <v/>
      </c>
      <c r="O14" s="37" t="n"/>
      <c r="P14" s="37" t="n"/>
      <c r="Q14" s="35">
        <f>IF(OR(NOT(ISNUMBER($N14)),NOT(ISNUMBER($N13))),"",IF($N14&gt;$N13,"Improved (+"&amp;ROUND($N14-$N13,1)&amp;" pts)",IF($N14&lt;$N13,"Regressed (-"&amp;ROUND($N13-$N14,1)&amp;" pts)","Unchanged")))</f>
        <v/>
      </c>
    </row>
    <row r="15">
      <c r="A15" s="35" t="n">
        <v>98</v>
      </c>
      <c r="B15" s="53" t="n">
        <v>46393</v>
      </c>
      <c r="C15" s="35" t="inlineStr">
        <is>
          <t>Mid Diagnostic</t>
        </is>
      </c>
      <c r="D15" s="37" t="inlineStr">
        <is>
          <t>LC 1751 Max Events Attended II (unlabelled)</t>
        </is>
      </c>
      <c r="E15" s="35" t="inlineStr">
        <is>
          <t>H</t>
        </is>
      </c>
      <c r="F15" s="35" t="n">
        <v>37</v>
      </c>
      <c r="G15" s="35" t="n"/>
      <c r="H15" s="35" t="n"/>
      <c r="I15" s="35" t="n"/>
      <c r="J15" s="35" t="n"/>
      <c r="K15" s="35" t="n"/>
      <c r="L15" s="35" t="n"/>
      <c r="M15" s="35" t="n"/>
      <c r="N15" s="35">
        <f>IFERROR(ROUND(AVERAGE($K15:$M15)*2,1),"N/A")</f>
        <v/>
      </c>
      <c r="O15" s="37" t="n"/>
      <c r="P15" s="37" t="n"/>
      <c r="Q15" s="35">
        <f>IF(OR(NOT(ISNUMBER($N15)),NOT(ISNUMBER($N14))),"",IF($N15&gt;$N14,"Improved (+"&amp;ROUND($N15-$N14,1)&amp;" pts)",IF($N15&lt;$N14,"Regressed (-"&amp;ROUND($N14-$N15,1)&amp;" pts)","Unchanged")))</f>
        <v/>
      </c>
    </row>
    <row r="16">
      <c r="A16" s="35" t="n">
        <v>98</v>
      </c>
      <c r="B16" s="53" t="n">
        <v>46393</v>
      </c>
      <c r="C16" s="35" t="inlineStr">
        <is>
          <t>Mid Diagnostic</t>
        </is>
      </c>
      <c r="D16" s="37" t="inlineStr">
        <is>
          <t>LC 2421 Number of Good Paths (unlabelled)</t>
        </is>
      </c>
      <c r="E16" s="35" t="inlineStr">
        <is>
          <t>H</t>
        </is>
      </c>
      <c r="F16" s="35" t="n">
        <v>37</v>
      </c>
      <c r="G16" s="35" t="n"/>
      <c r="H16" s="35" t="n"/>
      <c r="I16" s="35" t="n"/>
      <c r="J16" s="35" t="n"/>
      <c r="K16" s="35" t="n"/>
      <c r="L16" s="35" t="n"/>
      <c r="M16" s="35" t="n"/>
      <c r="N16" s="35">
        <f>IFERROR(ROUND(AVERAGE($K16:$M16)*2,1),"N/A")</f>
        <v/>
      </c>
      <c r="O16" s="37" t="n"/>
      <c r="P16" s="37" t="n"/>
      <c r="Q16" s="35">
        <f>IF(OR(NOT(ISNUMBER($N16)),NOT(ISNUMBER($N15))),"",IF($N16&gt;$N15,"Improved (+"&amp;ROUND($N16-$N15,1)&amp;" pts)",IF($N16&lt;$N15,"Regressed (-"&amp;ROUND($N15-$N16,1)&amp;" pts)","Unchanged")))</f>
        <v/>
      </c>
    </row>
    <row r="17">
      <c r="A17" s="35" t="n">
        <v>98</v>
      </c>
      <c r="B17" s="53" t="n">
        <v>46393</v>
      </c>
      <c r="C17" s="35" t="inlineStr">
        <is>
          <t>Mid Diagnostic</t>
        </is>
      </c>
      <c r="D17" s="37" t="inlineStr">
        <is>
          <t>LC 1463 Cherry Pickup II (unlabelled)</t>
        </is>
      </c>
      <c r="E17" s="35" t="inlineStr">
        <is>
          <t>M</t>
        </is>
      </c>
      <c r="F17" s="35" t="n">
        <v>36</v>
      </c>
      <c r="G17" s="35" t="n"/>
      <c r="H17" s="35" t="n"/>
      <c r="I17" s="35" t="n"/>
      <c r="J17" s="35" t="n"/>
      <c r="K17" s="35" t="n"/>
      <c r="L17" s="35" t="n"/>
      <c r="M17" s="35" t="n"/>
      <c r="N17" s="35">
        <f>IFERROR(ROUND(AVERAGE($K17:$M17)*2,1),"N/A")</f>
        <v/>
      </c>
      <c r="O17" s="37" t="n"/>
      <c r="P17" s="37" t="n"/>
      <c r="Q17" s="35">
        <f>IF(OR(NOT(ISNUMBER($N17)),NOT(ISNUMBER($N16))),"",IF($N17&gt;$N16,"Improved (+"&amp;ROUND($N17-$N16,1)&amp;" pts)",IF($N17&lt;$N16,"Regressed (-"&amp;ROUND($N16-$N17,1)&amp;" pts)","Unchanged")))</f>
        <v/>
      </c>
    </row>
    <row r="18">
      <c r="A18" s="35" t="n">
        <v>112</v>
      </c>
      <c r="B18" s="53" t="n">
        <v>46407</v>
      </c>
      <c r="C18" s="35" t="inlineStr">
        <is>
          <t>Diagnostic 4</t>
        </is>
      </c>
      <c r="D18" s="37" t="inlineStr">
        <is>
          <t>LC 315 / LC 1192 / LC 715 Range &amp; Graph Diagnostic</t>
        </is>
      </c>
      <c r="E18" s="35" t="inlineStr">
        <is>
          <t>H</t>
        </is>
      </c>
      <c r="F18" s="35" t="n">
        <v>105</v>
      </c>
      <c r="G18" s="35" t="n"/>
      <c r="H18" s="35" t="n"/>
      <c r="I18" s="35" t="n"/>
      <c r="J18" s="35" t="n"/>
      <c r="K18" s="35" t="n"/>
      <c r="L18" s="35" t="n"/>
      <c r="M18" s="35" t="n"/>
      <c r="N18" s="35">
        <f>IFERROR(ROUND(AVERAGE($K18:$M18)*2,1),"N/A")</f>
        <v/>
      </c>
      <c r="O18" s="37" t="n"/>
      <c r="P18" s="37" t="n"/>
      <c r="Q18" s="35">
        <f>IF(OR(NOT(ISNUMBER($N18)),NOT(ISNUMBER($N17))),"",IF($N18&gt;$N17,"Improved (+"&amp;ROUND($N18-$N17,1)&amp;" pts)",IF($N18&lt;$N17,"Regressed (-"&amp;ROUND($N17-$N18,1)&amp;" pts)","Unchanged")))</f>
        <v/>
      </c>
    </row>
    <row r="19">
      <c r="A19" s="35" t="n">
        <v>126</v>
      </c>
      <c r="B19" s="53" t="n">
        <v>46421</v>
      </c>
      <c r="C19" s="35" t="inlineStr">
        <is>
          <t>Diagnostic 5</t>
        </is>
      </c>
      <c r="D19" s="37" t="inlineStr">
        <is>
          <t>LC 214 / LC 1044 / LC 1032 String &amp; Automata Diagnostic</t>
        </is>
      </c>
      <c r="E19" s="35" t="inlineStr">
        <is>
          <t>H</t>
        </is>
      </c>
      <c r="F19" s="35" t="n">
        <v>110</v>
      </c>
      <c r="G19" s="35" t="n"/>
      <c r="H19" s="35" t="n"/>
      <c r="I19" s="35" t="n"/>
      <c r="J19" s="35" t="n"/>
      <c r="K19" s="35" t="n"/>
      <c r="L19" s="35" t="n"/>
      <c r="M19" s="35" t="n"/>
      <c r="N19" s="35">
        <f>IFERROR(ROUND(AVERAGE($K19:$M19)*2,1),"N/A")</f>
        <v/>
      </c>
      <c r="O19" s="37" t="n"/>
      <c r="P19" s="37" t="n"/>
      <c r="Q19" s="35">
        <f>IF(OR(NOT(ISNUMBER($N19)),NOT(ISNUMBER($N18))),"",IF($N19&gt;$N18,"Improved (+"&amp;ROUND($N19-$N18,1)&amp;" pts)",IF($N19&lt;$N18,"Regressed (-"&amp;ROUND($N18-$N19,1)&amp;" pts)","Unchanged")))</f>
        <v/>
      </c>
    </row>
    <row r="20">
      <c r="A20" s="35" t="n">
        <v>140</v>
      </c>
      <c r="B20" s="53" t="n">
        <v>46435</v>
      </c>
      <c r="C20" s="35" t="inlineStr">
        <is>
          <t>Diagnostic 6</t>
        </is>
      </c>
      <c r="D20" s="37" t="inlineStr">
        <is>
          <t>SPSC Buffer / Consistent Hash / 2Q Cache Diagnostic</t>
        </is>
      </c>
      <c r="E20" s="35" t="inlineStr">
        <is>
          <t>H</t>
        </is>
      </c>
      <c r="F20" s="35" t="n">
        <v>110</v>
      </c>
      <c r="G20" s="35" t="n"/>
      <c r="H20" s="35" t="n"/>
      <c r="I20" s="35" t="n"/>
      <c r="J20" s="35" t="n"/>
      <c r="K20" s="35" t="n"/>
      <c r="L20" s="35" t="n"/>
      <c r="M20" s="35" t="n"/>
      <c r="N20" s="35">
        <f>IFERROR(ROUND(AVERAGE($K20:$M20)*2,1),"N/A")</f>
        <v/>
      </c>
      <c r="O20" s="37" t="n"/>
      <c r="P20" s="37" t="n"/>
      <c r="Q20" s="35">
        <f>IF(OR(NOT(ISNUMBER($N20)),NOT(ISNUMBER($N19))),"",IF($N20&gt;$N19,"Improved (+"&amp;ROUND($N20-$N19,1)&amp;" pts)",IF($N20&lt;$N19,"Regressed (-"&amp;ROUND($N19-$N20,1)&amp;" pts)","Unchanged")))</f>
        <v/>
      </c>
    </row>
    <row r="21">
      <c r="A21" s="35" t="n">
        <v>154</v>
      </c>
      <c r="B21" s="53" t="n">
        <v>46449</v>
      </c>
      <c r="C21" s="35" t="inlineStr">
        <is>
          <t>Diagnostic 7</t>
        </is>
      </c>
      <c r="D21" s="37" t="inlineStr">
        <is>
          <t>LC 2050 / Blelloch Scan / SpMM Matrix Diagnostic</t>
        </is>
      </c>
      <c r="E21" s="35" t="inlineStr">
        <is>
          <t>H</t>
        </is>
      </c>
      <c r="F21" s="35" t="n">
        <v>110</v>
      </c>
      <c r="G21" s="35" t="n"/>
      <c r="H21" s="35" t="n"/>
      <c r="I21" s="35" t="n"/>
      <c r="J21" s="35" t="n"/>
      <c r="K21" s="35" t="n"/>
      <c r="L21" s="35" t="n"/>
      <c r="M21" s="35" t="n"/>
      <c r="N21" s="35">
        <f>IFERROR(ROUND(AVERAGE($K21:$M21)*2,1),"N/A")</f>
        <v/>
      </c>
      <c r="O21" s="37" t="n"/>
      <c r="P21" s="37" t="n"/>
      <c r="Q21" s="35">
        <f>IF(OR(NOT(ISNUMBER($N21)),NOT(ISNUMBER($N20))),"",IF($N21&gt;$N20,"Improved (+"&amp;ROUND($N21-$N20,1)&amp;" pts)",IF($N21&lt;$N20,"Regressed (-"&amp;ROUND($N20-$N21,1)&amp;" pts)","Unchanged")))</f>
        <v/>
      </c>
    </row>
    <row r="22">
      <c r="A22" s="35" t="n">
        <v>164</v>
      </c>
      <c r="B22" s="53" t="n">
        <v>46459</v>
      </c>
      <c r="C22" s="35" t="inlineStr">
        <is>
          <t>Capstone Mock 1</t>
        </is>
      </c>
      <c r="D22" s="37" t="inlineStr">
        <is>
          <t>Tier-1 Distributed Storage &amp; Cache Algorithm (verbal)</t>
        </is>
      </c>
      <c r="E22" s="35" t="inlineStr">
        <is>
          <t>H</t>
        </is>
      </c>
      <c r="F22" s="35" t="n">
        <v>45</v>
      </c>
      <c r="G22" s="35" t="n"/>
      <c r="H22" s="35" t="n"/>
      <c r="I22" s="35" t="n"/>
      <c r="J22" s="35" t="n"/>
      <c r="K22" s="35" t="n"/>
      <c r="L22" s="35" t="n"/>
      <c r="M22" s="35" t="n"/>
      <c r="N22" s="35">
        <f>IFERROR(ROUND(AVERAGE($K22:$M22)*2,1),"N/A")</f>
        <v/>
      </c>
      <c r="O22" s="37" t="n"/>
      <c r="P22" s="37" t="n"/>
      <c r="Q22" s="35">
        <f>IF(OR(NOT(ISNUMBER($N22)),NOT(ISNUMBER($N21))),"",IF($N22&gt;$N21,"Improved (+"&amp;ROUND($N22-$N21,1)&amp;" pts)",IF($N22&lt;$N21,"Regressed (-"&amp;ROUND($N21-$N22,1)&amp;" pts)","Unchanged")))</f>
        <v/>
      </c>
    </row>
    <row r="23">
      <c r="A23" s="35" t="n">
        <v>165</v>
      </c>
      <c r="B23" s="53" t="n">
        <v>46460</v>
      </c>
      <c r="C23" s="35" t="inlineStr">
        <is>
          <t>Capstone Mock 2</t>
        </is>
      </c>
      <c r="D23" s="37" t="inlineStr">
        <is>
          <t>Tier-1 ML Infra / Scheduling Algorithm (verbal)</t>
        </is>
      </c>
      <c r="E23" s="35" t="inlineStr">
        <is>
          <t>H</t>
        </is>
      </c>
      <c r="F23" s="35" t="n">
        <v>45</v>
      </c>
      <c r="G23" s="35" t="n"/>
      <c r="H23" s="35" t="n"/>
      <c r="I23" s="35" t="n"/>
      <c r="J23" s="35" t="n"/>
      <c r="K23" s="35" t="n"/>
      <c r="L23" s="35" t="n"/>
      <c r="M23" s="35" t="n"/>
      <c r="N23" s="35">
        <f>IFERROR(ROUND(AVERAGE($K23:$M23)*2,1),"N/A")</f>
        <v/>
      </c>
      <c r="O23" s="37" t="n"/>
      <c r="P23" s="37" t="n"/>
      <c r="Q23" s="35">
        <f>IF(OR(NOT(ISNUMBER($N23)),NOT(ISNUMBER($N22))),"",IF($N23&gt;$N22,"Improved (+"&amp;ROUND($N23-$N22,1)&amp;" pts)",IF($N23&lt;$N22,"Regressed (-"&amp;ROUND($N22-$N23,1)&amp;" pts)","Unchanged")))</f>
        <v/>
      </c>
    </row>
    <row r="24">
      <c r="A24" s="35" t="n">
        <v>166</v>
      </c>
      <c r="B24" s="53" t="n">
        <v>46461</v>
      </c>
      <c r="C24" s="35" t="inlineStr">
        <is>
          <t>Capstone Mock 3</t>
        </is>
      </c>
      <c r="D24" s="37" t="inlineStr">
        <is>
          <t>Tier-1 High-Dimensional Vector Search (verbal)</t>
        </is>
      </c>
      <c r="E24" s="35" t="inlineStr">
        <is>
          <t>H</t>
        </is>
      </c>
      <c r="F24" s="35" t="n">
        <v>45</v>
      </c>
      <c r="G24" s="35" t="n"/>
      <c r="H24" s="35" t="n"/>
      <c r="I24" s="35" t="n"/>
      <c r="J24" s="35" t="n"/>
      <c r="K24" s="35" t="n"/>
      <c r="L24" s="35" t="n"/>
      <c r="M24" s="35" t="n"/>
      <c r="N24" s="35">
        <f>IFERROR(ROUND(AVERAGE($K24:$M24)*2,1),"N/A")</f>
        <v/>
      </c>
      <c r="O24" s="37" t="n"/>
      <c r="P24" s="37" t="n"/>
      <c r="Q24" s="35">
        <f>IF(OR(NOT(ISNUMBER($N24)),NOT(ISNUMBER($N23))),"",IF($N24&gt;$N23,"Improved (+"&amp;ROUND($N24-$N23,1)&amp;" pts)",IF($N24&lt;$N23,"Regressed (-"&amp;ROUND($N23-$N24,1)&amp;" pts)","Unchanged")))</f>
        <v/>
      </c>
    </row>
    <row r="25">
      <c r="A25" s="35" t="n">
        <v>168</v>
      </c>
      <c r="B25" s="53" t="n">
        <v>46463</v>
      </c>
      <c r="C25" s="35" t="inlineStr">
        <is>
          <t>Grand Diagnostic</t>
        </is>
      </c>
      <c r="D25" s="37" t="inlineStr">
        <is>
          <t>Final 3 Unlabelled Multi-Domain Hard Problems</t>
        </is>
      </c>
      <c r="E25" s="35" t="inlineStr">
        <is>
          <t>H</t>
        </is>
      </c>
      <c r="F25" s="35" t="n">
        <v>120</v>
      </c>
      <c r="G25" s="35" t="n"/>
      <c r="H25" s="35" t="n"/>
      <c r="I25" s="35" t="n"/>
      <c r="J25" s="35" t="n"/>
      <c r="K25" s="35" t="n"/>
      <c r="L25" s="35" t="n"/>
      <c r="M25" s="35" t="n"/>
      <c r="N25" s="35">
        <f>IFERROR(ROUND(AVERAGE($K25:$M25)*2,1),"N/A")</f>
        <v/>
      </c>
      <c r="O25" s="37" t="n"/>
      <c r="P25" s="37" t="n"/>
      <c r="Q25" s="35">
        <f>IF(OR(NOT(ISNUMBER($N25)),NOT(ISNUMBER($N24))),"",IF($N25&gt;$N24,"Improved (+"&amp;ROUND($N25-$N24,1)&amp;" pts)",IF($N25&lt;$N24,"Regressed (-"&amp;ROUND($N24-$N25,1)&amp;" pts)","Unchanged")))</f>
        <v/>
      </c>
    </row>
  </sheetData>
  <conditionalFormatting sqref="N2:N30">
    <cfRule type="colorScale" priority="1">
      <colorScale>
        <cfvo type="num" val="2"/>
        <cfvo type="num" val="6"/>
        <cfvo type="num" val="10"/>
        <color rgb="00DC2626"/>
        <color rgb="00CA8A04"/>
        <color rgb="0016A34A"/>
      </colorScale>
    </cfRule>
  </conditionalFormatting>
  <conditionalFormatting sqref="J2:J30">
    <cfRule type="cellIs" priority="2" operator="greaterThan" dxfId="1">
      <formula>12</formula>
    </cfRule>
    <cfRule type="cellIs" priority="3" operator="lessThanOrEqual" dxfId="0">
      <formula>5</formula>
    </cfRule>
  </conditionalFormatting>
  <dataValidations count="5">
    <dataValidation sqref="G2:G30" showDropDown="0" showInputMessage="0" showErrorMessage="0" allowBlank="1" promptTitle="Solved?" type="list">
      <formula1>"Yes,No"</formula1>
    </dataValidation>
    <dataValidation sqref="E2:E30" showDropDown="0" showInputMessage="0" showErrorMessage="0" allowBlank="1" promptTitle="Difficulty" type="list">
      <formula1>"E,M,H"</formula1>
    </dataValidation>
    <dataValidation sqref="K2:K30" showDropDown="0" showInputMessage="0" showErrorMessage="0" allowBlank="1" promptTitle="Score 1-5" type="list">
      <formula1>"1,2,3,4,5"</formula1>
    </dataValidation>
    <dataValidation sqref="L2:L30" showDropDown="0" showInputMessage="0" showErrorMessage="0" allowBlank="1" promptTitle="Score 1-5" type="list">
      <formula1>"1,2,3,4,5"</formula1>
    </dataValidation>
    <dataValidation sqref="M2:M30" showDropDown="0" showInputMessage="0" showErrorMessage="0" allowBlank="1" promptTitle="Score 1-5" type="list">
      <formula1>"1,2,3,4,5"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3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28" customWidth="1" min="4" max="4"/>
    <col width="10" customWidth="1" min="5" max="5"/>
    <col width="44" customWidth="1" min="6" max="6"/>
    <col width="42" customWidth="1" min="7" max="7"/>
    <col width="36" customWidth="1" min="8" max="8"/>
    <col width="34" customWidth="1" min="9" max="9"/>
    <col width="36" customWidth="1" min="10" max="10"/>
    <col width="10" customWidth="1" min="11" max="11"/>
    <col width="12" customWidth="1" min="12" max="12"/>
    <col width="24" customWidth="1" min="13" max="13"/>
    <col width="18" customWidth="1" min="14" max="14"/>
    <col width="18" customWidth="1" min="15" max="15"/>
    <col width="18" customWidth="1" min="16" max="16"/>
    <col width="22" customWidth="1" min="17" max="17"/>
    <col width="18" customWidth="1" min="18" max="18"/>
    <col width="24" customWidth="1" min="19" max="19"/>
  </cols>
  <sheetData>
    <row r="1" ht="28" customHeight="1">
      <c r="A1" s="34" t="inlineStr">
        <is>
          <t>Day</t>
        </is>
      </c>
      <c r="B1" s="34" t="inlineStr">
        <is>
          <t>Resource</t>
        </is>
      </c>
      <c r="C1" s="34" t="inlineStr">
        <is>
          <t>Topic</t>
        </is>
      </c>
      <c r="D1" s="34" t="inlineStr">
        <is>
          <t>Where</t>
        </is>
      </c>
      <c r="E1" s="34" t="inlineStr">
        <is>
          <t>Duration (min)</t>
        </is>
      </c>
      <c r="F1" s="34" t="inlineStr">
        <is>
          <t>Why needed (what mental model gap)</t>
        </is>
      </c>
      <c r="G1" s="34" t="inlineStr">
        <is>
          <t>What to EXTRACT</t>
        </is>
      </c>
      <c r="H1" s="34" t="inlineStr">
        <is>
          <t>What NOT to memorize</t>
        </is>
      </c>
      <c r="I1" s="34" t="inlineStr">
        <is>
          <t>Problems immediately after</t>
        </is>
      </c>
      <c r="J1" s="34" t="inlineStr">
        <is>
          <t>What to recall next day</t>
        </is>
      </c>
      <c r="K1" s="34" t="inlineStr">
        <is>
          <t>Watched?</t>
        </is>
      </c>
      <c r="L1" s="34" t="inlineStr">
        <is>
          <t>Watch-by Date</t>
        </is>
      </c>
      <c r="M1" s="34" t="inlineStr">
        <is>
          <t>Primary YouTube Video</t>
        </is>
      </c>
      <c r="N1" s="34" t="inlineStr">
        <is>
          <t>📺 Striver</t>
        </is>
      </c>
      <c r="O1" s="34" t="inlineStr">
        <is>
          <t>📺 Aditya Verma</t>
        </is>
      </c>
      <c r="P1" s="34" t="inlineStr">
        <is>
          <t>📺 Love Babbar</t>
        </is>
      </c>
      <c r="Q1" s="34" t="inlineStr">
        <is>
          <t>📺 Padho with Pratyush</t>
        </is>
      </c>
      <c r="R1" s="34" t="inlineStr">
        <is>
          <t>📺 NeetCode</t>
        </is>
      </c>
      <c r="S1" s="34" t="inlineStr">
        <is>
          <t>📺 Other / Specialized</t>
        </is>
      </c>
      <c r="T1" s="7" t="n"/>
      <c r="U1" s="54" t="inlineStr">
        <is>
          <t>RULE: 35 tutorials in 168 days = the cap. Every tutorial not on this list that you watch is procrastination. Log it as a productivity trap in FailureLog if you break this rule.</t>
        </is>
      </c>
    </row>
    <row r="2" ht="44" customHeight="1">
      <c r="A2" s="52" t="n">
        <v>1</v>
      </c>
      <c r="B2" s="37" t="inlineStr">
        <is>
          <t>NeetCode / CPH ch.2</t>
        </is>
      </c>
      <c r="C2" s="37" t="inlineStr">
        <is>
          <t>Big-O + n -&gt; TC constraint mapping</t>
        </is>
      </c>
      <c r="D2" s="37" t="inlineStr">
        <is>
          <t>neetcode.io + CPH ch.2</t>
        </is>
      </c>
      <c r="E2" s="35" t="n">
        <v>25</v>
      </c>
      <c r="F2" s="37" t="inlineStr">
        <is>
          <t>Without this you cannot eliminate approaches before coding  -  most expensive mistake in interviews</t>
        </is>
      </c>
      <c r="G2" s="37" t="inlineStr">
        <is>
          <t>The n -&gt; feasible-TC table; how to read constraints; O(n^2) death at n=10^5</t>
        </is>
      </c>
      <c r="H2" s="37" t="inlineStr">
        <is>
          <t>Formal limit definitions; big-O arithmetic proofs</t>
        </is>
      </c>
      <c r="I2" s="37" t="inlineStr">
        <is>
          <t>LC 1, LC 121</t>
        </is>
      </c>
      <c r="J2" s="37" t="inlineStr">
        <is>
          <t>Recite the n -&gt; TC table from memory</t>
        </is>
      </c>
      <c r="K2" s="35" t="n"/>
      <c r="L2" s="48">
        <f>IF($A2="","",INDEX(DayPlan!$C$2:$C$169,MATCH($A2,DayPlan!$A$2:$A$169,0)))</f>
        <v/>
      </c>
      <c r="M2" s="39">
        <f>HYPERLINK("https://www.youtube.com/watch?v=EAR7De6Goz4", "▶ Watch (Striver) ↗")</f>
        <v/>
      </c>
      <c r="N2" s="55">
        <f>HYPERLINK("https://www.youtube.com/results?search_query=striver%20c%2B%2B%20basics%20for%20beginners%20setup", "📺 Striver ↗")</f>
        <v/>
      </c>
      <c r="O2" s="40" t="inlineStr">
        <is>
          <t>—</t>
        </is>
      </c>
      <c r="P2" s="55">
        <f>HYPERLINK("https://www.youtube.com/results?search_query=love%20babbar%20c%2B%2B%20course%20lecture%201%20introduction", "📺 Love Babbar ↗")</f>
        <v/>
      </c>
      <c r="Q2" s="40" t="inlineStr">
        <is>
          <t>—</t>
        </is>
      </c>
      <c r="R2" s="55">
        <f>HYPERLINK("https://www.youtube.com/results?search_query=neetcode%20getting%20started%20with%20leetcode", "📺 NeetCode ↗")</f>
        <v/>
      </c>
      <c r="S2" s="56">
        <f>HYPERLINK("https://www.youtube.com/results?search_query=codehelp%20c%2B%2B%20first%20program", "📺 CodeHelp ↗")</f>
        <v/>
      </c>
      <c r="T2" s="7" t="n"/>
      <c r="U2" s="7" t="n"/>
    </row>
    <row r="3" ht="44" customHeight="1">
      <c r="A3" s="52" t="n">
        <v>3</v>
      </c>
      <c r="B3" s="37" t="inlineStr">
        <is>
          <t>NeetCode</t>
        </is>
      </c>
      <c r="C3" s="37" t="inlineStr">
        <is>
          <t>Prefix sums and prefix+hashmap</t>
        </is>
      </c>
      <c r="D3" s="37" t="inlineStr">
        <is>
          <t>neetcode.io (Subarray Sum Equals K)</t>
        </is>
      </c>
      <c r="E3" s="35" t="n">
        <v>20</v>
      </c>
      <c r="F3" s="37" t="inlineStr">
        <is>
          <t>Prefix+hash is non-obvious and reused for 12+ weeks; gaps here compound badly</t>
        </is>
      </c>
      <c r="G3" s="37" t="inlineStr">
        <is>
          <t>Why a COUNT map beats a seen-set; why prefix[0]=0 must be seeded; loop invariant</t>
        </is>
      </c>
      <c r="H3" s="37" t="inlineStr">
        <is>
          <t>The exact code; how to handle overflow</t>
        </is>
      </c>
      <c r="I3" s="37" t="inlineStr">
        <is>
          <t>LC 560, LC 238</t>
        </is>
      </c>
      <c r="J3" s="37" t="inlineStr">
        <is>
          <t>Explain the prefix invariant in one sentence</t>
        </is>
      </c>
      <c r="K3" s="35" t="n"/>
      <c r="L3" s="48">
        <f>IF($A3="","",INDEX(DayPlan!$C$2:$C$169,MATCH($A3,DayPlan!$A$2:$A$169,0)))</f>
        <v/>
      </c>
      <c r="M3" s="39">
        <f>HYPERLINK("https://www.youtube.com/watch?v=9TlHvipP5yA", "▶ Watch (Abdul Bari) ↗")</f>
        <v/>
      </c>
      <c r="N3" s="55">
        <f>HYPERLINK("https://www.youtube.com/results?search_query=striver%20time%20complexity%20big%20o%20notation", "📺 Striver ↗")</f>
        <v/>
      </c>
      <c r="O3" s="40" t="inlineStr">
        <is>
          <t>—</t>
        </is>
      </c>
      <c r="P3" s="55">
        <f>HYPERLINK("https://www.youtube.com/results?search_query=love%20babbar%20time%20and%20space%20complexity", "📺 Love Babbar ↗")</f>
        <v/>
      </c>
      <c r="Q3" s="40" t="inlineStr">
        <is>
          <t>—</t>
        </is>
      </c>
      <c r="R3" s="55">
        <f>HYPERLINK("https://www.youtube.com/results?search_query=neetcode%20big%20o%20notation", "📺 NeetCode ↗")</f>
        <v/>
      </c>
      <c r="S3" s="56">
        <f>HYPERLINK("https://www.youtube.com/results?search_query=abdul%20bari%20algorithm%20analysis%20time%20complexity%20big%20o", "📺 Abdul Bari ↗")</f>
        <v/>
      </c>
      <c r="T3" s="7" t="n"/>
      <c r="U3" s="7" t="n"/>
    </row>
    <row r="4" ht="44" customHeight="1">
      <c r="A4" s="52" t="n">
        <v>8</v>
      </c>
      <c r="B4" s="37" t="inlineStr">
        <is>
          <t>NeetCode</t>
        </is>
      </c>
      <c r="C4" s="37" t="inlineStr">
        <is>
          <t>Two pointers: why the movement is valid</t>
        </is>
      </c>
      <c r="D4" s="37" t="inlineStr">
        <is>
          <t>neetcode.io (Two Sum II / 3Sum)</t>
        </is>
      </c>
      <c r="E4" s="35" t="n">
        <v>20</v>
      </c>
      <c r="F4" s="37" t="inlineStr">
        <is>
          <t>Most learners memorize the motion but cannot explain why no valid pair is skipped</t>
        </is>
      </c>
      <c r="G4" s="37" t="inlineStr">
        <is>
          <t>The discard argument for each pointer move; the duplicate-skip rule and why it is safe</t>
        </is>
      </c>
      <c r="H4" s="37" t="inlineStr">
        <is>
          <t>The loop skeleton as a template</t>
        </is>
      </c>
      <c r="I4" s="37" t="inlineStr">
        <is>
          <t>LC 167, LC 15</t>
        </is>
      </c>
      <c r="J4" s="37" t="inlineStr">
        <is>
          <t>State the discard argument without notes</t>
        </is>
      </c>
      <c r="K4" s="35" t="n"/>
      <c r="L4" s="48">
        <f>IF($A4="","",INDEX(DayPlan!$C$2:$C$169,MATCH($A4,DayPlan!$A$2:$A$169,0)))</f>
        <v/>
      </c>
      <c r="M4" s="39">
        <f>HYPERLINK("https://www.youtube.com/watch?v=KEs5UyBJ39g", "▶ Watch (Striver) ↗")</f>
        <v/>
      </c>
      <c r="N4" s="55">
        <f>HYPERLINK("https://www.youtube.com/results?search_query=striver%20hashing%20hashmap%20frequency%20counting", "📺 Striver ↗")</f>
        <v/>
      </c>
      <c r="O4" s="55">
        <f>HYPERLINK("https://www.youtube.com/results?search_query=aditya%20verma%20hashing%20map%20frequency", "📺 Aditya Verma ↗")</f>
        <v/>
      </c>
      <c r="P4" s="55">
        <f>HYPERLINK("https://www.youtube.com/results?search_query=love%20babbar%20hashing%20hashmap", "📺 Love Babbar ↗")</f>
        <v/>
      </c>
      <c r="Q4" s="40" t="inlineStr">
        <is>
          <t>—</t>
        </is>
      </c>
      <c r="R4" s="55">
        <f>HYPERLINK("https://www.youtube.com/results?search_query=neetcode%20valid%20anagram%20contains%20duplicate", "📺 NeetCode ↗")</f>
        <v/>
      </c>
      <c r="S4" s="40" t="inlineStr">
        <is>
          <t>—</t>
        </is>
      </c>
      <c r="T4" s="7" t="n"/>
      <c r="U4" s="7" t="n"/>
    </row>
    <row r="5" ht="44" customHeight="1">
      <c r="A5" s="52" t="n">
        <v>10</v>
      </c>
      <c r="B5" s="37" t="inlineStr">
        <is>
          <t>NeetCode</t>
        </is>
      </c>
      <c r="C5" s="37" t="inlineStr">
        <is>
          <t>Sliding window: expand/shrink + when it FAILS</t>
        </is>
      </c>
      <c r="D5" s="37" t="inlineStr">
        <is>
          <t>neetcode.io (Longest Substring)</t>
        </is>
      </c>
      <c r="E5" s="35" t="n">
        <v>25</v>
      </c>
      <c r="F5" s="37" t="inlineStr">
        <is>
          <t>Knowing when the window is INVALID (non-monotone conditions) prevents silent wrong answers</t>
        </is>
      </c>
      <c r="G5" s="37" t="inlineStr">
        <is>
          <t>The monotone feasibility condition; the loop invariant; one example where window fails</t>
        </is>
      </c>
      <c r="H5" s="37" t="inlineStr">
        <is>
          <t>The while-loop skeleton</t>
        </is>
      </c>
      <c r="I5" s="37" t="inlineStr">
        <is>
          <t>LC 3, LC 209</t>
        </is>
      </c>
      <c r="J5" s="37" t="inlineStr">
        <is>
          <t>Name a problem where sliding window fails and why</t>
        </is>
      </c>
      <c r="K5" s="35" t="n"/>
      <c r="L5" s="48">
        <f>IF($A5="","",INDEX(DayPlan!$C$2:$C$169,MATCH($A5,DayPlan!$A$2:$A$169,0)))</f>
        <v/>
      </c>
      <c r="M5" s="39">
        <f>HYPERLINK("https://www.youtube.com/watch?v=cQ1Oz4ckceM", "▶ Watch (NeetCode) ↗")</f>
        <v/>
      </c>
      <c r="N5" s="55">
        <f>HYPERLINK("https://www.youtube.com/results?search_query=striver%20two%20pointers%20sorted%20array%20two%20sum%202", "📺 Striver ↗")</f>
        <v/>
      </c>
      <c r="O5" s="40" t="inlineStr">
        <is>
          <t>—</t>
        </is>
      </c>
      <c r="P5" s="55">
        <f>HYPERLINK("https://www.youtube.com/results?search_query=love%20babbar%20two%20pointer%20sorted%20array", "📺 Love Babbar ↗")</f>
        <v/>
      </c>
      <c r="Q5" s="40" t="inlineStr">
        <is>
          <t>—</t>
        </is>
      </c>
      <c r="R5" s="55">
        <f>HYPERLINK("https://www.youtube.com/results?search_query=neetcode%20two%20sum%20ii%20input%20array%20is%20sorted", "📺 NeetCode ↗")</f>
        <v/>
      </c>
      <c r="S5" s="40" t="inlineStr">
        <is>
          <t>—</t>
        </is>
      </c>
      <c r="T5" s="7" t="n"/>
      <c r="U5" s="7" t="n"/>
    </row>
    <row r="6" ht="44" customHeight="1">
      <c r="A6" s="52" t="n">
        <v>15</v>
      </c>
      <c r="B6" s="37" t="inlineStr">
        <is>
          <t>NeetCode + CPH ch.3</t>
        </is>
      </c>
      <c r="C6" s="37" t="inlineStr">
        <is>
          <t>Binary search boundaries: invariant-first</t>
        </is>
      </c>
      <c r="D6" s="37" t="inlineStr">
        <is>
          <t>neetcode.io + CPH ch.3</t>
        </is>
      </c>
      <c r="E6" s="35" t="n">
        <v>25</v>
      </c>
      <c r="F6" s="37" t="inlineStr">
        <is>
          <t>Off-by-one bugs here corrupt every future binary search problem silently</t>
        </is>
      </c>
      <c r="G6" s="37" t="inlineStr">
        <is>
          <t>Half-open invariant; lower_bound vs upper_bound; how to derive the correct loop condition</t>
        </is>
      </c>
      <c r="H6" s="37" t="inlineStr">
        <is>
          <t>Any memorized lo/hi template</t>
        </is>
      </c>
      <c r="I6" s="37" t="inlineStr">
        <is>
          <t>LC 704, LC 34</t>
        </is>
      </c>
      <c r="J6" s="37" t="inlineStr">
        <is>
          <t>Write lower_bound cold with no template</t>
        </is>
      </c>
      <c r="K6" s="35" t="n"/>
      <c r="L6" s="48">
        <f>IF($A6="","",INDEX(DayPlan!$C$2:$C$169,MATCH($A6,DayPlan!$A$2:$A$169,0)))</f>
        <v/>
      </c>
      <c r="M6" s="39">
        <f>HYPERLINK("https://www.youtube.com/watch?v=DfljaUwZsOk", "▶ Watch (Padho with Pratyush) ↗")</f>
        <v/>
      </c>
      <c r="N6" s="55">
        <f>HYPERLINK("https://www.youtube.com/results?search_query=striver%20binary%20search%20playlist", "📺 Striver ↗")</f>
        <v/>
      </c>
      <c r="O6" s="55">
        <f>HYPERLINK("https://www.youtube.com/results?search_query=aditya%20verma%20binary%20search%20playlist", "📺 Aditya Verma ↗")</f>
        <v/>
      </c>
      <c r="P6" s="55">
        <f>HYPERLINK("https://www.youtube.com/results?search_query=love%20babbar%20binary%20search", "📺 Love Babbar ↗")</f>
        <v/>
      </c>
      <c r="Q6" s="55">
        <f>HYPERLINK("https://www.youtube.com/results?search_query=padho%20with%20pratyush%20binary%20search", "📺 Padho with Pratyush ↗")</f>
        <v/>
      </c>
      <c r="R6" s="55">
        <f>HYPERLINK("https://www.youtube.com/results?search_query=neetcode%20binary%20search", "📺 NeetCode ↗")</f>
        <v/>
      </c>
      <c r="S6" s="40" t="inlineStr">
        <is>
          <t>—</t>
        </is>
      </c>
      <c r="T6" s="7" t="n"/>
      <c r="U6" s="7" t="n"/>
    </row>
    <row r="7" ht="44" customHeight="1">
      <c r="A7" s="52" t="n">
        <v>17</v>
      </c>
      <c r="B7" s="37" t="inlineStr">
        <is>
          <t>NeetCode</t>
        </is>
      </c>
      <c r="C7" s="37" t="inlineStr">
        <is>
          <t>Binary search on answer (parametric search)</t>
        </is>
      </c>
      <c r="D7" s="37" t="inlineStr">
        <is>
          <t>neetcode.io (Koko / Ship)</t>
        </is>
      </c>
      <c r="E7" s="35" t="n">
        <v>25</v>
      </c>
      <c r="F7" s="37" t="inlineStr">
        <is>
          <t>Single highest-leverage pattern in this program; appears disguised in infra interviews</t>
        </is>
      </c>
      <c r="G7" s="37" t="inlineStr">
        <is>
          <t>The 3 validity conditions; how to write feasible(); why the answer space is monotone</t>
        </is>
      </c>
      <c r="H7" s="37" t="inlineStr">
        <is>
          <t>Specific predicates from the video</t>
        </is>
      </c>
      <c r="I7" s="37" t="inlineStr">
        <is>
          <t>LC 875, LC 1011</t>
        </is>
      </c>
      <c r="J7" s="37" t="inlineStr">
        <is>
          <t>State the 3 validity conditions</t>
        </is>
      </c>
      <c r="K7" s="35" t="n"/>
      <c r="L7" s="48">
        <f>IF($A7="","",INDEX(DayPlan!$C$2:$C$169,MATCH($A7,DayPlan!$A$2:$A$169,0)))</f>
        <v/>
      </c>
      <c r="M7" s="39">
        <f>HYPERLINK("https://www.youtube.com/watch?v=C2apEw9pgtw", "▶ Watch (Abdul Bari) ↗")</f>
        <v/>
      </c>
      <c r="N7" s="55">
        <f>HYPERLINK("https://www.youtube.com/results?search_query=striver%20binary%20search%20on%20answers%20koko%20eating%20bananas", "📺 Striver ↗")</f>
        <v/>
      </c>
      <c r="O7" s="55">
        <f>HYPERLINK("https://www.youtube.com/results?search_query=aditya%20verma%20allocate%20minimum%20number%20of%20pages%20binary%20search", "📺 Aditya Verma ↗")</f>
        <v/>
      </c>
      <c r="P7" s="55">
        <f>HYPERLINK("https://www.youtube.com/results?search_query=love%20babbar%20book%20allocation%20painter%20partition%20binary%20search", "📺 Love Babbar ↗")</f>
        <v/>
      </c>
      <c r="Q7" s="55">
        <f>HYPERLINK("https://www.youtube.com/results?search_query=padho%20with%20pratyush%20binary%20search%20on%20answers", "📺 Padho with Pratyush ↗")</f>
        <v/>
      </c>
      <c r="R7" s="55">
        <f>HYPERLINK("https://www.youtube.com/results?search_query=neetcode%20koko%20eating%20bananas", "📺 NeetCode ↗")</f>
        <v/>
      </c>
      <c r="S7" s="40" t="inlineStr">
        <is>
          <t>—</t>
        </is>
      </c>
      <c r="T7" s="7" t="n"/>
      <c r="U7" s="7" t="n"/>
    </row>
    <row r="8" ht="44" customHeight="1">
      <c r="A8" s="52" t="n">
        <v>23</v>
      </c>
      <c r="B8" s="37" t="inlineStr">
        <is>
          <t>CPH ch.30 / cp-algorithms</t>
        </is>
      </c>
      <c r="C8" s="37" t="inlineStr">
        <is>
          <t>Sweep line and event counting</t>
        </is>
      </c>
      <c r="D8" s="37" t="inlineStr">
        <is>
          <t>CPH ch.30</t>
        </is>
      </c>
      <c r="E8" s="35" t="n">
        <v>20</v>
      </c>
      <c r="F8" s="37" t="inlineStr">
        <is>
          <t>Interval problems collapse once you model them as a sweep; two equivalent implementations</t>
        </is>
      </c>
      <c r="G8" s="37" t="inlineStr">
        <is>
          <t>Event encoding (+1/-1); tie-breaking between end and start events at the same time</t>
        </is>
      </c>
      <c r="H8" s="37" t="inlineStr">
        <is>
          <t>Library implementations</t>
        </is>
      </c>
      <c r="I8" s="37" t="inlineStr">
        <is>
          <t>LC 253, LC 1094</t>
        </is>
      </c>
      <c r="J8" s="37" t="inlineStr">
        <is>
          <t>Sweep vs heap equivalence proof</t>
        </is>
      </c>
      <c r="K8" s="35" t="n"/>
      <c r="L8" s="48">
        <f>IF($A8="","",INDEX(DayPlan!$C$2:$C$169,MATCH($A8,DayPlan!$A$2:$A$169,0)))</f>
        <v/>
      </c>
      <c r="M8" s="39">
        <f>HYPERLINK("https://www.youtube.com/watch?v=Nq7ok-OyEpg", "▶ Watch (Striver) ↗")</f>
        <v/>
      </c>
      <c r="N8" s="55">
        <f>HYPERLINK("https://www.youtube.com/results?search_query=striver%20meeting%20rooms%20merge%20intervals", "📺 Striver ↗")</f>
        <v/>
      </c>
      <c r="O8" s="55">
        <f>HYPERLINK("https://www.youtube.com/results?search_query=aditya%20verma%20interval%20merge", "📺 Aditya Verma ↗")</f>
        <v/>
      </c>
      <c r="P8" s="55">
        <f>HYPERLINK("https://www.youtube.com/results?search_query=love%20babbar%20merge%20intervals", "📺 Love Babbar ↗")</f>
        <v/>
      </c>
      <c r="Q8" s="55">
        <f>HYPERLINK("https://www.youtube.com/results?search_query=padho%20with%20pratyush%20line%20sweep%20intervals", "📺 Padho with Pratyush ↗")</f>
        <v/>
      </c>
      <c r="R8" s="55">
        <f>HYPERLINK("https://www.youtube.com/results?search_query=neetcode%20meeting%20rooms%20insert%20interval", "📺 NeetCode ↗")</f>
        <v/>
      </c>
      <c r="S8" s="40" t="inlineStr">
        <is>
          <t>—</t>
        </is>
      </c>
      <c r="T8" s="7" t="n"/>
      <c r="U8" s="7" t="n"/>
    </row>
    <row r="9" ht="44" customHeight="1">
      <c r="A9" s="52" t="n">
        <v>24</v>
      </c>
      <c r="B9" s="37" t="inlineStr">
        <is>
          <t>NeetCode</t>
        </is>
      </c>
      <c r="C9" s="37" t="inlineStr">
        <is>
          <t>Monotonic stack from first principles</t>
        </is>
      </c>
      <c r="D9" s="37" t="inlineStr">
        <is>
          <t>neetcode.io (Daily Temperatures)</t>
        </is>
      </c>
      <c r="E9" s="35" t="n">
        <v>25</v>
      </c>
      <c r="F9" s="37" t="inlineStr">
        <is>
          <t>The amortized argument is the reusable, transferable part  -  not the specific loop</t>
        </is>
      </c>
      <c r="G9" s="37" t="inlineStr">
        <is>
          <t>Why total pops &lt;= n; what the stack invariant is at any moment; where the answer is resolved</t>
        </is>
      </c>
      <c r="H9" s="37" t="inlineStr">
        <is>
          <t>Problem-specific loop code</t>
        </is>
      </c>
      <c r="I9" s="37" t="inlineStr">
        <is>
          <t>LC 739, LC 503</t>
        </is>
      </c>
      <c r="J9" s="37" t="inlineStr">
        <is>
          <t>Explain amortization in 60 seconds to a sceptical listener</t>
        </is>
      </c>
      <c r="K9" s="35" t="n"/>
      <c r="L9" s="48">
        <f>IF($A9="","",INDEX(DayPlan!$C$2:$C$169,MATCH($A9,DayPlan!$A$2:$A$169,0)))</f>
        <v/>
      </c>
      <c r="M9" s="39">
        <f>HYPERLINK("https://www.youtube.com/watch?v=wiOo4DC5GGA", "▶ Watch (Padho with Pratyush) ↗")</f>
        <v/>
      </c>
      <c r="N9" s="55">
        <f>HYPERLINK("https://www.youtube.com/results?search_query=striver%20next%20greater%20element%20monotonic%20stack", "📺 Striver ↗")</f>
        <v/>
      </c>
      <c r="O9" s="55">
        <f>HYPERLINK("https://www.youtube.com/results?search_query=aditya%20verma%20stack%20playlist%20nearest%20greater%20to%20right", "📺 Aditya Verma ↗")</f>
        <v/>
      </c>
      <c r="P9" s="55">
        <f>HYPERLINK("https://www.youtube.com/results?search_query=love%20babbar%20largest%20rectangle%20in%20histogram%20stack", "📺 Love Babbar ↗")</f>
        <v/>
      </c>
      <c r="Q9" s="55">
        <f>HYPERLINK("https://www.youtube.com/results?search_query=padho%20with%20pratyush%20monotonic%20stack", "📺 Padho with Pratyush ↗")</f>
        <v/>
      </c>
      <c r="R9" s="55">
        <f>HYPERLINK("https://www.youtube.com/results?search_query=neetcode%20daily%20temperatures%20monotonic%20stack", "📺 NeetCode ↗")</f>
        <v/>
      </c>
      <c r="S9" s="40" t="inlineStr">
        <is>
          <t>—</t>
        </is>
      </c>
      <c r="T9" s="7" t="n"/>
      <c r="U9" s="7" t="n"/>
    </row>
    <row r="10" ht="44" customHeight="1">
      <c r="A10" s="52" t="n">
        <v>29</v>
      </c>
      <c r="B10" s="37" t="inlineStr">
        <is>
          <t>NeetCode + CPH ch.4</t>
        </is>
      </c>
      <c r="C10" s="37" t="inlineStr">
        <is>
          <t>Heaps: sift-up/down, heapify, cost comparison</t>
        </is>
      </c>
      <c r="D10" s="37" t="inlineStr">
        <is>
          <t>neetcode.io + CPH ch.4</t>
        </is>
      </c>
      <c r="E10" s="35" t="n">
        <v>25</v>
      </c>
      <c r="F10" s="37" t="inlineStr">
        <is>
          <t>You must be able to compare heap vs sort cost on the spot; heapify being O(n) is non-obvious</t>
        </is>
      </c>
      <c r="G10" s="37" t="inlineStr">
        <is>
          <t>Partial-order insight; heapify O(n) proof sketch; when O(n log k) &lt; O(n log n)</t>
        </is>
      </c>
      <c r="H10" s="37" t="inlineStr">
        <is>
          <t>Manual heap implementation details</t>
        </is>
      </c>
      <c r="I10" s="37" t="inlineStr">
        <is>
          <t>LC 215, LC 973</t>
        </is>
      </c>
      <c r="J10" s="37" t="inlineStr">
        <is>
          <t>Compare heap vs sort cost for specific k/n values</t>
        </is>
      </c>
      <c r="K10" s="35" t="n"/>
      <c r="L10" s="48">
        <f>IF($A10="","",INDEX(DayPlan!$C$2:$C$169,MATCH($A10,DayPlan!$A$2:$A$169,0)))</f>
        <v/>
      </c>
      <c r="M10" s="39">
        <f>HYPERLINK("https://www.youtube.com/watch?v=NXOOYYwpbg4", "▶ Watch (Aditya Verma) ↗")</f>
        <v/>
      </c>
      <c r="N10" s="55">
        <f>HYPERLINK("https://www.youtube.com/results?search_query=striver%20heaps%20priority%20queue%20playlist", "📺 Striver ↗")</f>
        <v/>
      </c>
      <c r="O10" s="55">
        <f>HYPERLINK("https://www.youtube.com/results?search_query=aditya%20verma%20heap%20playlist%20kth%20smallest%20element", "📺 Aditya Verma ↗")</f>
        <v/>
      </c>
      <c r="P10" s="55">
        <f>HYPERLINK("https://www.youtube.com/results?search_query=love%20babbar%20heap%20data%20structure%20heapify", "📺 Love Babbar ↗")</f>
        <v/>
      </c>
      <c r="Q10" s="55">
        <f>HYPERLINK("https://www.youtube.com/results?search_query=padho%20with%20pratyush%20heap%20priority%20queue", "📺 Padho with Pratyush ↗")</f>
        <v/>
      </c>
      <c r="R10" s="40" t="inlineStr">
        <is>
          <t>—</t>
        </is>
      </c>
      <c r="S10" s="56">
        <f>HYPERLINK("https://www.youtube.com/results?search_query=abdul%20bari%20heap%20sort%20heapify", "📺 Abdul Bari ↗")</f>
        <v/>
      </c>
      <c r="T10" s="7" t="n"/>
      <c r="U10" s="7" t="n"/>
    </row>
    <row r="11" ht="44" customHeight="1">
      <c r="A11" s="52" t="n">
        <v>32</v>
      </c>
      <c r="B11" s="37" t="inlineStr">
        <is>
          <t>CPH ch.6</t>
        </is>
      </c>
      <c r="C11" s="37" t="inlineStr">
        <is>
          <t>Proving greedy: exchange and staying-ahead arguments</t>
        </is>
      </c>
      <c r="D11" s="37" t="inlineStr">
        <is>
          <t>CPH ch.6</t>
        </is>
      </c>
      <c r="E11" s="35" t="n">
        <v>20</v>
      </c>
      <c r="F11" s="37" t="inlineStr">
        <is>
          <t>Unproven greedy is the top hard-interview failure; you need two reusable proof schemas</t>
        </is>
      </c>
      <c r="G11" s="37" t="inlineStr">
        <is>
          <t>Exchange argument schema; staying-ahead argument schema; how to construct counterexamples</t>
        </is>
      </c>
      <c r="H11" s="37" t="inlineStr">
        <is>
          <t>Specific greedy solutions from the chapter</t>
        </is>
      </c>
      <c r="I11" s="37" t="inlineStr">
        <is>
          <t>LC 45, LC 134</t>
        </is>
      </c>
      <c r="J11" s="37" t="inlineStr">
        <is>
          <t>Give an exchange argument proof for LC 45</t>
        </is>
      </c>
      <c r="K11" s="35" t="n"/>
      <c r="L11" s="48">
        <f>IF($A11="","",INDEX(DayPlan!$C$2:$C$169,MATCH($A11,DayPlan!$A$2:$A$169,0)))</f>
        <v/>
      </c>
      <c r="M11" s="39">
        <f>HYPERLINK("https://www.youtube.com/watch?v=2Rr2tW9zvRg", "▶ Watch (Abdul Bari) ↗")</f>
        <v/>
      </c>
      <c r="N11" s="55">
        <f>HYPERLINK("https://www.youtube.com/results?search_query=striver%20greedy%20algorithms%20playlist", "📺 Striver ↗")</f>
        <v/>
      </c>
      <c r="O11" s="55">
        <f>HYPERLINK("https://www.youtube.com/results?search_query=aditya%20verma%20greedy%20algorithms", "📺 Aditya Verma ↗")</f>
        <v/>
      </c>
      <c r="P11" s="55">
        <f>HYPERLINK("https://www.youtube.com/results?search_query=love%20babbar%20greedy%20algorithm", "📺 Love Babbar ↗")</f>
        <v/>
      </c>
      <c r="Q11" s="55">
        <f>HYPERLINK("https://www.youtube.com/results?search_query=padho%20with%20pratyush%20greedy%20exchange%20argument", "📺 Padho with Pratyush ↗")</f>
        <v/>
      </c>
      <c r="R11" s="55">
        <f>HYPERLINK("https://www.youtube.com/results?search_query=neetcode%20jump%20game%20gas%20station", "📺 NeetCode ↗")</f>
        <v/>
      </c>
      <c r="S11" s="56">
        <f>HYPERLINK("https://www.youtube.com/results?search_query=abdul%20bari%20greedy%20method%20knapsack", "📺 Abdul Bari ↗")</f>
        <v/>
      </c>
      <c r="T11" s="7" t="n"/>
      <c r="U11" s="7" t="n"/>
    </row>
    <row r="12" ht="44" customHeight="1">
      <c r="A12" s="52" t="n">
        <v>37</v>
      </c>
      <c r="B12" s="37" t="inlineStr">
        <is>
          <t>NeetCode</t>
        </is>
      </c>
      <c r="C12" s="37" t="inlineStr">
        <is>
          <t>LRU cache design: structure composition</t>
        </is>
      </c>
      <c r="D12" s="37" t="inlineStr">
        <is>
          <t>neetcode.io (LRU Cache)</t>
        </is>
      </c>
      <c r="E12" s="35" t="n">
        <v>20</v>
      </c>
      <c r="F12" s="37" t="inlineStr">
        <is>
          <t>Canonical structure-composition problem and an AI-infra interview staple</t>
        </is>
      </c>
      <c r="G12" s="37" t="inlineStr">
        <is>
          <t>Why hashmap+DLL yields O(1) on all ops; the deletion and move-to-front invariant</t>
        </is>
      </c>
      <c r="H12" s="37" t="inlineStr">
        <is>
          <t>Boilerplate node class code</t>
        </is>
      </c>
      <c r="I12" s="37" t="inlineStr">
        <is>
          <t>LC 146, LC 142</t>
        </is>
      </c>
      <c r="J12" s="37" t="inlineStr">
        <is>
          <t>Rebuild LRU from a blank file in under 20 minutes</t>
        </is>
      </c>
      <c r="K12" s="35" t="n"/>
      <c r="L12" s="48">
        <f>IF($A12="","",INDEX(DayPlan!$C$2:$C$169,MATCH($A12,DayPlan!$A$2:$A$169,0)))</f>
        <v/>
      </c>
      <c r="M12" s="39">
        <f>HYPERLINK("https://www.youtube.com/watch?v=R_Mfw4ew-Vo", "▶ Watch (Striver) ↗")</f>
        <v/>
      </c>
      <c r="N12" s="55">
        <f>HYPERLINK("https://www.youtube.com/results?search_query=striver%20lru%20cache%20implementation", "📺 Striver ↗")</f>
        <v/>
      </c>
      <c r="O12" s="55">
        <f>HYPERLINK("https://www.youtube.com/results?search_query=aditya%20verma%20lru%20cache", "📺 Aditya Verma ↗")</f>
        <v/>
      </c>
      <c r="P12" s="55">
        <f>HYPERLINK("https://www.youtube.com/results?search_query=love%20babbar%20lru%20cache", "📺 Love Babbar ↗")</f>
        <v/>
      </c>
      <c r="Q12" s="55">
        <f>HYPERLINK("https://www.youtube.com/results?search_query=padho%20with%20pratyush%20lru%20cache", "📺 Padho with Pratyush ↗")</f>
        <v/>
      </c>
      <c r="R12" s="55">
        <f>HYPERLINK("https://www.youtube.com/results?search_query=neetcode%20lru%20cache", "📺 NeetCode ↗")</f>
        <v/>
      </c>
      <c r="S12" s="40" t="inlineStr">
        <is>
          <t>—</t>
        </is>
      </c>
      <c r="T12" s="7" t="n"/>
      <c r="U12" s="7" t="n"/>
    </row>
    <row r="13" ht="44" customHeight="1">
      <c r="A13" s="52" t="n">
        <v>39</v>
      </c>
      <c r="B13" s="37" t="inlineStr">
        <is>
          <t>CPH ch.10</t>
        </is>
      </c>
      <c r="C13" s="37" t="inlineStr">
        <is>
          <t>Bit manipulation that actually recurs</t>
        </is>
      </c>
      <c r="D13" s="37" t="inlineStr">
        <is>
          <t>CPH ch.10</t>
        </is>
      </c>
      <c r="E13" s="35" t="n">
        <v>20</v>
      </c>
      <c r="F13" s="37" t="inlineStr">
        <is>
          <t>Needed for bitmask DP in week 13; also for constraint-tracking in backtracking</t>
        </is>
      </c>
      <c r="G13" s="37" t="inlineStr">
        <is>
          <t>Mask set/clear/test/iterate-all-subsets; XOR cancellation; popcount</t>
        </is>
      </c>
      <c r="H13" s="37" t="inlineStr">
        <is>
          <t>Exotic hacks that do not appear in interviews</t>
        </is>
      </c>
      <c r="I13" s="37" t="inlineStr">
        <is>
          <t>LC 137, LC 371</t>
        </is>
      </c>
      <c r="J13" s="37" t="inlineStr">
        <is>
          <t>Write subset iteration with bitmasks</t>
        </is>
      </c>
      <c r="K13" s="35" t="n"/>
      <c r="L13" s="48">
        <f>IF($A13="","",INDEX(DayPlan!$C$2:$C$169,MATCH($A13,DayPlan!$A$2:$A$169,0)))</f>
        <v/>
      </c>
      <c r="M13" s="39">
        <f>HYPERLINK("https://www.youtube.com/watch?v=xXKL9YBWgCY", "▶ Watch (Errichto) ↗")</f>
        <v/>
      </c>
      <c r="N13" s="55">
        <f>HYPERLINK("https://www.youtube.com/results?search_query=striver%20bit%20manipulation%20playlist", "📺 Striver ↗")</f>
        <v/>
      </c>
      <c r="O13" s="55">
        <f>HYPERLINK("https://www.youtube.com/results?search_query=aditya%20verma%20bit%20manipulation", "📺 Aditya Verma ↗")</f>
        <v/>
      </c>
      <c r="P13" s="55">
        <f>HYPERLINK("https://www.youtube.com/results?search_query=love%20babbar%20bitwise%20operators", "📺 Love Babbar ↗")</f>
        <v/>
      </c>
      <c r="Q13" s="55">
        <f>HYPERLINK("https://www.youtube.com/results?search_query=padho%20with%20pratyush%20bitmask", "📺 Padho with Pratyush ↗")</f>
        <v/>
      </c>
      <c r="R13" s="55">
        <f>HYPERLINK("https://www.youtube.com/results?search_query=neetcode%20bit%20manipulation", "📺 NeetCode ↗")</f>
        <v/>
      </c>
      <c r="S13" s="40" t="inlineStr">
        <is>
          <t>—</t>
        </is>
      </c>
      <c r="T13" s="7" t="n"/>
      <c r="U13" s="7" t="n"/>
    </row>
    <row r="14" ht="44" customHeight="1">
      <c r="A14" s="52" t="n">
        <v>43</v>
      </c>
      <c r="B14" s="37" t="inlineStr">
        <is>
          <t>NeetCode</t>
        </is>
      </c>
      <c r="C14" s="37" t="inlineStr">
        <is>
          <t>Recursion as contract + call stack</t>
        </is>
      </c>
      <c r="D14" s="37" t="inlineStr">
        <is>
          <t>neetcode.io (tree basics)</t>
        </is>
      </c>
      <c r="E14" s="35" t="n">
        <v>25</v>
      </c>
      <c r="F14" s="37" t="inlineStr">
        <is>
          <t>Contract-first recursion eliminates most tree bugs before they happen</t>
        </is>
      </c>
      <c r="G14" s="37" t="inlineStr">
        <is>
          <t>How to state a return contract precisely in English; how the call stack relates to a tree traversal</t>
        </is>
      </c>
      <c r="H14" s="37" t="inlineStr">
        <is>
          <t>Individual tree solutions from the video</t>
        </is>
      </c>
      <c r="I14" s="37" t="inlineStr">
        <is>
          <t>LC 104, LC 110</t>
        </is>
      </c>
      <c r="J14" s="37" t="inlineStr">
        <is>
          <t>State two recursion contracts from today's problems</t>
        </is>
      </c>
      <c r="K14" s="35" t="n"/>
      <c r="L14" s="48">
        <f>IF($A14="","",INDEX(DayPlan!$C$2:$C$169,MATCH($A14,DayPlan!$A$2:$A$169,0)))</f>
        <v/>
      </c>
      <c r="M14" s="39">
        <f>HYPERLINK("https://www.youtube.com/watch?v=jmy0LaGET1I", "▶ Watch (Striver) ↗")</f>
        <v/>
      </c>
      <c r="N14" s="55">
        <f>HYPERLINK("https://www.youtube.com/results?search_query=striver%20binary%20tree%20series%20playlist", "📺 Striver ↗")</f>
        <v/>
      </c>
      <c r="O14" s="55">
        <f>HYPERLINK("https://www.youtube.com/results?search_query=aditya%20verma%20recursion%20playlist", "📺 Aditya Verma ↗")</f>
        <v/>
      </c>
      <c r="P14" s="55">
        <f>HYPERLINK("https://www.youtube.com/results?search_query=love%20babbar%20binary%20tree%20recursion", "📺 Love Babbar ↗")</f>
        <v/>
      </c>
      <c r="Q14" s="55">
        <f>HYPERLINK("https://www.youtube.com/results?search_query=padho%20with%20pratyush%20binary%20tree", "📺 Padho with Pratyush ↗")</f>
        <v/>
      </c>
      <c r="R14" s="55">
        <f>HYPERLINK("https://www.youtube.com/results?search_query=neetcode%20binary%20tree%20maximum%20path%20sum", "📺 NeetCode ↗")</f>
        <v/>
      </c>
      <c r="S14" s="40" t="inlineStr">
        <is>
          <t>—</t>
        </is>
      </c>
      <c r="T14" s="7" t="n"/>
      <c r="U14" s="7" t="n"/>
    </row>
    <row r="15" ht="44" customHeight="1">
      <c r="A15" s="52" t="n">
        <v>50</v>
      </c>
      <c r="B15" s="37" t="inlineStr">
        <is>
          <t>NeetCode</t>
        </is>
      </c>
      <c r="C15" s="37" t="inlineStr">
        <is>
          <t>Trie construction and use</t>
        </is>
      </c>
      <c r="D15" s="37" t="inlineStr">
        <is>
          <t>neetcode.io (Implement Trie)</t>
        </is>
      </c>
      <c r="E15" s="35" t="n">
        <v>20</v>
      </c>
      <c r="F15" s="37" t="inlineStr">
        <is>
          <t>New data structure with a non-obvious memory/TC trade-off</t>
        </is>
      </c>
      <c r="G15" s="37" t="inlineStr">
        <is>
          <t>Node layout; insert/search; memory trade-off vs hashset; when trie loses</t>
        </is>
      </c>
      <c r="H15" s="37" t="inlineStr">
        <is>
          <t>Array-vs-map micro-implementation details</t>
        </is>
      </c>
      <c r="I15" s="37" t="inlineStr">
        <is>
          <t>LC 208, LC 139</t>
        </is>
      </c>
      <c r="J15" s="37" t="inlineStr">
        <is>
          <t>State the trie vs hashset trade-off clearly</t>
        </is>
      </c>
      <c r="K15" s="35" t="n"/>
      <c r="L15" s="48">
        <f>IF($A15="","",INDEX(DayPlan!$C$2:$C$169,MATCH($A15,DayPlan!$A$2:$A$169,0)))</f>
        <v/>
      </c>
      <c r="M15" s="39">
        <f>HYPERLINK("https://www.youtube.com/watch?v=p7-9UvDQZ3w", "▶ Watch (Striver) ↗")</f>
        <v/>
      </c>
      <c r="N15" s="55">
        <f>HYPERLINK("https://www.youtube.com/results?search_query=striver%20trie%20series%20playlist", "📺 Striver ↗")</f>
        <v/>
      </c>
      <c r="O15" s="55">
        <f>HYPERLINK("https://www.youtube.com/results?search_query=aditya%20verma%20trie", "📺 Aditya Verma ↗")</f>
        <v/>
      </c>
      <c r="P15" s="55">
        <f>HYPERLINK("https://www.youtube.com/results?search_query=love%20babbar%20trie%20implementation", "📺 Love Babbar ↗")</f>
        <v/>
      </c>
      <c r="Q15" s="55">
        <f>HYPERLINK("https://www.youtube.com/results?search_query=padho%20with%20pratyush%20trie", "📺 Padho with Pratyush ↗")</f>
        <v/>
      </c>
      <c r="R15" s="55">
        <f>HYPERLINK("https://www.youtube.com/results?search_query=neetcode%20implement%20trie", "📺 NeetCode ↗")</f>
        <v/>
      </c>
      <c r="S15" s="40" t="inlineStr">
        <is>
          <t>—</t>
        </is>
      </c>
      <c r="T15" s="7" t="n"/>
      <c r="U15" s="7" t="n"/>
    </row>
    <row r="16" ht="44" customHeight="1">
      <c r="A16" s="52" t="n">
        <v>57</v>
      </c>
      <c r="B16" s="37" t="inlineStr">
        <is>
          <t>NeetCode + CPH ch.11-12</t>
        </is>
      </c>
      <c r="C16" s="37" t="inlineStr">
        <is>
          <t>Graph representations + BFS/DFS discipline</t>
        </is>
      </c>
      <c r="D16" s="37" t="inlineStr">
        <is>
          <t>neetcode.io + CPH ch.11</t>
        </is>
      </c>
      <c r="E16" s="35" t="n">
        <v>25</v>
      </c>
      <c r="F16" s="37" t="inlineStr">
        <is>
          <t>Modelling errors cause more graph failures than algorithm errors; visited discipline is critical</t>
        </is>
      </c>
      <c r="G16" s="37" t="inlineStr">
        <is>
          <t>Adjacency list vs matrix trade-offs; mark on PUSH not POP; the input that breaks pop-marking</t>
        </is>
      </c>
      <c r="H16" s="37" t="inlineStr">
        <is>
          <t>Grid-specific boilerplate code</t>
        </is>
      </c>
      <c r="I16" s="37" t="inlineStr">
        <is>
          <t>LC 200, LC 133</t>
        </is>
      </c>
      <c r="J16" s="37" t="inlineStr">
        <is>
          <t>State when to mark visited and why; construct the breaking input</t>
        </is>
      </c>
      <c r="K16" s="35" t="n"/>
      <c r="L16" s="48">
        <f>IF($A16="","",INDEX(DayPlan!$C$2:$C$169,MATCH($A16,DayPlan!$A$2:$A$169,0)))</f>
        <v/>
      </c>
      <c r="M16" s="39">
        <f>HYPERLINK("https://www.youtube.com/watch?v=13m9ZCB8gjw", "▶ Watch (Padho with Pratyush) ↗")</f>
        <v/>
      </c>
      <c r="N16" s="55">
        <f>HYPERLINK("https://www.youtube.com/results?search_query=striver%20graph%20series%20bfs%20dfs", "📺 Striver ↗")</f>
        <v/>
      </c>
      <c r="O16" s="55">
        <f>HYPERLINK("https://www.youtube.com/results?search_query=aditya%20verma%20graph%20bfs%20dfs", "📺 Aditya Verma ↗")</f>
        <v/>
      </c>
      <c r="P16" s="55">
        <f>HYPERLINK("https://www.youtube.com/results?search_query=love%20babbar%20graph%20series%20bfs%20dfs", "📺 Love Babbar ↗")</f>
        <v/>
      </c>
      <c r="Q16" s="55">
        <f>HYPERLINK("https://www.youtube.com/results?search_query=padho%20with%20pratyush%20graph", "📺 Padho with Pratyush ↗")</f>
        <v/>
      </c>
      <c r="R16" s="40" t="inlineStr">
        <is>
          <t>—</t>
        </is>
      </c>
      <c r="S16" s="56">
        <f>HYPERLINK("https://www.youtube.com/results?search_query=williamfiset%20graph%20theory", "📺 WilliamFiset ↗")</f>
        <v/>
      </c>
      <c r="T16" s="7" t="n"/>
      <c r="U16" s="7" t="n"/>
    </row>
    <row r="17" ht="44" customHeight="1">
      <c r="A17" s="52" t="n">
        <v>59</v>
      </c>
      <c r="B17" s="37" t="inlineStr">
        <is>
          <t>WilliamFiset (YouTube)</t>
        </is>
      </c>
      <c r="C17" s="37" t="inlineStr">
        <is>
          <t>Union-Find with path compression + union by size</t>
        </is>
      </c>
      <c r="D17" s="37" t="inlineStr">
        <is>
          <t>WilliamFiset DSU video</t>
        </is>
      </c>
      <c r="E17" s="35" t="n">
        <v>25</v>
      </c>
      <c r="F17" s="37" t="inlineStr">
        <is>
          <t>DSU appears heavily in infra-style problems; must be writeable cold in 5 minutes</t>
        </is>
      </c>
      <c r="G17" s="37" t="inlineStr">
        <is>
          <t>Both optimizations and why each is needed; amortized complexity argument</t>
        </is>
      </c>
      <c r="H17" s="37" t="inlineStr">
        <is>
          <t>The complexity proof details</t>
        </is>
      </c>
      <c r="I17" s="37" t="inlineStr">
        <is>
          <t>LC 547, LC 684</t>
        </is>
      </c>
      <c r="J17" s="37" t="inlineStr">
        <is>
          <t>Write DSU cold from memory in under 5 minutes</t>
        </is>
      </c>
      <c r="K17" s="35" t="n"/>
      <c r="L17" s="48">
        <f>IF($A17="","",INDEX(DayPlan!$C$2:$C$169,MATCH($A17,DayPlan!$A$2:$A$169,0)))</f>
        <v/>
      </c>
      <c r="M17" s="39">
        <f>HYPERLINK("https://www.youtube.com/watch?v=dBGUmUQhjaM", "▶ Watch (Striver) ↗")</f>
        <v/>
      </c>
      <c r="N17" s="55">
        <f>HYPERLINK("https://www.youtube.com/results?search_query=striver%20disjoint%20set%20union%20find", "📺 Striver ↗")</f>
        <v/>
      </c>
      <c r="O17" s="40" t="inlineStr">
        <is>
          <t>—</t>
        </is>
      </c>
      <c r="P17" s="55">
        <f>HYPERLINK("https://www.youtube.com/results?search_query=love%20babbar%20kruskal%20disjoint%20set", "📺 Love Babbar ↗")</f>
        <v/>
      </c>
      <c r="Q17" s="55">
        <f>HYPERLINK("https://www.youtube.com/results?search_query=padho%20with%20pratyush%20dsu", "📺 Padho with Pratyush ↗")</f>
        <v/>
      </c>
      <c r="R17" s="55">
        <f>HYPERLINK("https://www.youtube.com/results?search_query=neetcode%20redundant%20connection%20union%20find", "📺 NeetCode ↗")</f>
        <v/>
      </c>
      <c r="S17" s="56">
        <f>HYPERLINK("https://www.youtube.com/results?search_query=williamfiset%20disjoint%20set%20union%20find", "📺 WilliamFiset ↗")</f>
        <v/>
      </c>
      <c r="T17" s="7" t="n"/>
      <c r="U17" s="7" t="n"/>
    </row>
    <row r="18" ht="44" customHeight="1">
      <c r="A18" s="52" t="n">
        <v>61</v>
      </c>
      <c r="B18" s="37" t="inlineStr">
        <is>
          <t>NeetCode + CPH ch.16</t>
        </is>
      </c>
      <c r="C18" s="37" t="inlineStr">
        <is>
          <t>Topological sort: Kahn + DFS colours</t>
        </is>
      </c>
      <c r="D18" s="37" t="inlineStr">
        <is>
          <t>neetcode.io + CPH ch.16</t>
        </is>
      </c>
      <c r="E18" s="35" t="n">
        <v>20</v>
      </c>
      <c r="F18" s="37" t="inlineStr">
        <is>
          <t>DAG scheduling is the most infra-relevant graph pattern; must know two implementations</t>
        </is>
      </c>
      <c r="G18" s="37" t="inlineStr">
        <is>
          <t>In-degree invariant; cycle detection in BOTH variants; what happens to isolated nodes</t>
        </is>
      </c>
      <c r="H18" s="37" t="inlineStr">
        <is>
          <t>One fixed implementation as a template</t>
        </is>
      </c>
      <c r="I18" s="37" t="inlineStr">
        <is>
          <t>LC 207, LC 210</t>
        </is>
      </c>
      <c r="J18" s="37" t="inlineStr">
        <is>
          <t>Explain cycle detection in both implementations</t>
        </is>
      </c>
      <c r="K18" s="35" t="n"/>
      <c r="L18" s="48">
        <f>IF($A18="","",INDEX(DayPlan!$C$2:$C$169,MATCH($A18,DayPlan!$A$2:$A$169,0)))</f>
        <v/>
      </c>
      <c r="M18" s="39">
        <f>HYPERLINK("https://www.youtube.com/watch?v=asbcE9mZz_U", "▶ Watch (Padho with Pratyush) ↗")</f>
        <v/>
      </c>
      <c r="N18" s="55">
        <f>HYPERLINK("https://www.youtube.com/results?search_query=striver%20topological%20sort%20kahns%20algorithm", "📺 Striver ↗")</f>
        <v/>
      </c>
      <c r="O18" s="55">
        <f>HYPERLINK("https://www.youtube.com/results?search_query=aditya%20verma%20topological%20sort", "📺 Aditya Verma ↗")</f>
        <v/>
      </c>
      <c r="P18" s="55">
        <f>HYPERLINK("https://www.youtube.com/results?search_query=love%20babbar%20topological%20sort%20kahn", "📺 Love Babbar ↗")</f>
        <v/>
      </c>
      <c r="Q18" s="55">
        <f>HYPERLINK("https://www.youtube.com/results?search_query=padho%20with%20pratyush%20topological%20sort", "📺 Padho with Pratyush ↗")</f>
        <v/>
      </c>
      <c r="R18" s="55">
        <f>HYPERLINK("https://www.youtube.com/results?search_query=neetcode%20course%20schedule%20topological%20sort", "📺 NeetCode ↗")</f>
        <v/>
      </c>
      <c r="S18" s="40" t="inlineStr">
        <is>
          <t>—</t>
        </is>
      </c>
      <c r="T18" s="7" t="n"/>
      <c r="U18" s="7" t="n"/>
    </row>
    <row r="19" ht="44" customHeight="1">
      <c r="A19" s="52" t="n">
        <v>65</v>
      </c>
      <c r="B19" s="37" t="inlineStr">
        <is>
          <t>cp-algorithms.com</t>
        </is>
      </c>
      <c r="C19" s="37" t="inlineStr">
        <is>
          <t>State-space search: state encoding and counting</t>
        </is>
      </c>
      <c r="D19" s="37" t="inlineStr">
        <is>
          <t>cp-algorithms (BFS)</t>
        </is>
      </c>
      <c r="E19" s="35" t="n">
        <v>20</v>
      </c>
      <c r="F19" s="37" t="inlineStr">
        <is>
          <t>Keying visited on partial state is a silent bug that produces wrong answers  -  very hard to debug</t>
        </is>
      </c>
      <c r="G19" s="37" t="inlineStr">
        <is>
          <t>How to define a full state tuple; how to count the state space and derive TC from it</t>
        </is>
      </c>
      <c r="H19" s="37" t="inlineStr">
        <is>
          <t>Puzzle-specific state encodings</t>
        </is>
      </c>
      <c r="I19" s="37" t="inlineStr">
        <is>
          <t>LC 1293, LC 433</t>
        </is>
      </c>
      <c r="J19" s="37" t="inlineStr">
        <is>
          <t>Define a state tuple for a new problem before coding</t>
        </is>
      </c>
      <c r="K19" s="35" t="n"/>
      <c r="L19" s="48">
        <f>IF($A19="","",INDEX(DayPlan!$C$2:$C$169,MATCH($A19,DayPlan!$A$2:$A$169,0)))</f>
        <v/>
      </c>
      <c r="M19" s="39">
        <f>HYPERLINK("https://www.youtube.com/watch?v=iTBaI90lpDQ", "▶ Watch (take U forward) ↗")</f>
        <v/>
      </c>
      <c r="N19" s="55">
        <f>HYPERLINK("https://www.youtube.com/results?search_query=striver%20word%20ladder%20bfs%20shortest%20path", "📺 Striver ↗")</f>
        <v/>
      </c>
      <c r="O19" s="55">
        <f>HYPERLINK("https://www.youtube.com/results?search_query=aditya%20verma%20bfs%20shortest%20path", "📺 Aditya Verma ↗")</f>
        <v/>
      </c>
      <c r="P19" s="55">
        <f>HYPERLINK("https://www.youtube.com/results?search_query=love%20babbar%20word%20ladder%20shortest%20path%20bfs", "📺 Love Babbar ↗")</f>
        <v/>
      </c>
      <c r="Q19" s="55">
        <f>HYPERLINK("https://www.youtube.com/results?search_query=padho%20with%20pratyush%20state%20space%20search%20bfs", "📺 Padho with Pratyush ↗")</f>
        <v/>
      </c>
      <c r="R19" s="55">
        <f>HYPERLINK("https://www.youtube.com/results?search_query=neetcode%20word%20ladder", "📺 NeetCode ↗")</f>
        <v/>
      </c>
      <c r="S19" s="40" t="inlineStr">
        <is>
          <t>—</t>
        </is>
      </c>
      <c r="T19" s="7" t="n"/>
      <c r="U19" s="7" t="n"/>
    </row>
    <row r="20" ht="44" customHeight="1">
      <c r="A20" s="52" t="n">
        <v>66</v>
      </c>
      <c r="B20" s="37" t="inlineStr">
        <is>
          <t>WilliamFiset + CPH ch.13</t>
        </is>
      </c>
      <c r="C20" s="37" t="inlineStr">
        <is>
          <t>Dijkstra: correctness proof</t>
        </is>
      </c>
      <c r="D20" s="37" t="inlineStr">
        <is>
          <t>WilliamFiset Dijkstra + CPH ch.13</t>
        </is>
      </c>
      <c r="E20" s="35" t="n">
        <v>25</v>
      </c>
      <c r="F20" s="37" t="inlineStr">
        <is>
          <t>You must know WHY the algorithm works, not just the code; negative edges are a common trap</t>
        </is>
      </c>
      <c r="G20" s="37" t="inlineStr">
        <is>
          <t>Relaxation; popped-distance invariant; why negative weights break the invariant</t>
        </is>
      </c>
      <c r="H20" s="37" t="inlineStr">
        <is>
          <t>Fibonacci-heap or D-ary heap variants</t>
        </is>
      </c>
      <c r="I20" s="37" t="inlineStr">
        <is>
          <t>LC 743, LC 1514</t>
        </is>
      </c>
      <c r="J20" s="37" t="inlineStr">
        <is>
          <t>Prove the popped-node invariant; give the negative-weight counterexample</t>
        </is>
      </c>
      <c r="K20" s="35" t="n"/>
      <c r="L20" s="48">
        <f>IF($A20="","",INDEX(DayPlan!$C$2:$C$169,MATCH($A20,DayPlan!$A$2:$A$169,0)))</f>
        <v/>
      </c>
      <c r="M20" s="39">
        <f>HYPERLINK("https://www.youtube.com/watch?v=EgI5nU9etnU", "▶ Watch (NeetCode) ↗")</f>
        <v/>
      </c>
      <c r="N20" s="55">
        <f>HYPERLINK("https://www.youtube.com/results?search_query=striver%20dijkstra%20algorithm%20priority%20queue", "📺 Striver ↗")</f>
        <v/>
      </c>
      <c r="O20" s="40" t="inlineStr">
        <is>
          <t>—</t>
        </is>
      </c>
      <c r="P20" s="55">
        <f>HYPERLINK("https://www.youtube.com/results?search_query=love%20babbar%20dijkstra%20shortest%20path", "📺 Love Babbar ↗")</f>
        <v/>
      </c>
      <c r="Q20" s="55">
        <f>HYPERLINK("https://www.youtube.com/results?search_query=padho%20with%20pratyush%20dijkstra", "📺 Padho with Pratyush ↗")</f>
        <v/>
      </c>
      <c r="R20" s="40" t="inlineStr">
        <is>
          <t>—</t>
        </is>
      </c>
      <c r="S20" s="56">
        <f>HYPERLINK("https://www.youtube.com/results?search_query=abdul%20bari%20dijkstra%20algorithm", "📺 Abdul Bari ↗")</f>
        <v/>
      </c>
      <c r="T20" s="7" t="n"/>
      <c r="U20" s="7" t="n"/>
    </row>
    <row r="21" ht="44" customHeight="1">
      <c r="A21" s="52" t="n">
        <v>71</v>
      </c>
      <c r="B21" s="37" t="inlineStr">
        <is>
          <t>NeetCode</t>
        </is>
      </c>
      <c r="C21" s="37" t="inlineStr">
        <is>
          <t>Backtracking: template + complexity counting</t>
        </is>
      </c>
      <c r="D21" s="37" t="inlineStr">
        <is>
          <t>neetcode.io (Subsets)</t>
        </is>
      </c>
      <c r="E21" s="35" t="n">
        <v>25</v>
      </c>
      <c r="F21" s="37" t="inlineStr">
        <is>
          <t>Backtracking complexity counting is almost never taught; you need it for every hard interview</t>
        </is>
      </c>
      <c r="G21" s="37" t="inlineStr">
        <is>
          <t>Choose/explore/unchoose; counting recursion-tree leaves for TC; pruning effect on the tree</t>
        </is>
      </c>
      <c r="H21" s="37" t="inlineStr">
        <is>
          <t>Per-problem backtracking templates</t>
        </is>
      </c>
      <c r="I21" s="37" t="inlineStr">
        <is>
          <t>LC 78, LC 39</t>
        </is>
      </c>
      <c r="J21" s="37" t="inlineStr">
        <is>
          <t>Count the leaves of a specific recursion tree</t>
        </is>
      </c>
      <c r="K21" s="35" t="n"/>
      <c r="L21" s="48">
        <f>IF($A21="","",INDEX(DayPlan!$C$2:$C$169,MATCH($A21,DayPlan!$A$2:$A$169,0)))</f>
        <v/>
      </c>
      <c r="M21" s="39">
        <f>HYPERLINK("https://www.youtube.com/watch?v=pcKY4hjDrxk", "▶ Watch (Abdul Bari) ↗")</f>
        <v/>
      </c>
      <c r="N21" s="55">
        <f>HYPERLINK("https://www.youtube.com/results?search_query=striver%20backtracking%20n%20queens%20subsets", "📺 Striver ↗")</f>
        <v/>
      </c>
      <c r="O21" s="55">
        <f>HYPERLINK("https://www.youtube.com/results?search_query=aditya%20verma%20backtracking%20playlist", "📺 Aditya Verma ↗")</f>
        <v/>
      </c>
      <c r="P21" s="55">
        <f>HYPERLINK("https://www.youtube.com/results?search_query=love%20babbar%20backtracking%20rat%20in%20a%20maze", "📺 Love Babbar ↗")</f>
        <v/>
      </c>
      <c r="Q21" s="55">
        <f>HYPERLINK("https://www.youtube.com/results?search_query=padho%20with%20pratyush%20backtracking", "📺 Padho with Pratyush ↗")</f>
        <v/>
      </c>
      <c r="R21" s="55">
        <f>HYPERLINK("https://www.youtube.com/results?search_query=neetcode%20subsets%20backtracking", "📺 NeetCode ↗")</f>
        <v/>
      </c>
      <c r="S21" s="40" t="inlineStr">
        <is>
          <t>—</t>
        </is>
      </c>
      <c r="T21" s="7" t="n"/>
      <c r="U21" s="7" t="n"/>
    </row>
    <row r="22" ht="44" customHeight="1">
      <c r="A22" s="52" t="n">
        <v>76</v>
      </c>
      <c r="B22" s="37" t="inlineStr">
        <is>
          <t>NeetCode</t>
        </is>
      </c>
      <c r="C22" s="37" t="inlineStr">
        <is>
          <t>From recursion to memoisation: state identification</t>
        </is>
      </c>
      <c r="D22" s="37" t="inlineStr">
        <is>
          <t>neetcode.io (DP intro)</t>
        </is>
      </c>
      <c r="E22" s="35" t="n">
        <v>20</v>
      </c>
      <c r="F22" s="37" t="inlineStr">
        <is>
          <t>State identification is the bridge into all DP; without it you cannot design new DP</t>
        </is>
      </c>
      <c r="G22" s="37" t="inlineStr">
        <is>
          <t>How to detect overlapping subproblems; how to name and count distinct states</t>
        </is>
      </c>
      <c r="H22" s="37" t="inlineStr">
        <is>
          <t>Memoisation decorator syntax</t>
        </is>
      </c>
      <c r="I22" s="37" t="inlineStr">
        <is>
          <t>LC 140, LC 494</t>
        </is>
      </c>
      <c r="J22" s="37" t="inlineStr">
        <is>
          <t>Name the state for 3 problems from memory</t>
        </is>
      </c>
      <c r="K22" s="35" t="n"/>
      <c r="L22" s="48">
        <f>IF($A22="","",INDEX(DayPlan!$C$2:$C$169,MATCH($A22,DayPlan!$A$2:$A$169,0)))</f>
        <v/>
      </c>
      <c r="M22" s="39">
        <f>HYPERLINK("https://www.youtube.com/watch?v=XB4MIexjvY0", "▶ Watch (Abdul Bari) ↗")</f>
        <v/>
      </c>
      <c r="N22" s="55">
        <f>HYPERLINK("https://www.youtube.com/results?search_query=striver%20dp%20series%20introduction%20memoization", "📺 Striver ↗")</f>
        <v/>
      </c>
      <c r="O22" s="55">
        <f>HYPERLINK("https://www.youtube.com/results?search_query=aditya%20verma%20dp%20playlist%20memoization", "📺 Aditya Verma ↗")</f>
        <v/>
      </c>
      <c r="P22" s="55">
        <f>HYPERLINK("https://www.youtube.com/results?search_query=love%20babbar%20dp%20playlist%20memoization", "📺 Love Babbar ↗")</f>
        <v/>
      </c>
      <c r="Q22" s="55">
        <f>HYPERLINK("https://www.youtube.com/results?search_query=padho%20with%20pratyush%20dynamic%20programming", "📺 Padho with Pratyush ↗")</f>
        <v/>
      </c>
      <c r="R22" s="40" t="inlineStr">
        <is>
          <t>—</t>
        </is>
      </c>
      <c r="S22" s="56">
        <f>HYPERLINK("https://www.youtube.com/results?search_query=abdul%20bari%20dynamic%20programming", "📺 Abdul Bari ↗")</f>
        <v/>
      </c>
      <c r="T22" s="7" t="n"/>
      <c r="U22" s="7" t="n"/>
    </row>
    <row r="23" ht="44" customHeight="1">
      <c r="A23" s="52" t="n">
        <v>78</v>
      </c>
      <c r="B23" s="37" t="inlineStr">
        <is>
          <t>NeetCode + CPH ch.7</t>
        </is>
      </c>
      <c r="C23" s="37" t="inlineStr">
        <is>
          <t>DP state design (5-step method)</t>
        </is>
      </c>
      <c r="D23" s="37" t="inlineStr">
        <is>
          <t>neetcode.io + CPH ch.7</t>
        </is>
      </c>
      <c r="E23" s="35" t="n">
        <v>30</v>
      </c>
      <c r="F23" s="37" t="inlineStr">
        <is>
          <t>Templates fail on unfamiliar DP; state-first design does not  -  this is the critical difference</t>
        </is>
      </c>
      <c r="G23" s="37" t="inlineStr">
        <is>
          <t>State  -&gt;  transition  -&gt;  base case  -&gt;  evaluation order  -&gt;  answer location (in that order)</t>
        </is>
      </c>
      <c r="H23" s="37" t="inlineStr">
        <is>
          <t>Classic DP code from videos</t>
        </is>
      </c>
      <c r="I23" s="37" t="inlineStr">
        <is>
          <t>LC 70, LC 198, LC 91</t>
        </is>
      </c>
      <c r="J23" s="37" t="inlineStr">
        <is>
          <t>Recite the 5 steps without notes</t>
        </is>
      </c>
      <c r="K23" s="35" t="n"/>
      <c r="L23" s="48">
        <f>IF($A23="","",INDEX(DayPlan!$C$2:$C$169,MATCH($A23,DayPlan!$A$2:$A$169,0)))</f>
        <v/>
      </c>
      <c r="M23" s="39">
        <f>HYPERLINK("https://www.youtube.com/watch?v=ibjEGG7ylHk", "▶ Watch (WilliamFiset) ↗")</f>
        <v/>
      </c>
      <c r="N23" s="55">
        <f>HYPERLINK("https://www.youtube.com/results?search_query=striver%20dp%20series%20playlist", "📺 Striver ↗")</f>
        <v/>
      </c>
      <c r="O23" s="55">
        <f>HYPERLINK("https://www.youtube.com/results?search_query=aditya%20verma%20dp%20playlist", "📺 Aditya Verma ↗")</f>
        <v/>
      </c>
      <c r="P23" s="55">
        <f>HYPERLINK("https://www.youtube.com/results?search_query=love%20babbar%20dynamic%20programming", "📺 Love Babbar ↗")</f>
        <v/>
      </c>
      <c r="Q23" s="55">
        <f>HYPERLINK("https://www.youtube.com/results?search_query=padho%20with%20pratyush%20dp%20space%20optimization", "📺 Padho with Pratyush ↗")</f>
        <v/>
      </c>
      <c r="R23" s="40" t="inlineStr">
        <is>
          <t>—</t>
        </is>
      </c>
      <c r="S23" s="56">
        <f>HYPERLINK("https://www.youtube.com/results?search_query=abdul%20bari%20dynamic%20programming", "📺 Abdul Bari ↗")</f>
        <v/>
      </c>
      <c r="T23" s="7" t="n"/>
      <c r="U23" s="7" t="n"/>
    </row>
    <row r="24" ht="44" customHeight="1">
      <c r="A24" s="52" t="n">
        <v>80</v>
      </c>
      <c r="B24" s="37" t="inlineStr">
        <is>
          <t>CPH ch.7 / cp-algorithms</t>
        </is>
      </c>
      <c r="C24" s="37" t="inlineStr">
        <is>
          <t>Knapsack variants and loop order</t>
        </is>
      </c>
      <c r="D24" s="37" t="inlineStr">
        <is>
          <t>CPH ch.7</t>
        </is>
      </c>
      <c r="E24" s="35" t="n">
        <v>25</v>
      </c>
      <c r="F24" s="37" t="inlineStr">
        <is>
          <t>Loop order is the single most misunderstood DP detail; most candidates guess and get wrong</t>
        </is>
      </c>
      <c r="G24" s="37" t="inlineStr">
        <is>
          <t>Why 0/1 knapsack goes descending; why unbounded goes ascending; construct the failing example</t>
        </is>
      </c>
      <c r="H24" s="37" t="inlineStr">
        <is>
          <t>Table layout diagrams</t>
        </is>
      </c>
      <c r="I24" s="37" t="inlineStr">
        <is>
          <t>LC 416, LC 322</t>
        </is>
      </c>
      <c r="J24" s="37" t="inlineStr">
        <is>
          <t>Explain loop order by constructing the failing counterexample</t>
        </is>
      </c>
      <c r="K24" s="35" t="n"/>
      <c r="L24" s="48">
        <f>IF($A24="","",INDEX(DayPlan!$C$2:$C$169,MATCH($A24,DayPlan!$A$2:$A$169,0)))</f>
        <v/>
      </c>
      <c r="M24" s="39">
        <f>HYPERLINK("https://www.youtube.com/watch?v=4ZlRH0eK-qQ", "▶ Watch (Abdul Bari) ↗")</f>
        <v/>
      </c>
      <c r="N24" s="55">
        <f>HYPERLINK("https://www.youtube.com/results?search_query=striver%2001%20knapsack%20subset%20sum", "📺 Striver ↗")</f>
        <v/>
      </c>
      <c r="O24" s="55">
        <f>HYPERLINK("https://www.youtube.com/results?search_query=aditya%20verma%2001%20knapsack%20playlist", "📺 Aditya Verma ↗")</f>
        <v/>
      </c>
      <c r="P24" s="55">
        <f>HYPERLINK("https://www.youtube.com/results?search_query=love%20babbar%20knapsack%20problem", "📺 Love Babbar ↗")</f>
        <v/>
      </c>
      <c r="Q24" s="55">
        <f>HYPERLINK("https://www.youtube.com/results?search_query=padho%20with%20pratyush%20knapsack", "📺 Padho with Pratyush ↗")</f>
        <v/>
      </c>
      <c r="R24" s="55">
        <f>HYPERLINK("https://www.youtube.com/results?search_query=neetcode%20coin%20change%20knapsack", "📺 NeetCode ↗")</f>
        <v/>
      </c>
      <c r="S24" s="40" t="inlineStr">
        <is>
          <t>—</t>
        </is>
      </c>
      <c r="T24" s="7" t="n"/>
      <c r="U24" s="7" t="n"/>
    </row>
    <row r="25" ht="44" customHeight="1">
      <c r="A25" s="52" t="n">
        <v>85</v>
      </c>
      <c r="B25" s="37" t="inlineStr">
        <is>
          <t>cp-algorithms.com</t>
        </is>
      </c>
      <c r="C25" s="37" t="inlineStr">
        <is>
          <t>Interval DP</t>
        </is>
      </c>
      <c r="D25" s="37" t="inlineStr">
        <is>
          <t>cp-algorithms (interval DP)</t>
        </is>
      </c>
      <c r="E25" s="35" t="n">
        <v>20</v>
      </c>
      <c r="F25" s="37" t="inlineStr">
        <is>
          <t>The 'last operation' insight is non-obvious and cannot be guessed; must be understood once deeply</t>
        </is>
      </c>
      <c r="G25" s="37" t="inlineStr">
        <is>
          <t>Iterate by length; why picking the LAST operation makes subproblems independent</t>
        </is>
      </c>
      <c r="H25" s="37" t="inlineStr">
        <is>
          <t>Matrix-chain-specific formulas</t>
        </is>
      </c>
      <c r="I25" s="37" t="inlineStr">
        <is>
          <t>LC 312, LC 516</t>
        </is>
      </c>
      <c r="J25" s="37" t="inlineStr">
        <is>
          <t>Explain why last operation, not first operation</t>
        </is>
      </c>
      <c r="K25" s="35" t="n"/>
      <c r="L25" s="48">
        <f>IF($A25="","",INDEX(DayPlan!$C$2:$C$169,MATCH($A25,DayPlan!$A$2:$A$169,0)))</f>
        <v/>
      </c>
      <c r="M25" s="39">
        <f>HYPERLINK("https://www.youtube.com/watch?v=tyB0ztf0DNY", "▶ Watch (Striver) ↗")</f>
        <v/>
      </c>
      <c r="N25" s="55">
        <f>HYPERLINK("https://www.youtube.com/results?search_query=striver%20matrix%20chain%20multiplication%20burst%20balloons", "📺 Striver ↗")</f>
        <v/>
      </c>
      <c r="O25" s="55">
        <f>HYPERLINK("https://www.youtube.com/results?search_query=aditya%20verma%20matrix%20chain%20multiplication%20mcm%20playlist", "📺 Aditya Verma ↗")</f>
        <v/>
      </c>
      <c r="P25" s="55">
        <f>HYPERLINK("https://www.youtube.com/results?search_query=love%20babbar%20matrix%20chain%20multiplication", "📺 Love Babbar ↗")</f>
        <v/>
      </c>
      <c r="Q25" s="55">
        <f>HYPERLINK("https://www.youtube.com/results?search_query=padho%20with%20pratyush%20interval%20dp", "📺 Padho with Pratyush ↗")</f>
        <v/>
      </c>
      <c r="R25" s="55">
        <f>HYPERLINK("https://www.youtube.com/results?search_query=neetcode%20burst%20balloons", "📺 NeetCode ↗")</f>
        <v/>
      </c>
      <c r="S25" s="40" t="inlineStr">
        <is>
          <t>—</t>
        </is>
      </c>
      <c r="T25" s="7" t="n"/>
      <c r="U25" s="7" t="n"/>
    </row>
    <row r="26" ht="44" customHeight="1">
      <c r="A26" s="52" t="n">
        <v>87</v>
      </c>
      <c r="B26" s="37" t="inlineStr">
        <is>
          <t>cp-algorithms.com</t>
        </is>
      </c>
      <c r="C26" s="37" t="inlineStr">
        <is>
          <t>Bitmask DP: state design</t>
        </is>
      </c>
      <c r="D26" s="37" t="inlineStr">
        <is>
          <t>cp-algorithms (bitmask DP)</t>
        </is>
      </c>
      <c r="E26" s="35" t="n">
        <v>20</v>
      </c>
      <c r="F26" s="37" t="inlineStr">
        <is>
          <t>Problems with n&lt;=20 are unsolvable without this; the constraint is the only signal you get</t>
        </is>
      </c>
      <c r="G26" s="37" t="inlineStr">
        <is>
          <t>(mask, position) state design; transition over bits; exact state count formula</t>
        </is>
      </c>
      <c r="H26" s="37" t="inlineStr">
        <is>
          <t>Problem-specific masks</t>
        </is>
      </c>
      <c r="I26" s="37" t="inlineStr">
        <is>
          <t>LC 847, LC 473</t>
        </is>
      </c>
      <c r="J26" s="37" t="inlineStr">
        <is>
          <t>Compute the state count for a new problem</t>
        </is>
      </c>
      <c r="K26" s="35" t="n"/>
      <c r="L26" s="48">
        <f>IF($A26="","",INDEX(DayPlan!$C$2:$C$169,MATCH($A26,DayPlan!$A$2:$A$169,0)))</f>
        <v/>
      </c>
      <c r="M26" s="39">
        <f>HYPERLINK("https://www.youtube.com/watch?v=kvyShbFVaY8", "▶ Watch (Aditya Verma) ↗")</f>
        <v/>
      </c>
      <c r="N26" s="55">
        <f>HYPERLINK("https://www.youtube.com/results?search_query=striver%20bitmask%20dp", "📺 Striver ↗")</f>
        <v/>
      </c>
      <c r="O26" s="55">
        <f>HYPERLINK("https://www.youtube.com/results?search_query=aditya%20verma%20bitmask%20dp", "📺 Aditya Verma ↗")</f>
        <v/>
      </c>
      <c r="P26" s="55">
        <f>HYPERLINK("https://www.youtube.com/results?search_query=love%20babbar%20bitmasking", "📺 Love Babbar ↗")</f>
        <v/>
      </c>
      <c r="Q26" s="55">
        <f>HYPERLINK("https://www.youtube.com/results?search_query=padho%20with%20pratyush%20bitmask%20dp", "📺 Padho with Pratyush ↗")</f>
        <v/>
      </c>
      <c r="R26" s="40" t="inlineStr">
        <is>
          <t>—</t>
        </is>
      </c>
      <c r="S26" s="56">
        <f>HYPERLINK("https://www.youtube.com/results?search_query=errichto%20bitmask%20dynamic%20programming", "📺 Errichto ↗")</f>
        <v/>
      </c>
      <c r="T26" s="7" t="n"/>
      <c r="U26" s="7" t="n"/>
    </row>
    <row r="27" ht="44" customHeight="1">
      <c r="A27" s="52" t="n">
        <v>99</v>
      </c>
      <c r="B27" s="37" t="inlineStr">
        <is>
          <t>Errichto / CP-Algorithms</t>
        </is>
      </c>
      <c r="C27" s="37" t="inlineStr">
        <is>
          <t>Fenwick Tree (BIT): point update and range sum</t>
        </is>
      </c>
      <c r="D27" s="37" t="inlineStr">
        <is>
          <t>youtube.com/errichto + cp-algorithms</t>
        </is>
      </c>
      <c r="E27" s="35" t="n">
        <v>25</v>
      </c>
      <c r="F27" s="37" t="inlineStr">
        <is>
          <t>Mastering the binary index structure and lowest-set-bit trick</t>
        </is>
      </c>
      <c r="G27" s="37" t="inlineStr">
        <is>
          <t>The (i &amp; -i) isolation proof; how 1-based indexing maps partial sums; 2D extension</t>
        </is>
      </c>
      <c r="H27" s="37" t="inlineStr">
        <is>
          <t>Specific problem solutions</t>
        </is>
      </c>
      <c r="I27" s="37" t="inlineStr">
        <is>
          <t>LC 307, LC 315</t>
        </is>
      </c>
      <c r="J27" s="37" t="inlineStr">
        <is>
          <t>Code BIT add() and query() in 60 seconds</t>
        </is>
      </c>
      <c r="K27" s="35" t="n"/>
      <c r="L27" s="48">
        <f>IF($A27="","",INDEX(DayPlan!$C$2:$C$169,MATCH($A27,DayPlan!$A$2:$A$169,0)))</f>
        <v/>
      </c>
      <c r="M27" s="39">
        <f>HYPERLINK("https://www.youtube.com/watch?v=RgITNht_f4Q", "▶ Watch (WilliamFiset) ↗")</f>
        <v/>
      </c>
      <c r="N27" s="55">
        <f>HYPERLINK("https://www.youtube.com/results?search_query=striver%20fenwick%20tree%20binary%20indexed%20tree", "📺 Striver ↗")</f>
        <v/>
      </c>
      <c r="O27" s="40" t="inlineStr">
        <is>
          <t>—</t>
        </is>
      </c>
      <c r="P27" s="55">
        <f>HYPERLINK("https://www.youtube.com/results?search_query=love%20babbar%20binary%20indexed%20tree%20fenwick", "📺 Love Babbar ↗")</f>
        <v/>
      </c>
      <c r="Q27" s="55">
        <f>HYPERLINK("https://www.youtube.com/results?search_query=padho%20with%20pratyush%20fenwick%20tree", "📺 Padho with Pratyush ↗")</f>
        <v/>
      </c>
      <c r="R27" s="40" t="inlineStr">
        <is>
          <t>—</t>
        </is>
      </c>
      <c r="S27" s="56">
        <f>HYPERLINK("https://www.youtube.com/results?search_query=williamfiset%20fenwick%20tree%20binary%20indexed%20tree", "📺 WilliamFiset ↗")</f>
        <v/>
      </c>
      <c r="T27" s="7" t="n"/>
      <c r="U27" s="7" t="n"/>
    </row>
    <row r="28" ht="44" customHeight="1">
      <c r="A28" s="52" t="n">
        <v>100</v>
      </c>
      <c r="B28" s="37" t="inlineStr">
        <is>
          <t>Errichto / CP-Algorithms</t>
        </is>
      </c>
      <c r="C28" s="37" t="inlineStr">
        <is>
          <t>Segment Tree: point update and range query</t>
        </is>
      </c>
      <c r="D28" s="37" t="inlineStr">
        <is>
          <t>youtube.com/errichto + cp-algorithms</t>
        </is>
      </c>
      <c r="E28" s="35" t="n">
        <v>25</v>
      </c>
      <c r="F28" s="37" t="inlineStr">
        <is>
          <t>Associative range queries require understanding the binary tree representation</t>
        </is>
      </c>
      <c r="G28" s="37" t="inlineStr">
        <is>
          <t>Array representation (2i, 2i+1); divide-and-conquer range intersection; 4n size bound</t>
        </is>
      </c>
      <c r="H28" s="37" t="inlineStr">
        <is>
          <t>Recursive boilerplates without understanding bounds</t>
        </is>
      </c>
      <c r="I28" s="37" t="inlineStr">
        <is>
          <t>LC 307, LC 732</t>
        </is>
      </c>
      <c r="J28" s="37" t="inlineStr">
        <is>
          <t>Draw tree array layout for n=6</t>
        </is>
      </c>
      <c r="K28" s="35" t="n"/>
      <c r="L28" s="48">
        <f>IF($A28="","",INDEX(DayPlan!$C$2:$C$169,MATCH($A28,DayPlan!$A$2:$A$169,0)))</f>
        <v/>
      </c>
      <c r="M28" s="39">
        <f>HYPERLINK("https://www.youtube.com/watch?v=rwXVCELcrqU", "▶ Watch (take U forward) ↗")</f>
        <v/>
      </c>
      <c r="N28" s="55">
        <f>HYPERLINK("https://www.youtube.com/results?search_query=striver%20segment%20tree%20playlist", "📺 Striver ↗")</f>
        <v/>
      </c>
      <c r="O28" s="40" t="inlineStr">
        <is>
          <t>—</t>
        </is>
      </c>
      <c r="P28" s="55">
        <f>HYPERLINK("https://www.youtube.com/results?search_query=love%20babbar%20segment%20tree", "📺 Love Babbar ↗")</f>
        <v/>
      </c>
      <c r="Q28" s="55">
        <f>HYPERLINK("https://www.youtube.com/results?search_query=padho%20with%20pratyush%20segment%20tree", "📺 Padho with Pratyush ↗")</f>
        <v/>
      </c>
      <c r="R28" s="40" t="inlineStr">
        <is>
          <t>—</t>
        </is>
      </c>
      <c r="S28" s="56">
        <f>HYPERLINK("https://www.youtube.com/results?search_query=williamfiset%20segment%20tree", "📺 WilliamFiset ↗")</f>
        <v/>
      </c>
      <c r="T28" s="7" t="n"/>
      <c r="U28" s="7" t="n"/>
    </row>
    <row r="29" ht="44" customHeight="1">
      <c r="A29" s="52" t="n">
        <v>101</v>
      </c>
      <c r="B29" s="37" t="inlineStr">
        <is>
          <t>William Fiset</t>
        </is>
      </c>
      <c r="C29" s="37" t="inlineStr">
        <is>
          <t>Lazy Propagation in Segment Trees</t>
        </is>
      </c>
      <c r="D29" s="37" t="inlineStr">
        <is>
          <t>youtube.com/williamfiset</t>
        </is>
      </c>
      <c r="E29" s="35" t="n">
        <v>25</v>
      </c>
      <c r="F29" s="37" t="inlineStr">
        <is>
          <t>Deferred updates are critical for range additions and interval modifications</t>
        </is>
      </c>
      <c r="G29" s="37" t="inlineStr">
        <is>
          <t>The push_down invariant; clearing lazy tags before recursive child visits</t>
        </is>
      </c>
      <c r="H29" s="37" t="inlineStr">
        <is>
          <t>Code verbatim</t>
        </is>
      </c>
      <c r="I29" s="37" t="inlineStr">
        <is>
          <t>LC 218, LC 699</t>
        </is>
      </c>
      <c r="J29" s="37" t="inlineStr">
        <is>
          <t>State the push_down invariant in one sentence</t>
        </is>
      </c>
      <c r="K29" s="35" t="n"/>
      <c r="L29" s="48">
        <f>IF($A29="","",INDEX(DayPlan!$C$2:$C$169,MATCH($A29,DayPlan!$A$2:$A$169,0)))</f>
        <v/>
      </c>
      <c r="M29" s="39">
        <f>HYPERLINK("https://www.youtube.com/watch?v=xuoQdt5pHj0", "▶ Watch (WilliamFiset) ↗")</f>
        <v/>
      </c>
      <c r="N29" s="55">
        <f>HYPERLINK("https://www.youtube.com/results?search_query=striver%20lazy%20propagation%20segment%20tree", "📺 Striver ↗")</f>
        <v/>
      </c>
      <c r="O29" s="40" t="inlineStr">
        <is>
          <t>—</t>
        </is>
      </c>
      <c r="P29" s="55">
        <f>HYPERLINK("https://www.youtube.com/results?search_query=love%20babbar%20segment%20tree%20lazy%20propagation", "📺 Love Babbar ↗")</f>
        <v/>
      </c>
      <c r="Q29" s="55">
        <f>HYPERLINK("https://www.youtube.com/results?search_query=padho%20with%20pratyush%20segment%20tree%20lazy%20propagation", "📺 Padho with Pratyush ↗")</f>
        <v/>
      </c>
      <c r="R29" s="40" t="inlineStr">
        <is>
          <t>—</t>
        </is>
      </c>
      <c r="S29" s="56">
        <f>HYPERLINK("https://www.youtube.com/results?search_query=williamfiset%20segment%20tree%20lazy%20propagation", "📺 WilliamFiset ↗")</f>
        <v/>
      </c>
      <c r="T29" s="7" t="n"/>
      <c r="U29" s="7" t="n"/>
    </row>
    <row r="30" ht="44" customHeight="1">
      <c r="A30" s="52" t="n">
        <v>106</v>
      </c>
      <c r="B30" s="37" t="inlineStr">
        <is>
          <t>William Fiset</t>
        </is>
      </c>
      <c r="C30" s="37" t="inlineStr">
        <is>
          <t>Tarjan's Bridge &amp; Cut Vertex Algorithm</t>
        </is>
      </c>
      <c r="D30" s="37" t="inlineStr">
        <is>
          <t>youtube.com/williamfiset</t>
        </is>
      </c>
      <c r="E30" s="35" t="n">
        <v>25</v>
      </c>
      <c r="F30" s="37" t="inlineStr">
        <is>
          <t>Single point of failure discovery in graphs without brute-force re-checking</t>
        </is>
      </c>
      <c r="G30" s="37" t="inlineStr">
        <is>
          <t>tin[u] vs low[u]; tree edges vs back edges; bridge condition low[v] &gt; tin[u]</t>
        </is>
      </c>
      <c r="H30" s="37" t="inlineStr">
        <is>
          <t>Adjacency list boilerplate</t>
        </is>
      </c>
      <c r="I30" s="37" t="inlineStr">
        <is>
          <t>LC 1192, LC 1568</t>
        </is>
      </c>
      <c r="J30" s="37" t="inlineStr">
        <is>
          <t>State bridge condition vs articulation condition</t>
        </is>
      </c>
      <c r="K30" s="35" t="n"/>
      <c r="L30" s="48">
        <f>IF($A30="","",INDEX(DayPlan!$C$2:$C$169,MATCH($A30,DayPlan!$A$2:$A$169,0)))</f>
        <v/>
      </c>
      <c r="M30" s="39">
        <f>HYPERLINK("https://www.youtube.com/watch?v=aZXi1unBdJA", "▶ Watch (WilliamFiset) ↗")</f>
        <v/>
      </c>
      <c r="N30" s="55">
        <f>HYPERLINK("https://www.youtube.com/results?search_query=striver%20bridges%20in%20graph%20tarjans%20algorithm", "📺 Striver ↗")</f>
        <v/>
      </c>
      <c r="O30" s="40" t="inlineStr">
        <is>
          <t>—</t>
        </is>
      </c>
      <c r="P30" s="55">
        <f>HYPERLINK("https://www.youtube.com/results?search_query=love%20babbar%20bridges%20in%20a%20graph", "📺 Love Babbar ↗")</f>
        <v/>
      </c>
      <c r="Q30" s="55">
        <f>HYPERLINK("https://www.youtube.com/results?search_query=padho%20with%20pratyush%20tarjan%20bridges", "📺 Padho with Pratyush ↗")</f>
        <v/>
      </c>
      <c r="R30" s="40" t="inlineStr">
        <is>
          <t>—</t>
        </is>
      </c>
      <c r="S30" s="56">
        <f>HYPERLINK("https://www.youtube.com/results?search_query=williamfiset%20bridges%20and%20articulation%20points", "📺 WilliamFiset ↗")</f>
        <v/>
      </c>
      <c r="T30" s="7" t="n"/>
      <c r="U30" s="7" t="n"/>
    </row>
    <row r="31" ht="44" customHeight="1">
      <c r="A31" s="52" t="n">
        <v>109</v>
      </c>
      <c r="B31" s="37" t="inlineStr">
        <is>
          <t>William Fiset</t>
        </is>
      </c>
      <c r="C31" s="37" t="inlineStr">
        <is>
          <t>Network Flow: Dinic's Algorithm &amp; Min-Cut</t>
        </is>
      </c>
      <c r="D31" s="37" t="inlineStr">
        <is>
          <t>youtube.com/williamfiset</t>
        </is>
      </c>
      <c r="E31" s="35" t="n">
        <v>25</v>
      </c>
      <c r="F31" s="37" t="inlineStr">
        <is>
          <t>Capacity-constrained routing and bipartite matching equivalence</t>
        </is>
      </c>
      <c r="G31" s="37" t="inlineStr">
        <is>
          <t>Residual graph; augmenting paths; level graph via BFS; blocking flow via DFS</t>
        </is>
      </c>
      <c r="H31" s="37" t="inlineStr">
        <is>
          <t>Complex flow variants</t>
        </is>
      </c>
      <c r="I31" s="37" t="inlineStr">
        <is>
          <t>LC 1349, LC 1970</t>
        </is>
      </c>
      <c r="J31" s="37" t="inlineStr">
        <is>
          <t>Explain max-flow min-cut theorem</t>
        </is>
      </c>
      <c r="K31" s="35" t="n"/>
      <c r="L31" s="48">
        <f>IF($A31="","",INDEX(DayPlan!$C$2:$C$169,MATCH($A31,DayPlan!$A$2:$A$169,0)))</f>
        <v/>
      </c>
      <c r="M31" s="39">
        <f>HYPERLINK("https://www.youtube.com/watch?v=M6cm8UeeziI", "▶ Watch (WilliamFiset) ↗")</f>
        <v/>
      </c>
      <c r="N31" s="55">
        <f>HYPERLINK("https://www.youtube.com/results?search_query=striver%20max%20flow%20dinic", "📺 Striver ↗")</f>
        <v/>
      </c>
      <c r="O31" s="40" t="inlineStr">
        <is>
          <t>—</t>
        </is>
      </c>
      <c r="P31" s="55">
        <f>HYPERLINK("https://www.youtube.com/results?search_query=love%20babbar%20max%20flow", "📺 Love Babbar ↗")</f>
        <v/>
      </c>
      <c r="Q31" s="55">
        <f>HYPERLINK("https://www.youtube.com/results?search_query=padho%20with%20pratyush%20max%20flow", "📺 Padho with Pratyush ↗")</f>
        <v/>
      </c>
      <c r="R31" s="40" t="inlineStr">
        <is>
          <t>—</t>
        </is>
      </c>
      <c r="S31" s="56">
        <f>HYPERLINK("https://www.youtube.com/results?search_query=williamfiset%20dinics%20algorithm%20max%20flow", "📺 WilliamFiset ↗")</f>
        <v/>
      </c>
      <c r="T31" s="7" t="n"/>
      <c r="U31" s="7" t="n"/>
    </row>
    <row r="32" ht="44" customHeight="1">
      <c r="A32" s="52" t="n">
        <v>120</v>
      </c>
      <c r="B32" s="37" t="inlineStr">
        <is>
          <t>Abdul Bari / NeetCode</t>
        </is>
      </c>
      <c r="C32" s="37" t="inlineStr">
        <is>
          <t>KMP Algorithm: Prefix Function &amp; State Machine</t>
        </is>
      </c>
      <c r="D32" s="37" t="inlineStr">
        <is>
          <t>youtube.com + cp-algorithms</t>
        </is>
      </c>
      <c r="E32" s="35" t="n">
        <v>25</v>
      </c>
      <c r="F32" s="37" t="inlineStr">
        <is>
          <t>Linear string matching without backtracking is non-obvious and heavily tested</t>
        </is>
      </c>
      <c r="G32" s="37" t="inlineStr">
        <is>
          <t>Prefix function pi derivation; state transition fallback j = pi[j-1]; O(N) amortized argument</t>
        </is>
      </c>
      <c r="H32" s="37" t="inlineStr">
        <is>
          <t>Specific table values</t>
        </is>
      </c>
      <c r="I32" s="37" t="inlineStr">
        <is>
          <t>LC 28, LC 214</t>
        </is>
      </c>
      <c r="J32" s="37" t="inlineStr">
        <is>
          <t>Explain the amortized O(N) proof of KMP</t>
        </is>
      </c>
      <c r="K32" s="35" t="n"/>
      <c r="L32" s="48">
        <f>IF($A32="","",INDEX(DayPlan!$C$2:$C$169,MATCH($A32,DayPlan!$A$2:$A$169,0)))</f>
        <v/>
      </c>
      <c r="M32" s="39">
        <f>HYPERLINK("https://www.youtube.com/watch?v=V5-7GzOfADQ", "▶ Watch (Abdul Bari) ↗")</f>
        <v/>
      </c>
      <c r="N32" s="55">
        <f>HYPERLINK("https://www.youtube.com/results?search_query=striver%20kmp%20string%20matching%20algorithm", "📺 Striver ↗")</f>
        <v/>
      </c>
      <c r="O32" s="55">
        <f>HYPERLINK("https://www.youtube.com/results?search_query=aditya%20verma%20string%20algorithms", "📺 Aditya Verma ↗")</f>
        <v/>
      </c>
      <c r="P32" s="55">
        <f>HYPERLINK("https://www.youtube.com/results?search_query=love%20babbar%20kmp%20string%20matching", "📺 Love Babbar ↗")</f>
        <v/>
      </c>
      <c r="Q32" s="55">
        <f>HYPERLINK("https://www.youtube.com/results?search_query=padho%20with%20pratyush%20kmp", "📺 Padho with Pratyush ↗")</f>
        <v/>
      </c>
      <c r="R32" s="55">
        <f>HYPERLINK("https://www.youtube.com/results?search_query=neetcode%20kmp%20algorithm", "📺 NeetCode ↗")</f>
        <v/>
      </c>
      <c r="S32" s="56">
        <f>HYPERLINK("https://www.youtube.com/results?search_query=abdul%20bari%20kmp%20algorithm%20string%20matching", "📺 Abdul Bari ↗")</f>
        <v/>
      </c>
      <c r="T32" s="7" t="n"/>
      <c r="U32" s="7" t="n"/>
    </row>
    <row r="33" ht="44" customHeight="1">
      <c r="A33" s="52" t="n">
        <v>127</v>
      </c>
      <c r="B33" s="37" t="inlineStr">
        <is>
          <t>USENIX Fast '03</t>
        </is>
      </c>
      <c r="C33" s="37" t="inlineStr">
        <is>
          <t>Adaptive Replacement Cache (ARC) Paper &amp; Mechanics</t>
        </is>
      </c>
      <c r="D33" s="37" t="inlineStr">
        <is>
          <t>Megiddo &amp; Modha USENIX paper</t>
        </is>
      </c>
      <c r="E33" s="35" t="n">
        <v>25</v>
      </c>
      <c r="F33" s="37" t="inlineStr">
        <is>
          <t>Industrial standard for scan-resistant buffer caching in distributed systems</t>
        </is>
      </c>
      <c r="G33" s="37" t="inlineStr">
        <is>
          <t>Four lists (T1, T2, B1, B2); learning parameter p adaptation rule; ghost cache utility</t>
        </is>
      </c>
      <c r="H33" s="37" t="inlineStr">
        <is>
          <t>Proof formalisms</t>
        </is>
      </c>
      <c r="I33" s="37" t="inlineStr">
        <is>
          <t>ARC Simulation, LC 146</t>
        </is>
      </c>
      <c r="J33" s="37" t="inlineStr">
        <is>
          <t>Explain ARC adaptation when hit in B1 vs B2</t>
        </is>
      </c>
      <c r="K33" s="35" t="n"/>
      <c r="L33" s="48">
        <f>IF($A33="","",INDEX(DayPlan!$C$2:$C$169,MATCH($A33,DayPlan!$A$2:$A$169,0)))</f>
        <v/>
      </c>
      <c r="M33" s="39">
        <f>HYPERLINK("https://www.youtube.com/watch?v=Moz2AgC9hG4", "▶ Watch (Andy Pavlo (CMU)) ↗")</f>
        <v/>
      </c>
      <c r="N33" s="55">
        <f>HYPERLINK("https://www.youtube.com/results?search_query=striver%20lru%20cache%20lfu%20cache%20design", "📺 Striver ↗")</f>
        <v/>
      </c>
      <c r="O33" s="40" t="inlineStr">
        <is>
          <t>—</t>
        </is>
      </c>
      <c r="P33" s="55">
        <f>HYPERLINK("https://www.youtube.com/results?search_query=love%20babbar%20lru%20cache%20design", "📺 Love Babbar ↗")</f>
        <v/>
      </c>
      <c r="Q33" s="55">
        <f>HYPERLINK("https://www.youtube.com/results?search_query=padho%20with%20pratyush%20lru%20arc%20cache%20buffer%20pool", "📺 Padho with Pratyush ↗")</f>
        <v/>
      </c>
      <c r="R33" s="55">
        <f>HYPERLINK("https://www.youtube.com/results?search_query=neetcode%20lru%20lfu%20cache", "📺 NeetCode ↗")</f>
        <v/>
      </c>
      <c r="S33" s="56">
        <f>HYPERLINK("https://www.youtube.com/results?search_query=cmu%20database%20buffer%20pool%20replacement%20arc", "📺 CMU Database Group ↗")</f>
        <v/>
      </c>
      <c r="T33" s="7" t="n"/>
      <c r="U33" s="7" t="n"/>
    </row>
    <row r="34" ht="44" customHeight="1">
      <c r="A34" s="52" t="n">
        <v>134</v>
      </c>
      <c r="B34" s="37" t="inlineStr">
        <is>
          <t>Martin Thompson</t>
        </is>
      </c>
      <c r="C34" s="37" t="inlineStr">
        <is>
          <t>Lock-Free SPSC Queue &amp; Mechanical Sympathy</t>
        </is>
      </c>
      <c r="D34" s="37" t="inlineStr">
        <is>
          <t>mechanical-sympathy.blogspot.com</t>
        </is>
      </c>
      <c r="E34" s="35" t="n">
        <v>25</v>
      </c>
      <c r="F34" s="37" t="inlineStr">
        <is>
          <t>Understanding false sharing, memory barriers, and cache lines in concurrent queues</t>
        </is>
      </c>
      <c r="G34" s="37" t="inlineStr">
        <is>
          <t>64-byte cache line padding; monotonic sequence counters; acquire-release semantics</t>
        </is>
      </c>
      <c r="H34" s="37" t="inlineStr">
        <is>
          <t>Hardware-specific assembly</t>
        </is>
      </c>
      <c r="I34" s="37" t="inlineStr">
        <is>
          <t>LC 622, LC 641</t>
        </is>
      </c>
      <c r="J34" s="37" t="inlineStr">
        <is>
          <t>Explain false sharing and cache line bouncing</t>
        </is>
      </c>
      <c r="K34" s="35" t="n"/>
      <c r="L34" s="48">
        <f>IF($A34="","",INDEX(DayPlan!$C$2:$C$169,MATCH($A34,DayPlan!$A$2:$A$169,0)))</f>
        <v/>
      </c>
      <c r="M34" s="39">
        <f>HYPERLINK("https://www.youtube.com/watch?v=MC1EKLQ2Wmg", "▶ Watch (GOTO Conferences) ↗")</f>
        <v/>
      </c>
      <c r="N34" s="40" t="inlineStr">
        <is>
          <t>—</t>
        </is>
      </c>
      <c r="O34" s="40" t="inlineStr">
        <is>
          <t>—</t>
        </is>
      </c>
      <c r="P34" s="55">
        <f>HYPERLINK("https://www.youtube.com/results?search_query=love%20babbar%20queue%20operating%20systems%20concurrency", "📺 Love Babbar ↗")</f>
        <v/>
      </c>
      <c r="Q34" s="55">
        <f>HYPERLINK("https://www.youtube.com/results?search_query=padho%20with%20pratyush%20lock%20free%20queue%20ring%20buffer", "📺 Padho with Pratyush ↗")</f>
        <v/>
      </c>
      <c r="R34" s="55">
        <f>HYPERLINK("https://www.youtube.com/results?search_query=neetcode%20design%20bounded%20blocking%20queue", "📺 NeetCode ↗")</f>
        <v/>
      </c>
      <c r="S34" s="56">
        <f>HYPERLINK("https://www.youtube.com/results?search_query=cppcon%20lock%20free%20ring%20buffer%20spsc", "📺 CppCon ↗")</f>
        <v/>
      </c>
      <c r="T34" s="7" t="n"/>
      <c r="U34" s="7" t="n"/>
    </row>
    <row r="35" ht="44" customHeight="1">
      <c r="A35" s="52" t="n">
        <v>143</v>
      </c>
      <c r="B35" s="37" t="inlineStr">
        <is>
          <t>Malkov &amp; Yashunin</t>
        </is>
      </c>
      <c r="C35" s="37" t="inlineStr">
        <is>
          <t>HNSW Algorithm: Proximity Graph Navigation</t>
        </is>
      </c>
      <c r="D35" s="37" t="inlineStr">
        <is>
          <t>IEEE TPAMI Paper / Pinecone</t>
        </is>
      </c>
      <c r="E35" s="35" t="n">
        <v>25</v>
      </c>
      <c r="F35" s="37" t="inlineStr">
        <is>
          <t>Foundation of vector databases and embedding search in modern AI infrastructure</t>
        </is>
      </c>
      <c r="G35" s="37" t="inlineStr">
        <is>
          <t>Multi-layer skip-list graph; greedy coarse routing; beam search on layer 0; efSearch trade-off</t>
        </is>
      </c>
      <c r="H35" s="37" t="inlineStr">
        <is>
          <t>Distance metric implementations</t>
        </is>
      </c>
      <c r="I35" s="37" t="inlineStr">
        <is>
          <t>HNSW Simulation, LC 743</t>
        </is>
      </c>
      <c r="J35" s="37" t="inlineStr">
        <is>
          <t>Explain layer assignment probability in HNSW</t>
        </is>
      </c>
      <c r="K35" s="35" t="n"/>
      <c r="L35" s="48">
        <f>IF($A35="","",INDEX(DayPlan!$C$2:$C$169,MATCH($A35,DayPlan!$A$2:$A$169,0)))</f>
        <v/>
      </c>
      <c r="M35" s="39">
        <f>HYPERLINK("https://www.youtube.com/watch?v=GY2QznJOSnk", "▶ Watch (DataMListic) ↗")</f>
        <v/>
      </c>
      <c r="N35" s="55">
        <f>HYPERLINK("https://www.youtube.com/results?search_query=striver%20k%20nearest%20neighbors%20graph", "📺 Striver ↗")</f>
        <v/>
      </c>
      <c r="O35" s="40" t="inlineStr">
        <is>
          <t>—</t>
        </is>
      </c>
      <c r="P35" s="40" t="inlineStr">
        <is>
          <t>—</t>
        </is>
      </c>
      <c r="Q35" s="55">
        <f>HYPERLINK("https://www.youtube.com/results?search_query=padho%20with%20pratyush%20hnsw%20vector%20search", "📺 Padho with Pratyush ↗")</f>
        <v/>
      </c>
      <c r="R35" s="55">
        <f>HYPERLINK("https://www.youtube.com/results?search_query=neetcode%20vector%20embeddings%20search", "📺 NeetCode ↗")</f>
        <v/>
      </c>
      <c r="S35" s="56">
        <f>HYPERLINK("https://www.youtube.com/results?search_query=pinecone%20hnsw%20algorithm%20vector%20search", "📺 Pinecone ↗")</f>
        <v/>
      </c>
      <c r="T35" s="7" t="n"/>
      <c r="U35" s="7" t="n"/>
    </row>
    <row r="36" ht="44" customHeight="1">
      <c r="A36" s="52" t="n">
        <v>148</v>
      </c>
      <c r="B36" s="37" t="inlineStr">
        <is>
          <t>Stanford / MIT</t>
        </is>
      </c>
      <c r="C36" s="37" t="inlineStr">
        <is>
          <t>DAG Scheduling &amp; Critical Path Method in ML Compilers</t>
        </is>
      </c>
      <c r="D36" s="37" t="inlineStr">
        <is>
          <t>MIT 6.172 / CS217</t>
        </is>
      </c>
      <c r="E36" s="35" t="n">
        <v>25</v>
      </c>
      <c r="F36" s="37" t="inlineStr">
        <is>
          <t>Core algorithm for operator scheduling, pipeline parallelism, and activation memory</t>
        </is>
      </c>
      <c r="G36" s="37" t="inlineStr">
        <is>
          <t>Earliest Start Time (EST), Latest Start Time (LST), slack = LST - EST; critical path DAG DP</t>
        </is>
      </c>
      <c r="H36" s="37" t="inlineStr">
        <is>
          <t>Specific hardware timing values</t>
        </is>
      </c>
      <c r="I36" s="37" t="inlineStr">
        <is>
          <t>LC 2050, LC 207</t>
        </is>
      </c>
      <c r="J36" s="37" t="inlineStr">
        <is>
          <t>Derive critical path duration on DAG</t>
        </is>
      </c>
      <c r="K36" s="35" t="n"/>
      <c r="L36" s="48">
        <f>IF($A36="","",INDEX(DayPlan!$C$2:$C$169,MATCH($A36,DayPlan!$A$2:$A$169,0)))</f>
        <v/>
      </c>
      <c r="M36" s="39">
        <f>HYPERLINK("https://www.youtube.com/watch?v=UUKTIhxznF0", "▶ Watch (MIT OpenCourseWare) ↗")</f>
        <v/>
      </c>
      <c r="N36" s="55">
        <f>HYPERLINK("https://www.youtube.com/results?search_query=striver%20topological%20sort%20dag%20scheduling", "📺 Striver ↗")</f>
        <v/>
      </c>
      <c r="O36" s="40" t="inlineStr">
        <is>
          <t>—</t>
        </is>
      </c>
      <c r="P36" s="55">
        <f>HYPERLINK("https://www.youtube.com/results?search_query=love%20babbar%20dag%20topological%20sort", "📺 Love Babbar ↗")</f>
        <v/>
      </c>
      <c r="Q36" s="55">
        <f>HYPERLINK("https://www.youtube.com/results?search_query=padho%20with%20pratyush%20dag%20scheduling%20critical%20path", "📺 Padho with Pratyush ↗")</f>
        <v/>
      </c>
      <c r="R36" s="40" t="inlineStr">
        <is>
          <t>—</t>
        </is>
      </c>
      <c r="S36" s="56">
        <f>HYPERLINK("https://www.youtube.com/results?search_query=abdul%20bari%20critical%20path%20method%20dag", "📺 Abdul Bari ↗")</f>
        <v/>
      </c>
      <c r="T36" s="7" t="n"/>
      <c r="U36" s="7" t="n"/>
    </row>
  </sheetData>
  <autoFilter ref="A1:S36"/>
  <conditionalFormatting sqref="K2:K36">
    <cfRule type="cellIs" priority="1" operator="equal" dxfId="0">
      <formula>"Yes"</formula>
    </cfRule>
    <cfRule type="cellIs" priority="2" operator="equal" dxfId="2">
      <formula>"No"</formula>
    </cfRule>
  </conditionalFormatting>
  <dataValidations count="1">
    <dataValidation sqref="K2:K36" showDropDown="0" showInputMessage="0" showErrorMessage="0" allowBlank="1" promptTitle="Watched?"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26" customWidth="1" min="3" max="3"/>
    <col width="38" customWidth="1" min="4" max="4"/>
    <col width="52" customWidth="1" min="5" max="5"/>
    <col width="44" customWidth="1" min="6" max="6"/>
    <col width="28" customWidth="1" min="7" max="7"/>
    <col width="24" customWidth="1" min="8" max="8"/>
    <col width="24" customWidth="1" min="9" max="9"/>
  </cols>
  <sheetData>
    <row r="1" ht="28" customHeight="1">
      <c r="A1" s="57" t="inlineStr">
        <is>
          <t>Creator / Channel</t>
        </is>
      </c>
      <c r="B1" s="57" t="inlineStr">
        <is>
          <t>Platform Handle</t>
        </is>
      </c>
      <c r="C1" s="57" t="inlineStr">
        <is>
          <t>Pedagogy &amp; Language</t>
        </is>
      </c>
      <c r="D1" s="57" t="inlineStr">
        <is>
          <t>Domain Specialization</t>
        </is>
      </c>
      <c r="E1" s="57" t="inlineStr">
        <is>
          <t>Strategist Recommendation (Why Watch)</t>
        </is>
      </c>
      <c r="F1" s="57" t="inlineStr">
        <is>
          <t>Flagship Master Series &amp; Playlists</t>
        </is>
      </c>
      <c r="G1" s="57" t="inlineStr">
        <is>
          <t>Master Playlist Link (1-Click)</t>
        </is>
      </c>
      <c r="H1" s="57" t="inlineStr">
        <is>
          <t>Channel Link (1-Click)</t>
        </is>
      </c>
      <c r="I1" s="57" t="inlineStr">
        <is>
          <t>Curriculum Alignment (Weeks)</t>
        </is>
      </c>
    </row>
    <row r="2" ht="36" customHeight="1">
      <c r="A2" s="58" t="inlineStr">
        <is>
          <t>Striver (take U forward)</t>
        </is>
      </c>
      <c r="B2" s="59" t="inlineStr">
        <is>
          <t>@takeUforward</t>
        </is>
      </c>
      <c r="C2" s="60" t="inlineStr">
        <is>
          <t>Systematic &amp; Template-Driven (Hinglish / English)</t>
        </is>
      </c>
      <c r="D2" s="60" t="inlineStr">
        <is>
          <t>A2Z DSA Course, SDE Sheet, Trees, Graphs, DP, Disjoint Set, Binary Search on Answers</t>
        </is>
      </c>
      <c r="E2" s="60" t="inlineStr">
        <is>
          <t>Primary interview baseline. Watch complete playlists for new topics (Trees, Graphs, DP) to master edge cases and standard optimal templates.</t>
        </is>
      </c>
      <c r="F2" s="60" t="inlineStr">
        <is>
          <t>A2Z DSA Course, SDE Sheet, Graph Series (54 vids), DP Series (56 vids), Binary Trees</t>
        </is>
      </c>
      <c r="G2" s="61">
        <f>HYPERLINK("https://www.youtube.com/playlist?list=PLgUwDviBIf0oF6QL8m22w1hIDC1vJ_BHz", "▶ Master Playlist ↗")</f>
        <v/>
      </c>
      <c r="H2" s="62">
        <f>HYPERLINK("https://www.youtube.com/@takeUforward", "📺 Visit Channel ↗")</f>
        <v/>
      </c>
      <c r="I2" s="63" t="inlineStr">
        <is>
          <t>Weeks 1 - 18 (Core to Advanced DSA)</t>
        </is>
      </c>
    </row>
    <row r="3" ht="36" customHeight="1">
      <c r="A3" s="64" t="inlineStr">
        <is>
          <t>Aditya Verma</t>
        </is>
      </c>
      <c r="B3" s="65" t="inlineStr">
        <is>
          <t>@TheAdityaVerma</t>
        </is>
      </c>
      <c r="C3" s="66" t="inlineStr">
        <is>
          <t>Intuitive Mental Models (Hindi)</t>
        </is>
      </c>
      <c r="D3" s="66" t="inlineStr">
        <is>
          <t>Dynamic Programming (Knapsack, LCS, MCM), Sliding Window, Monotonic Stack, Heaps / Top-K</t>
        </is>
      </c>
      <c r="E3" s="66" t="inlineStr">
        <is>
          <t>The undisputed master for DP recurrence intuition and sliding window. Watch whenever stuck on state transitions or identification.</t>
        </is>
      </c>
      <c r="F3" s="66" t="inlineStr">
        <is>
          <t>DP Playlist (50+ vids), Sliding Window (16 vids), Stack &amp; Monotonic Stack, Heap Playlist</t>
        </is>
      </c>
      <c r="G3" s="67">
        <f>HYPERLINK("https://www.youtube.com/playlist?list=PL_z_8CaSLPWekqh3KpdC9045s07upF834", "▶ Master Playlist ↗")</f>
        <v/>
      </c>
      <c r="H3" s="68">
        <f>HYPERLINK("https://www.youtube.com/@TheAdityaVerma", "📺 Visit Channel ↗")</f>
        <v/>
      </c>
      <c r="I3" s="69" t="inlineStr">
        <is>
          <t>Weeks 2, 3, 4, 5, 11 - 14 (DP &amp; Window)</t>
        </is>
      </c>
    </row>
    <row r="4" ht="36" customHeight="1">
      <c r="A4" s="58" t="inlineStr">
        <is>
          <t>Padho with Pratyush</t>
        </is>
      </c>
      <c r="B4" s="59" t="inlineStr">
        <is>
          <t>@padho_with_pratyush</t>
        </is>
      </c>
      <c r="C4" s="60" t="inlineStr">
        <is>
          <t>Pattern-Based DSA Mastery (Hinglish)</t>
        </is>
      </c>
      <c r="D4" s="60" t="inlineStr">
        <is>
          <t>Algorithmic Patterns: Two Pointers, Sliding Window, Monotonic Stack, Binary Search, Trees, Graphs, DP Patterns</t>
        </is>
      </c>
      <c r="E4" s="60" t="inlineStr">
        <is>
          <t>Teaches DSA fundamentally on the basis of algorithmic patterns rather than rote memorization. Master pattern recognition across problem variants to crack FAANG/Tier-1 coding rounds in 3 months.</t>
        </is>
      </c>
      <c r="F4" s="60" t="inlineStr">
        <is>
          <t>DSA Patterns 2025 (Crack FAANG in 3 Months), Pattern-Based Problem Solving Series</t>
        </is>
      </c>
      <c r="G4" s="61">
        <f>HYPERLINK("https://youtube.com/playlist?list=PLbJhGqY-mq47k_WLUtzVjmarUm1EuXPj2", "▶ Master Playlist ↗")</f>
        <v/>
      </c>
      <c r="H4" s="62">
        <f>HYPERLINK("https://www.youtube.com/@padho_with_pratyush", "📺 Visit Channel ↗")</f>
        <v/>
      </c>
      <c r="I4" s="63" t="inlineStr">
        <is>
          <t>Weeks 1 - 24 (Algorithmic Patterns &amp; FAANG Prep)</t>
        </is>
      </c>
    </row>
    <row r="5" ht="36" customHeight="1">
      <c r="A5" s="64" t="inlineStr">
        <is>
          <t>Love Babbar (CodeHelp)</t>
        </is>
      </c>
      <c r="B5" s="65" t="inlineStr">
        <is>
          <t>@CodeHelp</t>
        </is>
      </c>
      <c r="C5" s="66" t="inlineStr">
        <is>
          <t>Visual &amp; Energetic C++ (Hindi)</t>
        </is>
      </c>
      <c r="D5" s="66" t="inlineStr">
        <is>
          <t>Complete C++ DSA Course, Recursion &amp; Backtracking, Linked Lists, Trees, Graph Traversals</t>
        </is>
      </c>
      <c r="E5" s="66" t="inlineStr">
        <is>
          <t>Exceptional C++ memory layout diagrams and clean implementations. Ideal for building rock-solid C++ pointer, tree, and recursion fundamentals.</t>
        </is>
      </c>
      <c r="F5" s="66" t="inlineStr">
        <is>
          <t>Complete C++ DSA Course (140+ videos), Recursion Series, Graph Theory Series</t>
        </is>
      </c>
      <c r="G5" s="67">
        <f>HYPERLINK("https://www.youtube.com/playlist?list=PLDzeHZWIZsTryvtXdMr6rPh4IDexB5NIA", "▶ Master Playlist ↗")</f>
        <v/>
      </c>
      <c r="H5" s="68">
        <f>HYPERLINK("https://www.youtube.com/@CodeHelp", "📺 Visit Channel ↗")</f>
        <v/>
      </c>
      <c r="I5" s="69" t="inlineStr">
        <is>
          <t>Weeks 1 - 12 (C++ Foundation &amp; Classic DSA)</t>
        </is>
      </c>
    </row>
    <row r="6" ht="36" customHeight="1">
      <c r="A6" s="58" t="inlineStr">
        <is>
          <t>NeetCode</t>
        </is>
      </c>
      <c r="B6" s="59" t="inlineStr">
        <is>
          <t>@NeetCode</t>
        </is>
      </c>
      <c r="C6" s="60" t="inlineStr">
        <is>
          <t>Concise Visual Walkthroughs (English)</t>
        </is>
      </c>
      <c r="D6" s="60" t="inlineStr">
        <is>
          <t>NeetCode 150, Blind 75, LeetCode Problem Walkthroughs, System Design, Algorithm Visualizations</t>
        </is>
      </c>
      <c r="E6" s="60" t="inlineStr">
        <is>
          <t>The gold standard for rapid daily problem review (5-15 min). Watch after 20 min of struggling to verify optimal time/space complexity invariants.</t>
        </is>
      </c>
      <c r="F6" s="60" t="inlineStr">
        <is>
          <t>NeetCode 150 Walkthroughs, Blind 75, DP Playlist, Advanced Graphs</t>
        </is>
      </c>
      <c r="G6" s="61">
        <f>HYPERLINK("https://www.youtube.com/playlist?list=PLot-Xpze53ldVwtstag2TL4HQhAnC8ATf", "▶ Master Playlist ↗")</f>
        <v/>
      </c>
      <c r="H6" s="62">
        <f>HYPERLINK("https://www.youtube.com/@NeetCode", "📺 Visit Channel ↗")</f>
        <v/>
      </c>
      <c r="I6" s="63" t="inlineStr">
        <is>
          <t>Weeks 1 - 24 (Daily Verification &amp; Diagnostics)</t>
        </is>
      </c>
    </row>
    <row r="7" ht="36" customHeight="1">
      <c r="A7" s="64" t="inlineStr">
        <is>
          <t>Abdul Bari</t>
        </is>
      </c>
      <c r="B7" s="65" t="inlineStr">
        <is>
          <t>@abdul_bari</t>
        </is>
      </c>
      <c r="C7" s="66" t="inlineStr">
        <is>
          <t>Academic Chalkboard Rigor (English)</t>
        </is>
      </c>
      <c r="D7" s="66" t="inlineStr">
        <is>
          <t>Analysis of Algorithms, Dynamic Programming proofs, Divide &amp; Conquer, Greedy, Shortest Paths (Dijkstra, Bellman-Ford)</t>
        </is>
      </c>
      <c r="E7" s="66" t="inlineStr">
        <is>
          <t>Essential for mathematical rigor and recurrence relations. If an interviewer asks to prove optimality or asymptotic bounds, Bari gives the proof.</t>
        </is>
      </c>
      <c r="F7" s="66" t="inlineStr">
        <is>
          <t>Algorithms (Design &amp; Analysis) Complete Course, Dynamic Programming Series, Graph Algorithms</t>
        </is>
      </c>
      <c r="G7" s="67">
        <f>HYPERLINK("https://www.youtube.com/playlist?list=PLDN4rrl48XKpZkf03iYFl-O29szjTrs_O", "▶ Master Playlist ↗")</f>
        <v/>
      </c>
      <c r="H7" s="68">
        <f>HYPERLINK("https://www.youtube.com/@abdul_bari", "📺 Visit Channel ↗")</f>
        <v/>
      </c>
      <c r="I7" s="69" t="inlineStr">
        <is>
          <t>Weeks 1, 5, 10 - 12 (Algorithm Proofs &amp; DP)</t>
        </is>
      </c>
    </row>
    <row r="8" ht="36" customHeight="1">
      <c r="A8" s="58" t="inlineStr">
        <is>
          <t>WilliamFiset</t>
        </is>
      </c>
      <c r="B8" s="59" t="inlineStr">
        <is>
          <t>@WilliamFiset-videos</t>
        </is>
      </c>
      <c r="C8" s="60" t="inlineStr">
        <is>
          <t>Animated Visual Slide Decks (English)</t>
        </is>
      </c>
      <c r="D8" s="60" t="inlineStr">
        <is>
          <t>Graph Theory, Segment Trees, Fenwick Trees, Tarjan's SCC &amp; Bridges, Dinic's Max Flow, Eulerian Paths</t>
        </is>
      </c>
      <c r="E8" s="60" t="inlineStr">
        <is>
          <t>The best visualizer for advanced graph and tree algorithms. Invaluable for internalizing residual graphs, flow networks, and range trees.</t>
        </is>
      </c>
      <c r="F8" s="60" t="inlineStr">
        <is>
          <t>Graph Theory Series (Complete), Data Structures Series, Network Flow / Dinic's Algorithm</t>
        </is>
      </c>
      <c r="G8" s="61">
        <f>HYPERLINK("https://www.youtube.com/playlist?list=PLDV1Zeh2NRsDGO4--qE8yH72HFL1Km93P", "▶ Master Playlist ↗")</f>
        <v/>
      </c>
      <c r="H8" s="62">
        <f>HYPERLINK("https://www.youtube.com/@WilliamFiset-videos", "📺 Visit Channel ↗")</f>
        <v/>
      </c>
      <c r="I8" s="63" t="inlineStr">
        <is>
          <t>Weeks 9, 10, 15 - 18 (Range Trees &amp; Flow)</t>
        </is>
      </c>
    </row>
    <row r="9" ht="36" customHeight="1">
      <c r="A9" s="64" t="inlineStr">
        <is>
          <t>Errichto (Kamil Debowski)</t>
        </is>
      </c>
      <c r="B9" s="65" t="inlineStr">
        <is>
          <t>@Errichto</t>
        </is>
      </c>
      <c r="C9" s="66" t="inlineStr">
        <is>
          <t>Competitive Programming Master (English)</t>
        </is>
      </c>
      <c r="D9" s="66" t="inlineStr">
        <is>
          <t>Bitwise Operations, Bitmask DP, Segment Trees with Lazy Propagation, Two Pointers vs DP, Fast Modulo Math</t>
        </is>
      </c>
      <c r="E9" s="66" t="inlineStr">
        <is>
          <t>World-class competitive programming speed techniques. Watch during Week 7 (Bitwise) and Week 13 (Bitmask DP) for hardware-level bit tricks.</t>
        </is>
      </c>
      <c r="F9" s="66" t="inlineStr">
        <is>
          <t>Competitive Programming Tutorials, Dynamic Programming Series, Bitwise Operations Playlist</t>
        </is>
      </c>
      <c r="G9" s="67">
        <f>HYPERLINK("https://www.youtube.com/playlist?list=PLl0KD3g-oDOHpWRyyGBUJ9jmul0lUODS5", "▶ Master Playlist ↗")</f>
        <v/>
      </c>
      <c r="H9" s="68">
        <f>HYPERLINK("https://www.youtube.com/@Errichto", "📺 Visit Channel ↗")</f>
        <v/>
      </c>
      <c r="I9" s="69" t="inlineStr">
        <is>
          <t>Weeks 7, 13, 15 (Bitmask DP &amp; Range Trees)</t>
        </is>
      </c>
    </row>
    <row r="10" ht="36" customHeight="1">
      <c r="A10" s="58" t="inlineStr">
        <is>
          <t>Martin Thompson / CppCon</t>
        </is>
      </c>
      <c r="B10" s="59" t="inlineStr">
        <is>
          <t>@CppCon</t>
        </is>
      </c>
      <c r="C10" s="60" t="inlineStr">
        <is>
          <t>Silicon &amp; Hardware Sympathy (English)</t>
        </is>
      </c>
      <c r="D10" s="60" t="inlineStr">
        <is>
          <t>Lock-Free SPSC Ring Buffers, Cache Locality, False Sharing, Atomic Memory Fences, Low-Latency C++</t>
        </is>
      </c>
      <c r="E10" s="60" t="inlineStr">
        <is>
          <t>Mandatory for NVIDIA, Tenstorrent, Cerebras, and AI Infra interviews. Explains lock-free queues, cache alignment, and GPU work dispatching.</t>
        </is>
      </c>
      <c r="F10" s="60" t="inlineStr">
        <is>
          <t>CppCon Back to Basics: Concurrency, Mechanical Sympathy, Cache-Conscious Data Structures</t>
        </is>
      </c>
      <c r="G10" s="61">
        <f>HYPERLINK("https://www.youtube.com/@CppCon", "▶ Master Playlist ↗")</f>
        <v/>
      </c>
      <c r="H10" s="62">
        <f>HYPERLINK("https://www.youtube.com/@CppCon", "📺 Visit Channel ↗")</f>
        <v/>
      </c>
      <c r="I10" s="63" t="inlineStr">
        <is>
          <t>Weeks 19 - 24 (Silicon Concurrency &amp; AI Infra)</t>
        </is>
      </c>
    </row>
    <row r="11" ht="36" customHeight="1">
      <c r="A11" s="64" t="inlineStr">
        <is>
          <t>CMU Database Group (Prof. Andy Pavlo)</t>
        </is>
      </c>
      <c r="B11" s="65" t="inlineStr">
        <is>
          <t>@CMUDatabaseGroup</t>
        </is>
      </c>
      <c r="C11" s="66" t="inlineStr">
        <is>
          <t>Systems Architecture &amp; Storage (English)</t>
        </is>
      </c>
      <c r="D11" s="66" t="inlineStr">
        <is>
          <t>Buffer Pool Replacement (LRU, ARC, Clock), B+ Trees, Concurrent Hash Tables, Vectorized Query Execution</t>
        </is>
      </c>
      <c r="E11" s="66" t="inlineStr">
        <is>
          <t>Provides the production architecture behind paging and caching. Directly maps to LLM KV-cache paging (vLLM) and GPU memory hierarchies.</t>
        </is>
      </c>
      <c r="F11" s="66" t="inlineStr">
        <is>
          <t>CMU 15-445/645 Database Systems, Storage Engine Internals, Buffer Pool Policies</t>
        </is>
      </c>
      <c r="G11" s="67">
        <f>HYPERLINK("https://www.youtube.com/@CMUDatabaseGroup", "▶ Master Playlist ↗")</f>
        <v/>
      </c>
      <c r="H11" s="68">
        <f>HYPERLINK("https://www.youtube.com/@CMUDatabaseGroup", "📺 Visit Channel ↗")</f>
        <v/>
      </c>
      <c r="I11" s="69" t="inlineStr">
        <is>
          <t>Weeks 6, 19 - 24 (Paging &amp; Buffer Systems)</t>
        </is>
      </c>
    </row>
  </sheetData>
  <autoFilter ref="A1:I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2" customWidth="1" min="3" max="3"/>
    <col width="22" customWidth="1" min="4" max="4"/>
    <col width="10" customWidth="1" min="5" max="5"/>
    <col width="20" customWidth="1" min="6" max="6"/>
    <col width="10" customWidth="1" min="7" max="7"/>
    <col width="18" customWidth="1" min="8" max="8"/>
    <col width="10" customWidth="1" min="9" max="9"/>
  </cols>
  <sheetData>
    <row r="1" ht="28" customHeight="1">
      <c r="A1" s="34" t="inlineStr">
        <is>
          <t>Day</t>
        </is>
      </c>
      <c r="B1" s="34" t="inlineStr">
        <is>
          <t>Date</t>
        </is>
      </c>
      <c r="C1" s="34" t="inlineStr">
        <is>
          <t>Milestone</t>
        </is>
      </c>
      <c r="D1" s="34" t="inlineStr">
        <is>
          <t>Target: Time-to-Pattern (med)</t>
        </is>
      </c>
      <c r="E1" s="34" t="inlineStr">
        <is>
          <t>Actual</t>
        </is>
      </c>
      <c r="F1" s="34" t="inlineStr">
        <is>
          <t>Target: Indep-Solve %</t>
        </is>
      </c>
      <c r="G1" s="34" t="inlineStr">
        <is>
          <t>Actual %</t>
        </is>
      </c>
      <c r="H1" s="34" t="inlineStr">
        <is>
          <t>Target: Hint-Dep %</t>
        </is>
      </c>
      <c r="I1" s="34" t="inlineStr">
        <is>
          <t>Actual %</t>
        </is>
      </c>
      <c r="J1" s="7" t="n"/>
      <c r="K1" s="51" t="inlineStr">
        <is>
          <t>Fill columns E, G, I after each diagnostic/mock. Target cells are highlighted yellow for diagnostic days. If Actual &gt; Target for time-to-pattern in two consecutive rows, recognition training must increase immediately (see auto-escalation in README).</t>
        </is>
      </c>
    </row>
    <row r="2" ht="24" customHeight="1">
      <c r="A2" s="52" t="n">
        <v>7</v>
      </c>
      <c r="B2" s="53" t="n">
        <v>46302</v>
      </c>
      <c r="C2" s="37" t="inlineStr">
        <is>
          <t>End of Week 1  -  counting/hashing/prefix</t>
        </is>
      </c>
      <c r="D2" s="35" t="inlineStr">
        <is>
          <t>&lt; 12 min</t>
        </is>
      </c>
      <c r="E2" s="35" t="n"/>
      <c r="F2" s="35" t="inlineStr">
        <is>
          <t>&gt; 50%</t>
        </is>
      </c>
      <c r="G2" s="35" t="n"/>
      <c r="H2" s="35" t="inlineStr">
        <is>
          <t>&lt; 40%</t>
        </is>
      </c>
      <c r="I2" s="35" t="n"/>
      <c r="J2" s="7" t="n"/>
      <c r="K2" s="7" t="n"/>
    </row>
    <row r="3" ht="24" customHeight="1">
      <c r="A3" s="52" t="n">
        <v>14</v>
      </c>
      <c r="B3" s="53" t="n">
        <v>46309</v>
      </c>
      <c r="C3" s="37" t="inlineStr">
        <is>
          <t>End of Week 2  -  two pointers/window</t>
        </is>
      </c>
      <c r="D3" s="35" t="inlineStr">
        <is>
          <t>&lt; 11 min</t>
        </is>
      </c>
      <c r="E3" s="35" t="n"/>
      <c r="F3" s="35" t="inlineStr">
        <is>
          <t>&gt; 55%</t>
        </is>
      </c>
      <c r="G3" s="35" t="n"/>
      <c r="H3" s="35" t="inlineStr">
        <is>
          <t>&lt; 38%</t>
        </is>
      </c>
      <c r="I3" s="35" t="n"/>
      <c r="J3" s="7" t="n"/>
      <c r="K3" s="7" t="n"/>
    </row>
    <row r="4" ht="24" customHeight="1">
      <c r="A4" s="52" t="n">
        <v>21</v>
      </c>
      <c r="B4" s="53" t="n">
        <v>46316</v>
      </c>
      <c r="C4" s="37" t="inlineStr">
        <is>
          <t>End of Week 3  -  binary search</t>
        </is>
      </c>
      <c r="D4" s="35" t="inlineStr">
        <is>
          <t>&lt; 10 min</t>
        </is>
      </c>
      <c r="E4" s="35" t="n"/>
      <c r="F4" s="35" t="inlineStr">
        <is>
          <t>&gt; 58%</t>
        </is>
      </c>
      <c r="G4" s="35" t="n"/>
      <c r="H4" s="35" t="inlineStr">
        <is>
          <t>&lt; 35%</t>
        </is>
      </c>
      <c r="I4" s="35" t="n"/>
      <c r="J4" s="7" t="n"/>
      <c r="K4" s="7" t="n"/>
    </row>
    <row r="5" ht="24" customHeight="1">
      <c r="A5" s="70" t="n">
        <v>28</v>
      </c>
      <c r="B5" s="71" t="n">
        <v>46323</v>
      </c>
      <c r="C5" s="72" t="inlineStr">
        <is>
          <t>Month 1 Diagnostic</t>
        </is>
      </c>
      <c r="D5" s="73" t="inlineStr">
        <is>
          <t>&lt; 9 min</t>
        </is>
      </c>
      <c r="E5" s="73" t="n"/>
      <c r="F5" s="73" t="inlineStr">
        <is>
          <t>&gt; 60%</t>
        </is>
      </c>
      <c r="G5" s="73" t="n"/>
      <c r="H5" s="73" t="inlineStr">
        <is>
          <t>&lt; 32%</t>
        </is>
      </c>
      <c r="I5" s="73" t="n"/>
      <c r="J5" s="7" t="n"/>
      <c r="K5" s="7" t="n"/>
    </row>
    <row r="6" ht="24" customHeight="1">
      <c r="A6" s="52" t="n">
        <v>35</v>
      </c>
      <c r="B6" s="53" t="n">
        <v>46330</v>
      </c>
      <c r="C6" s="37" t="inlineStr">
        <is>
          <t>End of Week 5  -  heaps/greedy</t>
        </is>
      </c>
      <c r="D6" s="35" t="inlineStr">
        <is>
          <t>&lt; 9 min</t>
        </is>
      </c>
      <c r="E6" s="35" t="n"/>
      <c r="F6" s="35" t="inlineStr">
        <is>
          <t>&gt; 62%</t>
        </is>
      </c>
      <c r="G6" s="35" t="n"/>
      <c r="H6" s="35" t="inlineStr">
        <is>
          <t>&lt; 30%</t>
        </is>
      </c>
      <c r="I6" s="35" t="n"/>
      <c r="J6" s="7" t="n"/>
      <c r="K6" s="7" t="n"/>
    </row>
    <row r="7" ht="24" customHeight="1">
      <c r="A7" s="52" t="n">
        <v>42</v>
      </c>
      <c r="B7" s="53" t="n">
        <v>46337</v>
      </c>
      <c r="C7" s="37" t="inlineStr">
        <is>
          <t>Mock #1 / End of Week 6</t>
        </is>
      </c>
      <c r="D7" s="35" t="inlineStr">
        <is>
          <t>&lt; 8 min</t>
        </is>
      </c>
      <c r="E7" s="35" t="n"/>
      <c r="F7" s="35" t="inlineStr">
        <is>
          <t>&gt; 65%</t>
        </is>
      </c>
      <c r="G7" s="35" t="n"/>
      <c r="H7" s="35" t="inlineStr">
        <is>
          <t>&lt; 28%</t>
        </is>
      </c>
      <c r="I7" s="35" t="n"/>
      <c r="J7" s="7" t="n"/>
      <c r="K7" s="7" t="n"/>
    </row>
    <row r="8" ht="24" customHeight="1">
      <c r="A8" s="52" t="n">
        <v>49</v>
      </c>
      <c r="B8" s="53" t="n">
        <v>46344</v>
      </c>
      <c r="C8" s="37" t="inlineStr">
        <is>
          <t>End of Week 7  -  trees</t>
        </is>
      </c>
      <c r="D8" s="35" t="inlineStr">
        <is>
          <t>&lt; 8 min</t>
        </is>
      </c>
      <c r="E8" s="35" t="n"/>
      <c r="F8" s="35" t="inlineStr">
        <is>
          <t>&gt; 67%</t>
        </is>
      </c>
      <c r="G8" s="35" t="n"/>
      <c r="H8" s="35" t="inlineStr">
        <is>
          <t>&lt; 26%</t>
        </is>
      </c>
      <c r="I8" s="35" t="n"/>
      <c r="J8" s="7" t="n"/>
      <c r="K8" s="7" t="n"/>
    </row>
    <row r="9" ht="24" customHeight="1">
      <c r="A9" s="70" t="n">
        <v>56</v>
      </c>
      <c r="B9" s="71" t="n">
        <v>46351</v>
      </c>
      <c r="C9" s="72" t="inlineStr">
        <is>
          <t>Month 2 Diagnostic</t>
        </is>
      </c>
      <c r="D9" s="73" t="inlineStr">
        <is>
          <t>&lt; 7 min</t>
        </is>
      </c>
      <c r="E9" s="73" t="n"/>
      <c r="F9" s="73" t="inlineStr">
        <is>
          <t>&gt; 70%</t>
        </is>
      </c>
      <c r="G9" s="73" t="n"/>
      <c r="H9" s="73" t="inlineStr">
        <is>
          <t>&lt; 25%</t>
        </is>
      </c>
      <c r="I9" s="73" t="n"/>
      <c r="J9" s="7" t="n"/>
      <c r="K9" s="7" t="n"/>
    </row>
    <row r="10" ht="24" customHeight="1">
      <c r="A10" s="52" t="n">
        <v>63</v>
      </c>
      <c r="B10" s="53" t="n">
        <v>46358</v>
      </c>
      <c r="C10" s="37" t="inlineStr">
        <is>
          <t>End of Week 9  -  graphs/DSU</t>
        </is>
      </c>
      <c r="D10" s="35" t="inlineStr">
        <is>
          <t>&lt; 7 min</t>
        </is>
      </c>
      <c r="E10" s="35" t="n"/>
      <c r="F10" s="35" t="inlineStr">
        <is>
          <t>&gt; 72%</t>
        </is>
      </c>
      <c r="G10" s="35" t="n"/>
      <c r="H10" s="35" t="inlineStr">
        <is>
          <t>&lt; 23%</t>
        </is>
      </c>
      <c r="I10" s="35" t="n"/>
      <c r="J10" s="7" t="n"/>
      <c r="K10" s="7" t="n"/>
    </row>
    <row r="11" ht="24" customHeight="1">
      <c r="A11" s="52" t="n">
        <v>70</v>
      </c>
      <c r="B11" s="53" t="n">
        <v>46365</v>
      </c>
      <c r="C11" s="37" t="inlineStr">
        <is>
          <t>Mock #2 / End of Week 10</t>
        </is>
      </c>
      <c r="D11" s="35" t="inlineStr">
        <is>
          <t>&lt; 6 min</t>
        </is>
      </c>
      <c r="E11" s="35" t="n"/>
      <c r="F11" s="35" t="inlineStr">
        <is>
          <t>&gt; 75%</t>
        </is>
      </c>
      <c r="G11" s="35" t="n"/>
      <c r="H11" s="35" t="inlineStr">
        <is>
          <t>&lt; 22%</t>
        </is>
      </c>
      <c r="I11" s="35" t="n"/>
      <c r="J11" s="7" t="n"/>
      <c r="K11" s="7" t="n"/>
    </row>
    <row r="12" ht="24" customHeight="1">
      <c r="A12" s="52" t="n">
        <v>77</v>
      </c>
      <c r="B12" s="53" t="n">
        <v>46372</v>
      </c>
      <c r="C12" s="37" t="inlineStr">
        <is>
          <t>End of Week 11  -  backtracking</t>
        </is>
      </c>
      <c r="D12" s="35" t="inlineStr">
        <is>
          <t>&lt; 6 min</t>
        </is>
      </c>
      <c r="E12" s="35" t="n"/>
      <c r="F12" s="35" t="inlineStr">
        <is>
          <t>&gt; 77%</t>
        </is>
      </c>
      <c r="G12" s="35" t="n"/>
      <c r="H12" s="35" t="inlineStr">
        <is>
          <t>&lt; 20%</t>
        </is>
      </c>
      <c r="I12" s="35" t="n"/>
      <c r="J12" s="7" t="n"/>
      <c r="K12" s="7" t="n"/>
    </row>
    <row r="13" ht="24" customHeight="1">
      <c r="A13" s="70" t="n">
        <v>84</v>
      </c>
      <c r="B13" s="71" t="n">
        <v>46379</v>
      </c>
      <c r="C13" s="72" t="inlineStr">
        <is>
          <t>Month 3 Diagnostic</t>
        </is>
      </c>
      <c r="D13" s="73" t="inlineStr">
        <is>
          <t>&lt; 5 min</t>
        </is>
      </c>
      <c r="E13" s="73" t="n"/>
      <c r="F13" s="73" t="inlineStr">
        <is>
          <t>&gt; 80%</t>
        </is>
      </c>
      <c r="G13" s="73" t="n"/>
      <c r="H13" s="73" t="inlineStr">
        <is>
          <t>&lt; 18%</t>
        </is>
      </c>
      <c r="I13" s="73" t="n"/>
      <c r="J13" s="7" t="n"/>
      <c r="K13" s="7" t="n"/>
    </row>
    <row r="14" ht="24" customHeight="1">
      <c r="A14" s="52" t="n">
        <v>91</v>
      </c>
      <c r="B14" s="53" t="n">
        <v>46386</v>
      </c>
      <c r="C14" s="37" t="inlineStr">
        <is>
          <t>End of Week 13  -  advanced DP</t>
        </is>
      </c>
      <c r="D14" s="35" t="inlineStr">
        <is>
          <t>&lt; 5 min</t>
        </is>
      </c>
      <c r="E14" s="35" t="n"/>
      <c r="F14" s="35" t="inlineStr">
        <is>
          <t>&gt; 82%</t>
        </is>
      </c>
      <c r="G14" s="35" t="n"/>
      <c r="H14" s="35" t="inlineStr">
        <is>
          <t>&lt; 16%</t>
        </is>
      </c>
      <c r="I14" s="35" t="n"/>
      <c r="J14" s="7" t="n"/>
      <c r="K14" s="7" t="n"/>
    </row>
    <row r="15" ht="24" customHeight="1">
      <c r="A15" s="70" t="n">
        <v>98</v>
      </c>
      <c r="B15" s="71" t="n">
        <v>46393</v>
      </c>
      <c r="C15" s="72" t="inlineStr">
        <is>
          <t>Mid-Program Grand Diagnostic</t>
        </is>
      </c>
      <c r="D15" s="73" t="inlineStr">
        <is>
          <t>&lt; 5 min</t>
        </is>
      </c>
      <c r="E15" s="73" t="n"/>
      <c r="F15" s="73" t="inlineStr">
        <is>
          <t>&gt; 84%</t>
        </is>
      </c>
      <c r="G15" s="73" t="n"/>
      <c r="H15" s="73" t="inlineStr">
        <is>
          <t>&lt; 15%</t>
        </is>
      </c>
      <c r="I15" s="73" t="n"/>
      <c r="J15" s="7" t="n"/>
      <c r="K15" s="7" t="n"/>
    </row>
    <row r="16" ht="24" customHeight="1">
      <c r="A16" s="52" t="n">
        <v>105</v>
      </c>
      <c r="B16" s="53" t="n">
        <v>46400</v>
      </c>
      <c r="C16" s="37" t="inlineStr">
        <is>
          <t>End of Week 15 -  range query trees</t>
        </is>
      </c>
      <c r="D16" s="35" t="inlineStr">
        <is>
          <t>&lt; 5 min</t>
        </is>
      </c>
      <c r="E16" s="35" t="n"/>
      <c r="F16" s="35" t="inlineStr">
        <is>
          <t>&gt; 85%</t>
        </is>
      </c>
      <c r="G16" s="35" t="n"/>
      <c r="H16" s="35" t="inlineStr">
        <is>
          <t>&lt; 14%</t>
        </is>
      </c>
      <c r="I16" s="35" t="n"/>
      <c r="J16" s="7" t="n"/>
      <c r="K16" s="7" t="n"/>
    </row>
    <row r="17" ht="24" customHeight="1">
      <c r="A17" s="70" t="n">
        <v>112</v>
      </c>
      <c r="B17" s="71" t="n">
        <v>46407</v>
      </c>
      <c r="C17" s="72" t="inlineStr">
        <is>
          <t>Diagnostic 4: Advanced Graph Topologies</t>
        </is>
      </c>
      <c r="D17" s="73" t="inlineStr">
        <is>
          <t>&lt; 4 min</t>
        </is>
      </c>
      <c r="E17" s="73" t="n"/>
      <c r="F17" s="73" t="inlineStr">
        <is>
          <t>&gt; 86%</t>
        </is>
      </c>
      <c r="G17" s="73" t="n"/>
      <c r="H17" s="73" t="inlineStr">
        <is>
          <t>&lt; 13%</t>
        </is>
      </c>
      <c r="I17" s="73" t="n"/>
      <c r="J17" s="7" t="n"/>
      <c r="K17" s="7" t="n"/>
    </row>
    <row r="18" ht="24" customHeight="1">
      <c r="A18" s="52" t="n">
        <v>119</v>
      </c>
      <c r="B18" s="53" t="n">
        <v>46414</v>
      </c>
      <c r="C18" s="37" t="inlineStr">
        <is>
          <t>End of Week 17 -  hardware-aware DS</t>
        </is>
      </c>
      <c r="D18" s="35" t="inlineStr">
        <is>
          <t>&lt; 4 min</t>
        </is>
      </c>
      <c r="E18" s="35" t="n"/>
      <c r="F18" s="35" t="inlineStr">
        <is>
          <t>&gt; 87%</t>
        </is>
      </c>
      <c r="G18" s="35" t="n"/>
      <c r="H18" s="35" t="inlineStr">
        <is>
          <t>&lt; 12%</t>
        </is>
      </c>
      <c r="I18" s="35" t="n"/>
      <c r="J18" s="7" t="n"/>
      <c r="K18" s="7" t="n"/>
    </row>
    <row r="19" ht="24" customHeight="1">
      <c r="A19" s="70" t="n">
        <v>126</v>
      </c>
      <c r="B19" s="71" t="n">
        <v>46421</v>
      </c>
      <c r="C19" s="72" t="inlineStr">
        <is>
          <t>Diagnostic 5: Strings &amp; Automata</t>
        </is>
      </c>
      <c r="D19" s="73" t="inlineStr">
        <is>
          <t>&lt; 4 min</t>
        </is>
      </c>
      <c r="E19" s="73" t="n"/>
      <c r="F19" s="73" t="inlineStr">
        <is>
          <t>&gt; 88%</t>
        </is>
      </c>
      <c r="G19" s="73" t="n"/>
      <c r="H19" s="73" t="inlineStr">
        <is>
          <t>&lt; 12%</t>
        </is>
      </c>
      <c r="I19" s="73" t="n"/>
      <c r="J19" s="7" t="n"/>
      <c r="K19" s="7" t="n"/>
    </row>
    <row r="20" ht="24" customHeight="1">
      <c r="A20" s="52" t="n">
        <v>133</v>
      </c>
      <c r="B20" s="53" t="n">
        <v>46428</v>
      </c>
      <c r="C20" s="37" t="inlineStr">
        <is>
          <t>End of Week 19 -  advanced caching</t>
        </is>
      </c>
      <c r="D20" s="35" t="inlineStr">
        <is>
          <t>&lt; 4 min</t>
        </is>
      </c>
      <c r="E20" s="35" t="n"/>
      <c r="F20" s="35" t="inlineStr">
        <is>
          <t>&gt; 89%</t>
        </is>
      </c>
      <c r="G20" s="35" t="n"/>
      <c r="H20" s="35" t="inlineStr">
        <is>
          <t>&lt; 11%</t>
        </is>
      </c>
      <c r="I20" s="35" t="n"/>
      <c r="J20" s="7" t="n"/>
      <c r="K20" s="7" t="n"/>
    </row>
    <row r="21" ht="24" customHeight="1">
      <c r="A21" s="70" t="n">
        <v>140</v>
      </c>
      <c r="B21" s="71" t="n">
        <v>46435</v>
      </c>
      <c r="C21" s="72" t="inlineStr">
        <is>
          <t>Diagnostic 6: Concurrency &amp; Queues</t>
        </is>
      </c>
      <c r="D21" s="73" t="inlineStr">
        <is>
          <t>&lt; 4 min</t>
        </is>
      </c>
      <c r="E21" s="73" t="n"/>
      <c r="F21" s="73" t="inlineStr">
        <is>
          <t>&gt; 90%</t>
        </is>
      </c>
      <c r="G21" s="73" t="n"/>
      <c r="H21" s="73" t="inlineStr">
        <is>
          <t>&lt; 10%</t>
        </is>
      </c>
      <c r="I21" s="73" t="n"/>
      <c r="J21" s="7" t="n"/>
      <c r="K21" s="7" t="n"/>
    </row>
    <row r="22" ht="24" customHeight="1">
      <c r="A22" s="52" t="n">
        <v>147</v>
      </c>
      <c r="B22" s="53" t="n">
        <v>46442</v>
      </c>
      <c r="C22" s="37" t="inlineStr">
        <is>
          <t>End of Week 21 -  vector search HNSW</t>
        </is>
      </c>
      <c r="D22" s="35" t="inlineStr">
        <is>
          <t>&lt; 3 min</t>
        </is>
      </c>
      <c r="E22" s="35" t="n"/>
      <c r="F22" s="35" t="inlineStr">
        <is>
          <t>&gt; 91%</t>
        </is>
      </c>
      <c r="G22" s="35" t="n"/>
      <c r="H22" s="35" t="inlineStr">
        <is>
          <t>&lt; 10%</t>
        </is>
      </c>
      <c r="I22" s="35" t="n"/>
      <c r="J22" s="7" t="n"/>
      <c r="K22" s="7" t="n"/>
    </row>
    <row r="23" ht="24" customHeight="1">
      <c r="A23" s="70" t="n">
        <v>154</v>
      </c>
      <c r="B23" s="71" t="n">
        <v>46449</v>
      </c>
      <c r="C23" s="72" t="inlineStr">
        <is>
          <t>Diagnostic 7: ML Compilers &amp; DAGs</t>
        </is>
      </c>
      <c r="D23" s="73" t="inlineStr">
        <is>
          <t>&lt; 3 min</t>
        </is>
      </c>
      <c r="E23" s="73" t="n"/>
      <c r="F23" s="73" t="inlineStr">
        <is>
          <t>&gt; 92%</t>
        </is>
      </c>
      <c r="G23" s="73" t="n"/>
      <c r="H23" s="73" t="inlineStr">
        <is>
          <t>&lt; 9%</t>
        </is>
      </c>
      <c r="I23" s="73" t="n"/>
      <c r="J23" s="7" t="n"/>
      <c r="K23" s="7" t="n"/>
    </row>
    <row r="24" ht="24" customHeight="1">
      <c r="A24" s="52" t="n">
        <v>161</v>
      </c>
      <c r="B24" s="53" t="n">
        <v>46456</v>
      </c>
      <c r="C24" s="37" t="inlineStr">
        <is>
          <t>End of Week 23 -  streaming &amp; sketches</t>
        </is>
      </c>
      <c r="D24" s="35" t="inlineStr">
        <is>
          <t>&lt; 3 min</t>
        </is>
      </c>
      <c r="E24" s="35" t="n"/>
      <c r="F24" s="35" t="inlineStr">
        <is>
          <t>&gt; 93%</t>
        </is>
      </c>
      <c r="G24" s="35" t="n"/>
      <c r="H24" s="35" t="inlineStr">
        <is>
          <t>&lt; 8%</t>
        </is>
      </c>
      <c r="I24" s="35" t="n"/>
      <c r="J24" s="7" t="n"/>
      <c r="K24" s="7" t="n"/>
    </row>
    <row r="25" ht="24" customHeight="1">
      <c r="A25" s="70" t="n">
        <v>168</v>
      </c>
      <c r="B25" s="71" t="n">
        <v>46463</v>
      </c>
      <c r="C25" s="72" t="inlineStr">
        <is>
          <t>Final Specialist Certification</t>
        </is>
      </c>
      <c r="D25" s="73" t="inlineStr">
        <is>
          <t>&lt; 3 min</t>
        </is>
      </c>
      <c r="E25" s="73" t="n"/>
      <c r="F25" s="73" t="inlineStr">
        <is>
          <t>&gt; 95%</t>
        </is>
      </c>
      <c r="G25" s="73" t="n"/>
      <c r="H25" s="73" t="inlineStr">
        <is>
          <t>&lt; 8%</t>
        </is>
      </c>
      <c r="I25" s="73" t="n"/>
      <c r="J25" s="7" t="n"/>
      <c r="K25" s="7" t="n"/>
    </row>
  </sheetData>
  <conditionalFormatting sqref="E2:E25">
    <cfRule type="colorScale" priority="1">
      <colorScale>
        <cfvo type="num" val="12"/>
        <cfvo type="num" val="7"/>
        <cfvo type="num" val="3"/>
        <color rgb="00DC2626"/>
        <color rgb="00CA8A04"/>
        <color rgb="0016A34A"/>
      </colorScale>
    </cfRule>
  </conditionalFormatting>
  <conditionalFormatting sqref="G2:G25">
    <cfRule type="colorScale" priority="2">
      <colorScale>
        <cfvo type="num" val="40"/>
        <cfvo type="num" val="65"/>
        <cfvo type="num" val="90"/>
        <color rgb="00DC2626"/>
        <color rgb="00CA8A04"/>
        <color rgb="0016A34A"/>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28" customWidth="1" min="4" max="4"/>
    <col width="16" customWidth="1" min="5" max="5"/>
    <col width="10" customWidth="1" min="6" max="6"/>
    <col width="9" customWidth="1" min="7" max="7"/>
    <col width="10" customWidth="1" min="8" max="8"/>
    <col width="10" customWidth="1" min="9" max="9"/>
    <col width="12" customWidth="1" min="10" max="10"/>
    <col width="10" customWidth="1" min="11" max="11"/>
    <col width="34" customWidth="1" min="12" max="12"/>
  </cols>
  <sheetData>
    <row r="1" ht="28" customHeight="1">
      <c r="A1" s="34" t="inlineStr">
        <is>
          <t>Problem</t>
        </is>
      </c>
      <c r="B1" s="34" t="inlineStr">
        <is>
          <t>LeetCode #</t>
        </is>
      </c>
      <c r="C1" s="34" t="inlineStr">
        <is>
          <t>Difficulty</t>
        </is>
      </c>
      <c r="D1" s="34" t="inlineStr">
        <is>
          <t>Pattern (hidden  -  fill after attempt)</t>
        </is>
      </c>
      <c r="E1" s="34" t="inlineStr">
        <is>
          <t>Recommended for Day</t>
        </is>
      </c>
      <c r="F1" s="34" t="inlineStr">
        <is>
          <t>Used on Day</t>
        </is>
      </c>
      <c r="G1" s="34" t="inlineStr">
        <is>
          <t>Solved?</t>
        </is>
      </c>
      <c r="H1" s="34" t="inlineStr">
        <is>
          <t>Time Taken</t>
        </is>
      </c>
      <c r="I1" s="34" t="inlineStr">
        <is>
          <t>Hints Used</t>
        </is>
      </c>
      <c r="J1" s="34" t="inlineStr">
        <is>
          <t>Time to Pattern</t>
        </is>
      </c>
      <c r="K1" s="34" t="inlineStr">
        <is>
          <t>TC Correct?</t>
        </is>
      </c>
      <c r="L1" s="34" t="inlineStr">
        <is>
          <t>Notes</t>
        </is>
      </c>
      <c r="M1" s="54" t="inlineStr">
        <is>
          <t>RULE: Do NOT look at column D until AFTER you have attempted the problem. Column D is intentionally blank to prevent anchoring. Fill it with your pattern guess BEFORE checking the answer.</t>
        </is>
      </c>
    </row>
    <row r="2" ht="22" customHeight="1">
      <c r="A2" s="37" t="inlineStr">
        <is>
          <t>Maximum Sum Circular Subarray</t>
        </is>
      </c>
      <c r="B2" s="35" t="inlineStr">
        <is>
          <t>918</t>
        </is>
      </c>
      <c r="C2" s="74" t="inlineStr">
        <is>
          <t>M</t>
        </is>
      </c>
      <c r="D2" s="75" t="n"/>
      <c r="E2" s="35" t="inlineStr">
        <is>
          <t>28</t>
        </is>
      </c>
      <c r="F2" s="35" t="n"/>
      <c r="G2" s="35" t="n"/>
      <c r="H2" s="35" t="n"/>
      <c r="I2" s="35" t="n"/>
      <c r="J2" s="35" t="n"/>
      <c r="K2" s="35" t="n"/>
      <c r="L2" s="35" t="n"/>
      <c r="M2" s="7" t="n"/>
    </row>
    <row r="3" ht="22" customHeight="1">
      <c r="A3" s="37" t="inlineStr">
        <is>
          <t>Number of Subarrays with Bounded Maximum</t>
        </is>
      </c>
      <c r="B3" s="35" t="inlineStr">
        <is>
          <t>795</t>
        </is>
      </c>
      <c r="C3" s="74" t="inlineStr">
        <is>
          <t>M</t>
        </is>
      </c>
      <c r="D3" s="75" t="n"/>
      <c r="E3" s="35" t="inlineStr">
        <is>
          <t>28</t>
        </is>
      </c>
      <c r="F3" s="35" t="n"/>
      <c r="G3" s="35" t="n"/>
      <c r="H3" s="35" t="n"/>
      <c r="I3" s="35" t="n"/>
      <c r="J3" s="35" t="n"/>
      <c r="K3" s="35" t="n"/>
      <c r="L3" s="35" t="n"/>
      <c r="M3" s="7" t="n"/>
    </row>
    <row r="4" ht="22" customHeight="1">
      <c r="A4" s="37" t="inlineStr">
        <is>
          <t>Shortest Unsorted Continuous Subarray</t>
        </is>
      </c>
      <c r="B4" s="35" t="inlineStr">
        <is>
          <t>581</t>
        </is>
      </c>
      <c r="C4" s="74" t="inlineStr">
        <is>
          <t>M</t>
        </is>
      </c>
      <c r="D4" s="75" t="n"/>
      <c r="E4" s="35" t="inlineStr">
        <is>
          <t>28</t>
        </is>
      </c>
      <c r="F4" s="35" t="n"/>
      <c r="G4" s="35" t="n"/>
      <c r="H4" s="35" t="n"/>
      <c r="I4" s="35" t="n"/>
      <c r="J4" s="35" t="n"/>
      <c r="K4" s="35" t="n"/>
      <c r="L4" s="35" t="n"/>
      <c r="M4" s="7" t="n"/>
    </row>
    <row r="5" ht="22" customHeight="1">
      <c r="A5" s="37" t="inlineStr">
        <is>
          <t>Count of Smaller Numbers After Self</t>
        </is>
      </c>
      <c r="B5" s="35" t="inlineStr">
        <is>
          <t>315</t>
        </is>
      </c>
      <c r="C5" s="76" t="inlineStr">
        <is>
          <t>H</t>
        </is>
      </c>
      <c r="D5" s="75" t="n"/>
      <c r="E5" s="35" t="inlineStr">
        <is>
          <t>56</t>
        </is>
      </c>
      <c r="F5" s="35" t="n"/>
      <c r="G5" s="35" t="n"/>
      <c r="H5" s="35" t="n"/>
      <c r="I5" s="35" t="n"/>
      <c r="J5" s="35" t="n"/>
      <c r="K5" s="35" t="n"/>
      <c r="L5" s="35" t="n"/>
      <c r="M5" s="7" t="n"/>
    </row>
    <row r="6" ht="22" customHeight="1">
      <c r="A6" s="37" t="inlineStr">
        <is>
          <t>Delete Nodes and Return Forest</t>
        </is>
      </c>
      <c r="B6" s="35" t="inlineStr">
        <is>
          <t>1110</t>
        </is>
      </c>
      <c r="C6" s="74" t="inlineStr">
        <is>
          <t>M</t>
        </is>
      </c>
      <c r="D6" s="75" t="n"/>
      <c r="E6" s="35" t="inlineStr">
        <is>
          <t>56</t>
        </is>
      </c>
      <c r="F6" s="35" t="n"/>
      <c r="G6" s="35" t="n"/>
      <c r="H6" s="35" t="n"/>
      <c r="I6" s="35" t="n"/>
      <c r="J6" s="35" t="n"/>
      <c r="K6" s="35" t="n"/>
      <c r="L6" s="35" t="n"/>
      <c r="M6" s="7" t="n"/>
    </row>
    <row r="7" ht="22" customHeight="1">
      <c r="A7" s="37" t="inlineStr">
        <is>
          <t>Design Underground System</t>
        </is>
      </c>
      <c r="B7" s="35" t="inlineStr">
        <is>
          <t>1396</t>
        </is>
      </c>
      <c r="C7" s="74" t="inlineStr">
        <is>
          <t>M</t>
        </is>
      </c>
      <c r="D7" s="75" t="n"/>
      <c r="E7" s="35" t="inlineStr">
        <is>
          <t>56</t>
        </is>
      </c>
      <c r="F7" s="35" t="n"/>
      <c r="G7" s="35" t="n"/>
      <c r="H7" s="35" t="n"/>
      <c r="I7" s="35" t="n"/>
      <c r="J7" s="35" t="n"/>
      <c r="K7" s="35" t="n"/>
      <c r="L7" s="35" t="n"/>
      <c r="M7" s="7" t="n"/>
    </row>
    <row r="8" ht="22" customHeight="1">
      <c r="A8" s="37" t="inlineStr">
        <is>
          <t>Maximum Performance of a Team</t>
        </is>
      </c>
      <c r="B8" s="35" t="inlineStr">
        <is>
          <t>1383</t>
        </is>
      </c>
      <c r="C8" s="76" t="inlineStr">
        <is>
          <t>H</t>
        </is>
      </c>
      <c r="D8" s="75" t="n"/>
      <c r="E8" s="35" t="inlineStr">
        <is>
          <t>84</t>
        </is>
      </c>
      <c r="F8" s="35" t="n"/>
      <c r="G8" s="35" t="n"/>
      <c r="H8" s="35" t="n"/>
      <c r="I8" s="35" t="n"/>
      <c r="J8" s="35" t="n"/>
      <c r="K8" s="35" t="n"/>
      <c r="L8" s="35" t="n"/>
      <c r="M8" s="7" t="n"/>
    </row>
    <row r="9" ht="22" customHeight="1">
      <c r="A9" s="37" t="inlineStr">
        <is>
          <t>Minimum Number of Taps to Open</t>
        </is>
      </c>
      <c r="B9" s="35" t="inlineStr">
        <is>
          <t>1326</t>
        </is>
      </c>
      <c r="C9" s="76" t="inlineStr">
        <is>
          <t>H</t>
        </is>
      </c>
      <c r="D9" s="75" t="n"/>
      <c r="E9" s="35" t="inlineStr">
        <is>
          <t>84</t>
        </is>
      </c>
      <c r="F9" s="35" t="n"/>
      <c r="G9" s="35" t="n"/>
      <c r="H9" s="35" t="n"/>
      <c r="I9" s="35" t="n"/>
      <c r="J9" s="35" t="n"/>
      <c r="K9" s="35" t="n"/>
      <c r="L9" s="35" t="n"/>
      <c r="M9" s="7" t="n"/>
    </row>
    <row r="10" ht="22" customHeight="1">
      <c r="A10" s="37" t="inlineStr">
        <is>
          <t>Find All People With Secret</t>
        </is>
      </c>
      <c r="B10" s="35" t="inlineStr">
        <is>
          <t>2092</t>
        </is>
      </c>
      <c r="C10" s="76" t="inlineStr">
        <is>
          <t>H</t>
        </is>
      </c>
      <c r="D10" s="75" t="n"/>
      <c r="E10" s="35" t="inlineStr">
        <is>
          <t>84</t>
        </is>
      </c>
      <c r="F10" s="35" t="n"/>
      <c r="G10" s="35" t="n"/>
      <c r="H10" s="35" t="n"/>
      <c r="I10" s="35" t="n"/>
      <c r="J10" s="35" t="n"/>
      <c r="K10" s="35" t="n"/>
      <c r="L10" s="35" t="n"/>
      <c r="M10" s="7" t="n"/>
    </row>
    <row r="11" ht="22" customHeight="1">
      <c r="A11" s="37" t="inlineStr">
        <is>
          <t>Max Number of Events That Can Be Attended II</t>
        </is>
      </c>
      <c r="B11" s="35" t="inlineStr">
        <is>
          <t>1751</t>
        </is>
      </c>
      <c r="C11" s="76" t="inlineStr">
        <is>
          <t>H</t>
        </is>
      </c>
      <c r="D11" s="75" t="n"/>
      <c r="E11" s="35" t="inlineStr">
        <is>
          <t>98</t>
        </is>
      </c>
      <c r="F11" s="35" t="n"/>
      <c r="G11" s="35" t="n"/>
      <c r="H11" s="35" t="n"/>
      <c r="I11" s="35" t="n"/>
      <c r="J11" s="35" t="n"/>
      <c r="K11" s="35" t="n"/>
      <c r="L11" s="35" t="n"/>
      <c r="M11" s="7" t="n"/>
    </row>
    <row r="12" ht="22" customHeight="1">
      <c r="A12" s="37" t="inlineStr">
        <is>
          <t>Number of Good Paths</t>
        </is>
      </c>
      <c r="B12" s="35" t="inlineStr">
        <is>
          <t>2421</t>
        </is>
      </c>
      <c r="C12" s="76" t="inlineStr">
        <is>
          <t>H</t>
        </is>
      </c>
      <c r="D12" s="75" t="n"/>
      <c r="E12" s="35" t="inlineStr">
        <is>
          <t>98</t>
        </is>
      </c>
      <c r="F12" s="35" t="n"/>
      <c r="G12" s="35" t="n"/>
      <c r="H12" s="35" t="n"/>
      <c r="I12" s="35" t="n"/>
      <c r="J12" s="35" t="n"/>
      <c r="K12" s="35" t="n"/>
      <c r="L12" s="35" t="n"/>
      <c r="M12" s="7" t="n"/>
    </row>
    <row r="13" ht="22" customHeight="1">
      <c r="A13" s="37" t="inlineStr">
        <is>
          <t>Cherry Pickup II</t>
        </is>
      </c>
      <c r="B13" s="35" t="inlineStr">
        <is>
          <t>1463</t>
        </is>
      </c>
      <c r="C13" s="76" t="inlineStr">
        <is>
          <t>H</t>
        </is>
      </c>
      <c r="D13" s="75" t="n"/>
      <c r="E13" s="35" t="inlineStr">
        <is>
          <t>98</t>
        </is>
      </c>
      <c r="F13" s="35" t="n"/>
      <c r="G13" s="35" t="n"/>
      <c r="H13" s="35" t="n"/>
      <c r="I13" s="35" t="n"/>
      <c r="J13" s="35" t="n"/>
      <c r="K13" s="35" t="n"/>
      <c r="L13" s="35" t="n"/>
      <c r="M13" s="7" t="n"/>
    </row>
    <row r="14" ht="22" customHeight="1">
      <c r="A14" s="37" t="inlineStr">
        <is>
          <t>Maximum Profit in Job Scheduling</t>
        </is>
      </c>
      <c r="B14" s="35" t="inlineStr">
        <is>
          <t>1235</t>
        </is>
      </c>
      <c r="C14" s="76" t="inlineStr">
        <is>
          <t>H</t>
        </is>
      </c>
      <c r="D14" s="75" t="n"/>
      <c r="E14" s="35" t="inlineStr">
        <is>
          <t>90-97</t>
        </is>
      </c>
      <c r="F14" s="35" t="n"/>
      <c r="G14" s="35" t="n"/>
      <c r="H14" s="35" t="n"/>
      <c r="I14" s="35" t="n"/>
      <c r="J14" s="35" t="n"/>
      <c r="K14" s="35" t="n"/>
      <c r="L14" s="35" t="n"/>
      <c r="M14" s="7" t="n"/>
    </row>
    <row r="15" ht="22" customHeight="1">
      <c r="A15" s="37" t="inlineStr">
        <is>
          <t>Shortest Subarray with Sum at Least K</t>
        </is>
      </c>
      <c r="B15" s="35" t="inlineStr">
        <is>
          <t>862</t>
        </is>
      </c>
      <c r="C15" s="76" t="inlineStr">
        <is>
          <t>H</t>
        </is>
      </c>
      <c r="D15" s="75" t="n"/>
      <c r="E15" s="35" t="inlineStr">
        <is>
          <t>90-97</t>
        </is>
      </c>
      <c r="F15" s="35" t="n"/>
      <c r="G15" s="35" t="n"/>
      <c r="H15" s="35" t="n"/>
      <c r="I15" s="35" t="n"/>
      <c r="J15" s="35" t="n"/>
      <c r="K15" s="35" t="n"/>
      <c r="L15" s="35" t="n"/>
      <c r="M15" s="7" t="n"/>
    </row>
    <row r="16" ht="22" customHeight="1">
      <c r="A16" s="37" t="inlineStr">
        <is>
          <t>Checking Existence of Edge Length Limited Paths</t>
        </is>
      </c>
      <c r="B16" s="35" t="inlineStr">
        <is>
          <t>1697</t>
        </is>
      </c>
      <c r="C16" s="76" t="inlineStr">
        <is>
          <t>H</t>
        </is>
      </c>
      <c r="D16" s="75" t="n"/>
      <c r="E16" s="35" t="inlineStr">
        <is>
          <t>90-97</t>
        </is>
      </c>
      <c r="F16" s="35" t="n"/>
      <c r="G16" s="35" t="n"/>
      <c r="H16" s="35" t="n"/>
      <c r="I16" s="35" t="n"/>
      <c r="J16" s="35" t="n"/>
      <c r="K16" s="35" t="n"/>
      <c r="L16" s="35" t="n"/>
      <c r="M16" s="7" t="n"/>
    </row>
    <row r="17" ht="22" customHeight="1">
      <c r="A17" s="37" t="inlineStr">
        <is>
          <t>Maximum AND Sum of Array</t>
        </is>
      </c>
      <c r="B17" s="35" t="inlineStr">
        <is>
          <t>2172</t>
        </is>
      </c>
      <c r="C17" s="76" t="inlineStr">
        <is>
          <t>H</t>
        </is>
      </c>
      <c r="D17" s="75" t="n"/>
      <c r="E17" s="35" t="inlineStr">
        <is>
          <t>90-97</t>
        </is>
      </c>
      <c r="F17" s="35" t="n"/>
      <c r="G17" s="35" t="n"/>
      <c r="H17" s="35" t="n"/>
      <c r="I17" s="35" t="n"/>
      <c r="J17" s="35" t="n"/>
      <c r="K17" s="35" t="n"/>
      <c r="L17" s="35" t="n"/>
      <c r="M17" s="7" t="n"/>
    </row>
    <row r="18" ht="22" customHeight="1">
      <c r="A18" s="37" t="inlineStr">
        <is>
          <t>Trapping Rain Water II</t>
        </is>
      </c>
      <c r="B18" s="35" t="inlineStr">
        <is>
          <t>407</t>
        </is>
      </c>
      <c r="C18" s="76" t="inlineStr">
        <is>
          <t>H</t>
        </is>
      </c>
      <c r="D18" s="75" t="n"/>
      <c r="E18" s="35" t="inlineStr">
        <is>
          <t>90-97</t>
        </is>
      </c>
      <c r="F18" s="35" t="n"/>
      <c r="G18" s="35" t="n"/>
      <c r="H18" s="35" t="n"/>
      <c r="I18" s="35" t="n"/>
      <c r="J18" s="35" t="n"/>
      <c r="K18" s="35" t="n"/>
      <c r="L18" s="35" t="n"/>
      <c r="M18" s="7" t="n"/>
    </row>
    <row r="19" ht="22" customHeight="1">
      <c r="A19" s="37" t="inlineStr">
        <is>
          <t>Minimum Cost to Reach Destination in Time</t>
        </is>
      </c>
      <c r="B19" s="35" t="inlineStr">
        <is>
          <t>1928</t>
        </is>
      </c>
      <c r="C19" s="76" t="inlineStr">
        <is>
          <t>H</t>
        </is>
      </c>
      <c r="D19" s="75" t="n"/>
      <c r="E19" s="35" t="inlineStr">
        <is>
          <t>90-97</t>
        </is>
      </c>
      <c r="F19" s="35" t="n"/>
      <c r="G19" s="35" t="n"/>
      <c r="H19" s="35" t="n"/>
      <c r="I19" s="35" t="n"/>
      <c r="J19" s="35" t="n"/>
      <c r="K19" s="35" t="n"/>
      <c r="L19" s="35" t="n"/>
      <c r="M19" s="7" t="n"/>
    </row>
    <row r="20" ht="22" customHeight="1">
      <c r="A20" s="37" t="inlineStr">
        <is>
          <t>Maximum Number of Non-Overlapping Palindrome Substrings</t>
        </is>
      </c>
      <c r="B20" s="35" t="inlineStr">
        <is>
          <t>2472</t>
        </is>
      </c>
      <c r="C20" s="76" t="inlineStr">
        <is>
          <t>H</t>
        </is>
      </c>
      <c r="D20" s="75" t="n"/>
      <c r="E20" s="35" t="inlineStr">
        <is>
          <t>90-97</t>
        </is>
      </c>
      <c r="F20" s="35" t="n"/>
      <c r="G20" s="35" t="n"/>
      <c r="H20" s="35" t="n"/>
      <c r="I20" s="35" t="n"/>
      <c r="J20" s="35" t="n"/>
      <c r="K20" s="35" t="n"/>
      <c r="L20" s="35" t="n"/>
      <c r="M20" s="7" t="n"/>
    </row>
    <row r="21" ht="22" customHeight="1">
      <c r="A21" s="37" t="inlineStr">
        <is>
          <t>Count Ways to Build Rooms in an Ant Colony</t>
        </is>
      </c>
      <c r="B21" s="35" t="inlineStr">
        <is>
          <t>2050</t>
        </is>
      </c>
      <c r="C21" s="76" t="inlineStr">
        <is>
          <t>H</t>
        </is>
      </c>
      <c r="D21" s="75" t="n"/>
      <c r="E21" s="35" t="inlineStr">
        <is>
          <t>90-97</t>
        </is>
      </c>
      <c r="F21" s="35" t="n"/>
      <c r="G21" s="35" t="n"/>
      <c r="H21" s="35" t="n"/>
      <c r="I21" s="35" t="n"/>
      <c r="J21" s="35" t="n"/>
      <c r="K21" s="35" t="n"/>
      <c r="L21" s="35" t="n"/>
      <c r="M21" s="7" t="n"/>
    </row>
  </sheetData>
  <dataValidations count="3">
    <dataValidation sqref="C2:C21" showDropDown="0" showInputMessage="0" showErrorMessage="0" allowBlank="1" promptTitle="Difficulty" type="list">
      <formula1>"E,M,H"</formula1>
    </dataValidation>
    <dataValidation sqref="G2:G21" showDropDown="0" showInputMessage="0" showErrorMessage="0" allowBlank="1" promptTitle="Solved?" type="list">
      <formula1>"Yes,No"</formula1>
    </dataValidation>
    <dataValidation sqref="K2:K21" showDropDown="0" showInputMessage="0" showErrorMessage="0" allowBlank="1" promptTitle="TC correct?"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2026-10-04T10:08:06Z</dcterms:created>
  <dcterms:modified xmlns:dcterms="http://purl.org/dc/terms/" xmlns:xsi="http://www.w3.org/2001/XMLSchema-instance" xsi:type="dcterms:W3CDTF">2026-10-04T10:08:07Z</dcterms:modified>
</cp:coreProperties>
</file>